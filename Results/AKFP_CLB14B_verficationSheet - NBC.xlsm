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95" yWindow="480" windowWidth="23160" windowHeight="10920" activeTab="8"/>
  </bookViews>
  <sheets>
    <sheet name="CALCS" sheetId="1" r:id="rId1"/>
    <sheet name="CLB9806STK" sheetId="19" r:id="rId2"/>
    <sheet name="SPFI_CLB14" sheetId="21" r:id="rId3"/>
    <sheet name="FPS" sheetId="2" r:id="rId4"/>
    <sheet name="FPA" sheetId="3" r:id="rId5"/>
    <sheet name="Module1" sheetId="16" state="veryHidden" r:id=""/>
    <sheet name="Module2" sheetId="17" state="veryHidden" r:id=""/>
    <sheet name="R_output" sheetId="22" r:id="rId6"/>
    <sheet name="Sheet2" sheetId="23" r:id="rId7"/>
  </sheets>
  <definedNames>
    <definedName name="_xlnm.Print_Area" localSheetId="0">CALCS!$A$131:$Q$3834</definedName>
    <definedName name="_xlnm.Print_Titles" localSheetId="0">CALCS!$131:$132</definedName>
  </definedNames>
  <calcPr calcId="145621"/>
</workbook>
</file>

<file path=xl/calcChain.xml><?xml version="1.0" encoding="utf-8"?>
<calcChain xmlns="http://schemas.openxmlformats.org/spreadsheetml/2006/main">
  <c r="J4" i="1" l="1"/>
  <c r="F16" i="19"/>
  <c r="F20" i="19"/>
  <c r="F19" i="19"/>
  <c r="F18" i="19"/>
  <c r="F17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1" i="19"/>
  <c r="B11" i="23" l="1"/>
  <c r="C11" i="23"/>
  <c r="D11" i="23"/>
  <c r="B12" i="23"/>
  <c r="C12" i="23"/>
  <c r="D12" i="23"/>
  <c r="B13" i="23"/>
  <c r="C13" i="23"/>
  <c r="D13" i="23"/>
  <c r="B14" i="23"/>
  <c r="C14" i="23"/>
  <c r="D14" i="23"/>
  <c r="B15" i="23"/>
  <c r="C15" i="23"/>
  <c r="D15" i="23"/>
  <c r="B16" i="23"/>
  <c r="C16" i="23"/>
  <c r="D16" i="23"/>
  <c r="B17" i="23"/>
  <c r="C17" i="23"/>
  <c r="D17" i="23"/>
  <c r="B18" i="23"/>
  <c r="C18" i="23"/>
  <c r="D18" i="23"/>
  <c r="B19" i="23"/>
  <c r="C19" i="23"/>
  <c r="D19" i="23"/>
  <c r="B20" i="23"/>
  <c r="C20" i="23"/>
  <c r="D20" i="23"/>
  <c r="B21" i="23"/>
  <c r="C21" i="23"/>
  <c r="D21" i="23"/>
  <c r="B22" i="23"/>
  <c r="C22" i="23"/>
  <c r="D22" i="23"/>
  <c r="B4" i="23"/>
  <c r="C4" i="23"/>
  <c r="D4" i="23"/>
  <c r="B5" i="23"/>
  <c r="C5" i="23"/>
  <c r="D5" i="23"/>
  <c r="B6" i="23"/>
  <c r="C6" i="23"/>
  <c r="D6" i="23"/>
  <c r="B7" i="23"/>
  <c r="C7" i="23"/>
  <c r="D7" i="23"/>
  <c r="B8" i="23"/>
  <c r="C8" i="23"/>
  <c r="D8" i="23"/>
  <c r="B9" i="23"/>
  <c r="C9" i="23"/>
  <c r="D9" i="23"/>
  <c r="B10" i="23"/>
  <c r="C10" i="23"/>
  <c r="D10" i="23"/>
  <c r="C3" i="23"/>
  <c r="D3" i="23"/>
  <c r="B3" i="23"/>
  <c r="AI8" i="3" l="1"/>
  <c r="AI6" i="23" s="1"/>
  <c r="AI7" i="3"/>
  <c r="AI5" i="23" s="1"/>
  <c r="AI6" i="3"/>
  <c r="AI4" i="23" s="1"/>
  <c r="AI5" i="3"/>
  <c r="AI3" i="23" s="1"/>
  <c r="A33" i="2"/>
  <c r="Q3759" i="1"/>
  <c r="DN33" i="2" s="1"/>
  <c r="AI113" i="3" s="1"/>
  <c r="Q3635" i="1"/>
  <c r="DJ33" i="2" s="1"/>
  <c r="AI109" i="3" s="1"/>
  <c r="Q3511" i="1"/>
  <c r="DF33" i="2" s="1"/>
  <c r="AI105" i="3" s="1"/>
  <c r="Q3387" i="1"/>
  <c r="DB33" i="2" s="1"/>
  <c r="AI101" i="3" s="1"/>
  <c r="Q3294" i="1"/>
  <c r="CY33" i="2" s="1"/>
  <c r="AI98" i="3" s="1"/>
  <c r="Q3263" i="1"/>
  <c r="CX33" i="2" s="1"/>
  <c r="AI97" i="3" s="1"/>
  <c r="Q3232" i="1"/>
  <c r="CW33" i="2" s="1"/>
  <c r="AI96" i="3" s="1"/>
  <c r="Q3139" i="1"/>
  <c r="CT33" i="2" s="1"/>
  <c r="AI93" i="3" s="1"/>
  <c r="Q3108" i="1"/>
  <c r="CS33" i="2" s="1"/>
  <c r="AI92" i="3" s="1"/>
  <c r="Q2891" i="1"/>
  <c r="CL33" i="2" s="1"/>
  <c r="Q2798" i="1"/>
  <c r="CI33" i="2" s="1"/>
  <c r="Q2767" i="1"/>
  <c r="CH33" i="2" s="1"/>
  <c r="Q2736" i="1"/>
  <c r="CG33" i="2" s="1"/>
  <c r="Q2705" i="1"/>
  <c r="CF33" i="2" s="1"/>
  <c r="Q2674" i="1"/>
  <c r="CE33" i="2" s="1"/>
  <c r="AI86" i="3" s="1"/>
  <c r="Q2643" i="1"/>
  <c r="CD33" i="2" s="1"/>
  <c r="AI85" i="3" s="1"/>
  <c r="Q2612" i="1"/>
  <c r="CC33" i="2" s="1"/>
  <c r="AI84" i="3" s="1"/>
  <c r="Q2581" i="1"/>
  <c r="CB33" i="2" s="1"/>
  <c r="AI83" i="3" s="1"/>
  <c r="Q2550" i="1"/>
  <c r="CA33" i="2" s="1"/>
  <c r="AI82" i="3" s="1"/>
  <c r="Q2519" i="1"/>
  <c r="BZ33" i="2" s="1"/>
  <c r="AI81" i="3" s="1"/>
  <c r="Q2395" i="1"/>
  <c r="BV33" i="2" s="1"/>
  <c r="AI77" i="3" s="1"/>
  <c r="Q2271" i="1"/>
  <c r="BR33" i="2" s="1"/>
  <c r="AI73" i="3" s="1"/>
  <c r="Q2147" i="1"/>
  <c r="BN33" i="2" s="1"/>
  <c r="AI69" i="3" s="1"/>
  <c r="Q2116" i="1"/>
  <c r="BM33" i="2" s="1"/>
  <c r="AI68" i="3" s="1"/>
  <c r="Q2054" i="1"/>
  <c r="BK33" i="2" s="1"/>
  <c r="Q2023" i="1"/>
  <c r="BJ33" i="2" s="1"/>
  <c r="Q1899" i="1"/>
  <c r="BF33" i="2" s="1"/>
  <c r="AI65" i="3" s="1"/>
  <c r="Q1868" i="1"/>
  <c r="BE33" i="2" s="1"/>
  <c r="AI64" i="3" s="1"/>
  <c r="Q1837" i="1"/>
  <c r="BD33" i="2" s="1"/>
  <c r="AI63" i="3" s="1"/>
  <c r="Q1806" i="1"/>
  <c r="BC33" i="2" s="1"/>
  <c r="AI62" i="3" s="1"/>
  <c r="Q1775" i="1"/>
  <c r="BB33" i="2" s="1"/>
  <c r="AI61" i="3" s="1"/>
  <c r="Q1682" i="1"/>
  <c r="AY33" i="2" s="1"/>
  <c r="AI58" i="3" s="1"/>
  <c r="Q1651" i="1"/>
  <c r="AX33" i="2" s="1"/>
  <c r="AI57" i="3" s="1"/>
  <c r="Q1620" i="1"/>
  <c r="AW33" i="2" s="1"/>
  <c r="AI56" i="3" s="1"/>
  <c r="Q1558" i="1"/>
  <c r="AU33" i="2" s="1"/>
  <c r="AI54" i="3" s="1"/>
  <c r="Q1527" i="1"/>
  <c r="AT33" i="2" s="1"/>
  <c r="AI53" i="3" s="1"/>
  <c r="Q1496" i="1"/>
  <c r="AS33" i="2" s="1"/>
  <c r="AI52" i="3" s="1"/>
  <c r="Q1434" i="1"/>
  <c r="AQ33" i="2" s="1"/>
  <c r="AI50" i="3" s="1"/>
  <c r="Q1403" i="1"/>
  <c r="AP33" i="2" s="1"/>
  <c r="AI49" i="3" s="1"/>
  <c r="Q1372" i="1"/>
  <c r="AO33" i="2" s="1"/>
  <c r="AI48" i="3" s="1"/>
  <c r="Q1279" i="1"/>
  <c r="AL33" i="2" s="1"/>
  <c r="AI45" i="3" s="1"/>
  <c r="Q1155" i="1"/>
  <c r="AH33" i="2" s="1"/>
  <c r="AI41" i="3" s="1"/>
  <c r="Q1031" i="1"/>
  <c r="AD33" i="2" s="1"/>
  <c r="AI37" i="3" s="1"/>
  <c r="Q907" i="1"/>
  <c r="Z33" i="2" s="1"/>
  <c r="AI33" i="3" s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AH6" i="3" l="1"/>
  <c r="AH4" i="23" s="1"/>
  <c r="AH7" i="3"/>
  <c r="AH5" i="23" s="1"/>
  <c r="AH8" i="3"/>
  <c r="AH6" i="23" s="1"/>
  <c r="AH5" i="3"/>
  <c r="AH3" i="23" s="1"/>
  <c r="A32" i="2"/>
  <c r="D162" i="1"/>
  <c r="AG6" i="3" l="1"/>
  <c r="AG4" i="23" s="1"/>
  <c r="AG7" i="3"/>
  <c r="AG5" i="23" s="1"/>
  <c r="AG8" i="3"/>
  <c r="AG6" i="23" s="1"/>
  <c r="AG5" i="3"/>
  <c r="AG3" i="23" s="1"/>
  <c r="A31" i="2"/>
  <c r="D161" i="1"/>
  <c r="AF8" i="3"/>
  <c r="AF6" i="23" s="1"/>
  <c r="AF7" i="3"/>
  <c r="AF5" i="23" s="1"/>
  <c r="AF6" i="3"/>
  <c r="AF4" i="23" s="1"/>
  <c r="AF5" i="3"/>
  <c r="AF3" i="23" s="1"/>
  <c r="D160" i="1"/>
  <c r="D159" i="1"/>
  <c r="AE8" i="3"/>
  <c r="AE6" i="23" s="1"/>
  <c r="AE7" i="3"/>
  <c r="AE5" i="23" s="1"/>
  <c r="AE6" i="3"/>
  <c r="AE4" i="23" s="1"/>
  <c r="AE5" i="3"/>
  <c r="AE3" i="23" s="1"/>
  <c r="J19" i="1"/>
  <c r="J16" i="1"/>
  <c r="J12" i="1"/>
  <c r="D157" i="1"/>
  <c r="D158" i="1"/>
  <c r="D156" i="1"/>
  <c r="AC8" i="3"/>
  <c r="AC6" i="23" s="1"/>
  <c r="AD8" i="3"/>
  <c r="AD6" i="23" s="1"/>
  <c r="AC7" i="3"/>
  <c r="AC5" i="23" s="1"/>
  <c r="AD7" i="3"/>
  <c r="AD5" i="23" s="1"/>
  <c r="AC6" i="3"/>
  <c r="AC4" i="23" s="1"/>
  <c r="AD6" i="3"/>
  <c r="AD4" i="23" s="1"/>
  <c r="AC5" i="3"/>
  <c r="AC3" i="23" s="1"/>
  <c r="AD5" i="3"/>
  <c r="AD3" i="23" s="1"/>
  <c r="AB6" i="3"/>
  <c r="AB4" i="23" s="1"/>
  <c r="AB7" i="3"/>
  <c r="AB5" i="23" s="1"/>
  <c r="AB8" i="3"/>
  <c r="AB6" i="23" s="1"/>
  <c r="AB5" i="3"/>
  <c r="AB3" i="23" s="1"/>
  <c r="AA6" i="3"/>
  <c r="AA4" i="23" s="1"/>
  <c r="AA7" i="3"/>
  <c r="AA5" i="23" s="1"/>
  <c r="AA8" i="3"/>
  <c r="AA6" i="23" s="1"/>
  <c r="D155" i="1"/>
  <c r="AA5" i="3"/>
  <c r="AA3" i="23" s="1"/>
  <c r="D154" i="1"/>
  <c r="Z7" i="3"/>
  <c r="Z5" i="23" s="1"/>
  <c r="Z8" i="3"/>
  <c r="Z6" i="23" s="1"/>
  <c r="Z5" i="3"/>
  <c r="Z3" i="23" s="1"/>
  <c r="Z6" i="3"/>
  <c r="Z4" i="23" s="1"/>
  <c r="D140" i="1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Q3510" i="1" s="1"/>
  <c r="DF32" i="2" s="1"/>
  <c r="AH105" i="3" s="1"/>
  <c r="F108" i="19"/>
  <c r="F107" i="19"/>
  <c r="F106" i="19"/>
  <c r="F105" i="19"/>
  <c r="F104" i="19"/>
  <c r="F103" i="19"/>
  <c r="F102" i="19"/>
  <c r="F101" i="19"/>
  <c r="Q3262" i="1" s="1"/>
  <c r="CX32" i="2" s="1"/>
  <c r="AH97" i="3" s="1"/>
  <c r="F100" i="19"/>
  <c r="F99" i="19"/>
  <c r="F98" i="19"/>
  <c r="F97" i="19"/>
  <c r="Q3138" i="1" s="1"/>
  <c r="CT32" i="2" s="1"/>
  <c r="AH93" i="3" s="1"/>
  <c r="F96" i="19"/>
  <c r="F95" i="19"/>
  <c r="F94" i="19"/>
  <c r="F93" i="19"/>
  <c r="F92" i="19"/>
  <c r="F91" i="19"/>
  <c r="F90" i="19"/>
  <c r="F89" i="19"/>
  <c r="Q2890" i="1" s="1"/>
  <c r="CL32" i="2" s="1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Q2394" i="1" s="1"/>
  <c r="BV32" i="2" s="1"/>
  <c r="AH77" i="3" s="1"/>
  <c r="F72" i="19"/>
  <c r="F71" i="19"/>
  <c r="F70" i="19"/>
  <c r="F69" i="19"/>
  <c r="F68" i="19"/>
  <c r="F67" i="19"/>
  <c r="F66" i="19"/>
  <c r="F65" i="19"/>
  <c r="F64" i="19"/>
  <c r="Q2115" i="1" s="1"/>
  <c r="BM32" i="2" s="1"/>
  <c r="AH68" i="3" s="1"/>
  <c r="F63" i="19"/>
  <c r="F62" i="19"/>
  <c r="Q2053" i="1" s="1"/>
  <c r="BK32" i="2" s="1"/>
  <c r="AH66" i="3" s="1"/>
  <c r="F61" i="19"/>
  <c r="F60" i="19"/>
  <c r="F59" i="19"/>
  <c r="F58" i="19"/>
  <c r="F57" i="19"/>
  <c r="F56" i="19"/>
  <c r="Q1867" i="1" s="1"/>
  <c r="BE32" i="2" s="1"/>
  <c r="AH64" i="3" s="1"/>
  <c r="F55" i="19"/>
  <c r="F54" i="19"/>
  <c r="Q1805" i="1" s="1"/>
  <c r="BC32" i="2" s="1"/>
  <c r="AH62" i="3" s="1"/>
  <c r="F53" i="19"/>
  <c r="F52" i="19"/>
  <c r="F51" i="19"/>
  <c r="F50" i="19"/>
  <c r="F49" i="19"/>
  <c r="F48" i="19"/>
  <c r="F47" i="19"/>
  <c r="F46" i="19"/>
  <c r="F45" i="19"/>
  <c r="Q1526" i="1" s="1"/>
  <c r="AT32" i="2" s="1"/>
  <c r="AH53" i="3" s="1"/>
  <c r="F44" i="19"/>
  <c r="F43" i="19"/>
  <c r="F42" i="19"/>
  <c r="F41" i="19"/>
  <c r="F40" i="19"/>
  <c r="F39" i="19"/>
  <c r="F38" i="19"/>
  <c r="F37" i="19"/>
  <c r="Q1278" i="1" s="1"/>
  <c r="AL32" i="2" s="1"/>
  <c r="AH45" i="3" s="1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D133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39" i="1"/>
  <c r="D138" i="1"/>
  <c r="D137" i="1"/>
  <c r="D136" i="1"/>
  <c r="D135" i="1"/>
  <c r="D134" i="1"/>
  <c r="Y8" i="3"/>
  <c r="Y6" i="23" s="1"/>
  <c r="Y7" i="3"/>
  <c r="Y5" i="23" s="1"/>
  <c r="Y6" i="3"/>
  <c r="Y4" i="23" s="1"/>
  <c r="Y5" i="3"/>
  <c r="Y3" i="23" s="1"/>
  <c r="X8" i="3"/>
  <c r="X6" i="23" s="1"/>
  <c r="X7" i="3"/>
  <c r="X5" i="23" s="1"/>
  <c r="X6" i="3"/>
  <c r="X4" i="23" s="1"/>
  <c r="X5" i="3"/>
  <c r="X3" i="23" s="1"/>
  <c r="W5" i="3"/>
  <c r="W3" i="23" s="1"/>
  <c r="W8" i="3"/>
  <c r="W6" i="23" s="1"/>
  <c r="W7" i="3"/>
  <c r="W5" i="23" s="1"/>
  <c r="W6" i="3"/>
  <c r="W4" i="23" s="1"/>
  <c r="V8" i="3"/>
  <c r="V6" i="23" s="1"/>
  <c r="V7" i="3"/>
  <c r="V5" i="23" s="1"/>
  <c r="V6" i="3"/>
  <c r="V4" i="23" s="1"/>
  <c r="V5" i="3"/>
  <c r="V3" i="23" s="1"/>
  <c r="U8" i="3"/>
  <c r="U6" i="23" s="1"/>
  <c r="U7" i="3"/>
  <c r="U5" i="23" s="1"/>
  <c r="U6" i="3"/>
  <c r="U4" i="23" s="1"/>
  <c r="U5" i="3"/>
  <c r="U3" i="23" s="1"/>
  <c r="T6" i="3"/>
  <c r="T4" i="23" s="1"/>
  <c r="T7" i="3"/>
  <c r="T5" i="23" s="1"/>
  <c r="T8" i="3"/>
  <c r="T6" i="23" s="1"/>
  <c r="T5" i="3"/>
  <c r="T3" i="23" s="1"/>
  <c r="S8" i="3"/>
  <c r="S6" i="23" s="1"/>
  <c r="R8" i="3"/>
  <c r="R6" i="23" s="1"/>
  <c r="Q8" i="3"/>
  <c r="Q6" i="23" s="1"/>
  <c r="P8" i="3"/>
  <c r="P6" i="23" s="1"/>
  <c r="O8" i="3"/>
  <c r="O6" i="23" s="1"/>
  <c r="N8" i="3"/>
  <c r="N6" i="23" s="1"/>
  <c r="M8" i="3"/>
  <c r="M6" i="23" s="1"/>
  <c r="L8" i="3"/>
  <c r="L6" i="23" s="1"/>
  <c r="K8" i="3"/>
  <c r="K6" i="23" s="1"/>
  <c r="J8" i="3"/>
  <c r="J6" i="23" s="1"/>
  <c r="I8" i="3"/>
  <c r="I6" i="23" s="1"/>
  <c r="H8" i="3"/>
  <c r="H6" i="23" s="1"/>
  <c r="G8" i="3"/>
  <c r="G6" i="23" s="1"/>
  <c r="F8" i="3"/>
  <c r="F6" i="23" s="1"/>
  <c r="E8" i="3"/>
  <c r="E6" i="23" s="1"/>
  <c r="S7" i="3"/>
  <c r="S5" i="23" s="1"/>
  <c r="R7" i="3"/>
  <c r="R5" i="23" s="1"/>
  <c r="Q7" i="3"/>
  <c r="Q5" i="23" s="1"/>
  <c r="P7" i="3"/>
  <c r="P5" i="23" s="1"/>
  <c r="O7" i="3"/>
  <c r="O5" i="23" s="1"/>
  <c r="N7" i="3"/>
  <c r="N5" i="23" s="1"/>
  <c r="M7" i="3"/>
  <c r="M5" i="23" s="1"/>
  <c r="L7" i="3"/>
  <c r="L5" i="23" s="1"/>
  <c r="K7" i="3"/>
  <c r="K5" i="23" s="1"/>
  <c r="J7" i="3"/>
  <c r="J5" i="23" s="1"/>
  <c r="I7" i="3"/>
  <c r="I5" i="23" s="1"/>
  <c r="H7" i="3"/>
  <c r="H5" i="23" s="1"/>
  <c r="G7" i="3"/>
  <c r="G5" i="23" s="1"/>
  <c r="F7" i="3"/>
  <c r="F5" i="23" s="1"/>
  <c r="E7" i="3"/>
  <c r="E5" i="23" s="1"/>
  <c r="S6" i="3"/>
  <c r="S4" i="23" s="1"/>
  <c r="R6" i="3"/>
  <c r="R4" i="23" s="1"/>
  <c r="Q6" i="3"/>
  <c r="Q4" i="23" s="1"/>
  <c r="P6" i="3"/>
  <c r="P4" i="23" s="1"/>
  <c r="O6" i="3"/>
  <c r="O4" i="23" s="1"/>
  <c r="N6" i="3"/>
  <c r="N4" i="23" s="1"/>
  <c r="M6" i="3"/>
  <c r="M4" i="23" s="1"/>
  <c r="L6" i="3"/>
  <c r="L4" i="23" s="1"/>
  <c r="K6" i="3"/>
  <c r="K4" i="23" s="1"/>
  <c r="J6" i="3"/>
  <c r="J4" i="23" s="1"/>
  <c r="I6" i="3"/>
  <c r="I4" i="23" s="1"/>
  <c r="H6" i="3"/>
  <c r="H4" i="23" s="1"/>
  <c r="G6" i="3"/>
  <c r="G4" i="23" s="1"/>
  <c r="F6" i="3"/>
  <c r="F4" i="23" s="1"/>
  <c r="E6" i="3"/>
  <c r="E4" i="23" s="1"/>
  <c r="S5" i="3"/>
  <c r="S3" i="23" s="1"/>
  <c r="R5" i="3"/>
  <c r="R3" i="23" s="1"/>
  <c r="Q5" i="3"/>
  <c r="Q3" i="23" s="1"/>
  <c r="P5" i="3"/>
  <c r="P3" i="23" s="1"/>
  <c r="O5" i="3"/>
  <c r="O3" i="23" s="1"/>
  <c r="N5" i="3"/>
  <c r="N3" i="23" s="1"/>
  <c r="M5" i="3"/>
  <c r="M3" i="23" s="1"/>
  <c r="L5" i="3"/>
  <c r="L3" i="23" s="1"/>
  <c r="K5" i="3"/>
  <c r="K3" i="23" s="1"/>
  <c r="J5" i="3"/>
  <c r="J3" i="23" s="1"/>
  <c r="I5" i="3"/>
  <c r="I3" i="23" s="1"/>
  <c r="H5" i="3"/>
  <c r="H3" i="23" s="1"/>
  <c r="G5" i="3"/>
  <c r="G3" i="23" s="1"/>
  <c r="F5" i="3"/>
  <c r="F3" i="23" s="1"/>
  <c r="E5" i="3"/>
  <c r="E3" i="23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J1030" i="1" l="1"/>
  <c r="P1030" i="1" s="1"/>
  <c r="J1031" i="1"/>
  <c r="J1278" i="1"/>
  <c r="J1279" i="1"/>
  <c r="P1433" i="1"/>
  <c r="J1495" i="1"/>
  <c r="J1496" i="1"/>
  <c r="J1650" i="1"/>
  <c r="P1650" i="1" s="1"/>
  <c r="J1651" i="1"/>
  <c r="J2022" i="1"/>
  <c r="J2023" i="1"/>
  <c r="J2518" i="1"/>
  <c r="P2518" i="1" s="1"/>
  <c r="J2519" i="1"/>
  <c r="J2580" i="1"/>
  <c r="J2581" i="1"/>
  <c r="J2642" i="1"/>
  <c r="J2643" i="1"/>
  <c r="J2704" i="1"/>
  <c r="J2705" i="1"/>
  <c r="J2766" i="1"/>
  <c r="P2766" i="1" s="1"/>
  <c r="J2767" i="1"/>
  <c r="J2890" i="1"/>
  <c r="J2891" i="1"/>
  <c r="J3231" i="1"/>
  <c r="P3231" i="1" s="1"/>
  <c r="J3232" i="1"/>
  <c r="J3293" i="1"/>
  <c r="J3294" i="1"/>
  <c r="J3510" i="1"/>
  <c r="P3510" i="1" s="1"/>
  <c r="J3511" i="1"/>
  <c r="J3758" i="1"/>
  <c r="J3759" i="1"/>
  <c r="J2177" i="1"/>
  <c r="J2178" i="1"/>
  <c r="J906" i="1"/>
  <c r="J907" i="1"/>
  <c r="J1154" i="1"/>
  <c r="P1154" i="1" s="1"/>
  <c r="J1155" i="1"/>
  <c r="P1278" i="1"/>
  <c r="J1371" i="1"/>
  <c r="J1372" i="1"/>
  <c r="J1433" i="1"/>
  <c r="J1434" i="1"/>
  <c r="P1495" i="1"/>
  <c r="J1526" i="1"/>
  <c r="P1526" i="1" s="1"/>
  <c r="J1527" i="1"/>
  <c r="J1619" i="1"/>
  <c r="P1619" i="1" s="1"/>
  <c r="J1620" i="1"/>
  <c r="J1681" i="1"/>
  <c r="P1681" i="1" s="1"/>
  <c r="J1682" i="1"/>
  <c r="J1805" i="1"/>
  <c r="P1805" i="1" s="1"/>
  <c r="J1806" i="1"/>
  <c r="J1898" i="1"/>
  <c r="P1898" i="1" s="1"/>
  <c r="J1899" i="1"/>
  <c r="J2053" i="1"/>
  <c r="P2053" i="1" s="1"/>
  <c r="J2054" i="1"/>
  <c r="J2146" i="1"/>
  <c r="P2146" i="1" s="1"/>
  <c r="J2147" i="1"/>
  <c r="J2394" i="1"/>
  <c r="J2395" i="1"/>
  <c r="J2549" i="1"/>
  <c r="P2549" i="1" s="1"/>
  <c r="J2550" i="1"/>
  <c r="J2611" i="1"/>
  <c r="J2612" i="1"/>
  <c r="P2642" i="1"/>
  <c r="J2673" i="1"/>
  <c r="P2673" i="1" s="1"/>
  <c r="J2674" i="1"/>
  <c r="J2735" i="1"/>
  <c r="P2735" i="1" s="1"/>
  <c r="J2736" i="1"/>
  <c r="J2797" i="1"/>
  <c r="P2797" i="1" s="1"/>
  <c r="J2798" i="1"/>
  <c r="J3107" i="1"/>
  <c r="P3107" i="1" s="1"/>
  <c r="J3108" i="1"/>
  <c r="J3262" i="1"/>
  <c r="P3262" i="1" s="1"/>
  <c r="J3263" i="1"/>
  <c r="J3386" i="1"/>
  <c r="P3386" i="1" s="1"/>
  <c r="J3387" i="1"/>
  <c r="J3634" i="1"/>
  <c r="P3634" i="1" s="1"/>
  <c r="J3635" i="1"/>
  <c r="J782" i="1"/>
  <c r="P782" i="1" s="1"/>
  <c r="Q782" i="1" s="1"/>
  <c r="V32" i="2" s="1"/>
  <c r="AH29" i="3" s="1"/>
  <c r="J783" i="1"/>
  <c r="J2239" i="1"/>
  <c r="P2239" i="1" s="1"/>
  <c r="Q2239" i="1" s="1"/>
  <c r="BQ32" i="2" s="1"/>
  <c r="AH72" i="3" s="1"/>
  <c r="J2240" i="1"/>
  <c r="J1402" i="1"/>
  <c r="J1403" i="1"/>
  <c r="J1557" i="1"/>
  <c r="P1557" i="1" s="1"/>
  <c r="J1558" i="1"/>
  <c r="J1774" i="1"/>
  <c r="P1774" i="1" s="1"/>
  <c r="J1775" i="1"/>
  <c r="J1867" i="1"/>
  <c r="J1868" i="1"/>
  <c r="J2115" i="1"/>
  <c r="P2115" i="1" s="1"/>
  <c r="J2116" i="1"/>
  <c r="J2270" i="1"/>
  <c r="P2270" i="1" s="1"/>
  <c r="J2271" i="1"/>
  <c r="P2890" i="1"/>
  <c r="P3293" i="1"/>
  <c r="J658" i="1"/>
  <c r="J659" i="1"/>
  <c r="J627" i="1"/>
  <c r="J628" i="1"/>
  <c r="J534" i="1"/>
  <c r="J535" i="1"/>
  <c r="J410" i="1"/>
  <c r="J411" i="1"/>
  <c r="AL5" i="3"/>
  <c r="AL3" i="23" s="1"/>
  <c r="AK5" i="3"/>
  <c r="AK3" i="23" s="1"/>
  <c r="AJ5" i="3"/>
  <c r="AJ3" i="23" s="1"/>
  <c r="AL7" i="3"/>
  <c r="AL5" i="23" s="1"/>
  <c r="AK7" i="3"/>
  <c r="AK5" i="23" s="1"/>
  <c r="AJ7" i="3"/>
  <c r="AJ5" i="23" s="1"/>
  <c r="AL8" i="3"/>
  <c r="AL6" i="23" s="1"/>
  <c r="AK8" i="3"/>
  <c r="AK6" i="23" s="1"/>
  <c r="AJ8" i="3"/>
  <c r="AJ6" i="23" s="1"/>
  <c r="AL6" i="3"/>
  <c r="AL4" i="23" s="1"/>
  <c r="AK6" i="3"/>
  <c r="AK4" i="23" s="1"/>
  <c r="AJ6" i="3"/>
  <c r="AJ4" i="23" s="1"/>
  <c r="Q899" i="1"/>
  <c r="Z25" i="2" s="1"/>
  <c r="AA33" i="3" s="1"/>
  <c r="Q906" i="1"/>
  <c r="Z32" i="2" s="1"/>
  <c r="AH33" i="3" s="1"/>
  <c r="Q1029" i="1"/>
  <c r="AD31" i="2" s="1"/>
  <c r="AG37" i="3" s="1"/>
  <c r="Q1030" i="1"/>
  <c r="AD32" i="2" s="1"/>
  <c r="AH37" i="3" s="1"/>
  <c r="Q1147" i="1"/>
  <c r="AH25" i="2" s="1"/>
  <c r="AA41" i="3" s="1"/>
  <c r="Q1154" i="1"/>
  <c r="AH32" i="2" s="1"/>
  <c r="AH41" i="3" s="1"/>
  <c r="Q1649" i="1"/>
  <c r="AX31" i="2" s="1"/>
  <c r="AG57" i="3" s="1"/>
  <c r="Q1650" i="1"/>
  <c r="AX32" i="2" s="1"/>
  <c r="AH57" i="3" s="1"/>
  <c r="Q1767" i="1"/>
  <c r="BB25" i="2" s="1"/>
  <c r="Q1774" i="1"/>
  <c r="BB32" i="2" s="1"/>
  <c r="AH61" i="3" s="1"/>
  <c r="Q1816" i="1"/>
  <c r="BD12" i="2" s="1"/>
  <c r="Q1836" i="1"/>
  <c r="BD32" i="2" s="1"/>
  <c r="AH63" i="3" s="1"/>
  <c r="Q2021" i="1"/>
  <c r="BJ31" i="2" s="1"/>
  <c r="AG65" i="3" s="1"/>
  <c r="Q2022" i="1"/>
  <c r="BJ32" i="2" s="1"/>
  <c r="Q2134" i="1"/>
  <c r="BN20" i="2" s="1"/>
  <c r="V69" i="3" s="1"/>
  <c r="Q2146" i="1"/>
  <c r="BN32" i="2" s="1"/>
  <c r="AH69" i="3" s="1"/>
  <c r="Q2263" i="1"/>
  <c r="BR25" i="2" s="1"/>
  <c r="AA73" i="3" s="1"/>
  <c r="Q2270" i="1"/>
  <c r="BR32" i="2" s="1"/>
  <c r="AH73" i="3" s="1"/>
  <c r="Q2568" i="1"/>
  <c r="CB20" i="2" s="1"/>
  <c r="Q2580" i="1"/>
  <c r="CB32" i="2" s="1"/>
  <c r="AH83" i="3" s="1"/>
  <c r="Q2703" i="1"/>
  <c r="CF31" i="2" s="1"/>
  <c r="Q2704" i="1"/>
  <c r="CF32" i="2" s="1"/>
  <c r="Q2765" i="1"/>
  <c r="CH31" i="2" s="1"/>
  <c r="Q2766" i="1"/>
  <c r="CH32" i="2" s="1"/>
  <c r="Q3633" i="1"/>
  <c r="DJ31" i="2" s="1"/>
  <c r="AG109" i="3" s="1"/>
  <c r="Q3634" i="1"/>
  <c r="DJ32" i="2" s="1"/>
  <c r="AH109" i="3" s="1"/>
  <c r="Q3757" i="1"/>
  <c r="DN31" i="2" s="1"/>
  <c r="AG113" i="3" s="1"/>
  <c r="Q3758" i="1"/>
  <c r="DN32" i="2" s="1"/>
  <c r="AH113" i="3" s="1"/>
  <c r="Q1362" i="1"/>
  <c r="AO23" i="2" s="1"/>
  <c r="Y48" i="3" s="1"/>
  <c r="Q1371" i="1"/>
  <c r="AO32" i="2" s="1"/>
  <c r="AH48" i="3" s="1"/>
  <c r="Q1432" i="1"/>
  <c r="AQ31" i="2" s="1"/>
  <c r="AG50" i="3" s="1"/>
  <c r="Q1433" i="1"/>
  <c r="AQ32" i="2" s="1"/>
  <c r="AH50" i="3" s="1"/>
  <c r="Q1494" i="1"/>
  <c r="AS31" i="2" s="1"/>
  <c r="AG52" i="3" s="1"/>
  <c r="Q1495" i="1"/>
  <c r="AS32" i="2" s="1"/>
  <c r="AH52" i="3" s="1"/>
  <c r="Q1556" i="1"/>
  <c r="AU31" i="2" s="1"/>
  <c r="AG54" i="3" s="1"/>
  <c r="Q1557" i="1"/>
  <c r="AU32" i="2" s="1"/>
  <c r="AH54" i="3" s="1"/>
  <c r="Q1618" i="1"/>
  <c r="AW31" i="2" s="1"/>
  <c r="AG56" i="3" s="1"/>
  <c r="Q1619" i="1"/>
  <c r="AW32" i="2" s="1"/>
  <c r="AH56" i="3" s="1"/>
  <c r="Q1680" i="1"/>
  <c r="AY31" i="2" s="1"/>
  <c r="AG58" i="3" s="1"/>
  <c r="Q1681" i="1"/>
  <c r="AY32" i="2" s="1"/>
  <c r="AH58" i="3" s="1"/>
  <c r="Q2548" i="1"/>
  <c r="CA31" i="2" s="1"/>
  <c r="AG82" i="3" s="1"/>
  <c r="Q2549" i="1"/>
  <c r="CA32" i="2" s="1"/>
  <c r="AH82" i="3" s="1"/>
  <c r="Q2610" i="1"/>
  <c r="CC31" i="2" s="1"/>
  <c r="AG84" i="3" s="1"/>
  <c r="Q2611" i="1"/>
  <c r="CC32" i="2" s="1"/>
  <c r="AH84" i="3" s="1"/>
  <c r="Q2664" i="1"/>
  <c r="CE23" i="2" s="1"/>
  <c r="Q2673" i="1"/>
  <c r="CE32" i="2" s="1"/>
  <c r="Q2729" i="1"/>
  <c r="CG26" i="2" s="1"/>
  <c r="Q2735" i="1"/>
  <c r="CG32" i="2" s="1"/>
  <c r="Q2796" i="1"/>
  <c r="CI31" i="2" s="1"/>
  <c r="Q2797" i="1"/>
  <c r="CI32" i="2" s="1"/>
  <c r="Q3098" i="1"/>
  <c r="CS23" i="2" s="1"/>
  <c r="Y92" i="3" s="1"/>
  <c r="Q3107" i="1"/>
  <c r="CS32" i="2" s="1"/>
  <c r="AH92" i="3" s="1"/>
  <c r="Q3209" i="1"/>
  <c r="CW10" i="2" s="1"/>
  <c r="L96" i="3" s="1"/>
  <c r="Q3231" i="1"/>
  <c r="CW32" i="2" s="1"/>
  <c r="AH96" i="3" s="1"/>
  <c r="Q3292" i="1"/>
  <c r="CY31" i="2" s="1"/>
  <c r="AG98" i="3" s="1"/>
  <c r="Q3293" i="1"/>
  <c r="CY32" i="2" s="1"/>
  <c r="AH98" i="3" s="1"/>
  <c r="P906" i="1"/>
  <c r="P1371" i="1"/>
  <c r="P1402" i="1"/>
  <c r="P2022" i="1"/>
  <c r="P2394" i="1"/>
  <c r="P2580" i="1"/>
  <c r="P2611" i="1"/>
  <c r="P2704" i="1"/>
  <c r="P658" i="1"/>
  <c r="Q658" i="1" s="1"/>
  <c r="R32" i="2" s="1"/>
  <c r="AH25" i="3" s="1"/>
  <c r="P2177" i="1"/>
  <c r="Q2177" i="1" s="1"/>
  <c r="BO32" i="2" s="1"/>
  <c r="AH70" i="3" s="1"/>
  <c r="Q1401" i="1"/>
  <c r="AP31" i="2" s="1"/>
  <c r="AG49" i="3" s="1"/>
  <c r="Q1402" i="1"/>
  <c r="AP32" i="2" s="1"/>
  <c r="AH49" i="3" s="1"/>
  <c r="Q1897" i="1"/>
  <c r="BF31" i="2" s="1"/>
  <c r="Q1898" i="1"/>
  <c r="BF32" i="2" s="1"/>
  <c r="AH65" i="3" s="1"/>
  <c r="Q2517" i="1"/>
  <c r="BZ31" i="2" s="1"/>
  <c r="AG81" i="3" s="1"/>
  <c r="Q2518" i="1"/>
  <c r="BZ32" i="2" s="1"/>
  <c r="AH81" i="3" s="1"/>
  <c r="Q2641" i="1"/>
  <c r="CD31" i="2" s="1"/>
  <c r="Q2642" i="1"/>
  <c r="CD32" i="2" s="1"/>
  <c r="AH85" i="3" s="1"/>
  <c r="Q3374" i="1"/>
  <c r="DB20" i="2" s="1"/>
  <c r="V101" i="3" s="1"/>
  <c r="Q3386" i="1"/>
  <c r="DB32" i="2" s="1"/>
  <c r="AH101" i="3" s="1"/>
  <c r="P1867" i="1"/>
  <c r="P3758" i="1"/>
  <c r="J3633" i="1"/>
  <c r="J1029" i="1"/>
  <c r="Q2579" i="1"/>
  <c r="CB31" i="2" s="1"/>
  <c r="AG83" i="3" s="1"/>
  <c r="J626" i="1"/>
  <c r="J1556" i="1"/>
  <c r="J1866" i="1"/>
  <c r="J3292" i="1"/>
  <c r="Q1835" i="1"/>
  <c r="BD31" i="2" s="1"/>
  <c r="AG63" i="3" s="1"/>
  <c r="J1370" i="1"/>
  <c r="J1432" i="1"/>
  <c r="J1618" i="1"/>
  <c r="J1680" i="1"/>
  <c r="J1804" i="1"/>
  <c r="J2052" i="1"/>
  <c r="J2548" i="1"/>
  <c r="J2610" i="1"/>
  <c r="J2672" i="1"/>
  <c r="J2734" i="1"/>
  <c r="J2796" i="1"/>
  <c r="J3106" i="1"/>
  <c r="J2238" i="1"/>
  <c r="Q1773" i="1"/>
  <c r="BB31" i="2" s="1"/>
  <c r="AG61" i="3" s="1"/>
  <c r="J1494" i="1"/>
  <c r="J2114" i="1"/>
  <c r="J3230" i="1"/>
  <c r="J2176" i="1"/>
  <c r="Q2672" i="1"/>
  <c r="CE31" i="2" s="1"/>
  <c r="Q1153" i="1"/>
  <c r="AH31" i="2" s="1"/>
  <c r="AG41" i="3" s="1"/>
  <c r="J409" i="1"/>
  <c r="J657" i="1"/>
  <c r="Q1858" i="1"/>
  <c r="BE23" i="2" s="1"/>
  <c r="Q1866" i="1"/>
  <c r="BE31" i="2" s="1"/>
  <c r="AG64" i="3" s="1"/>
  <c r="Q2106" i="1"/>
  <c r="BM23" i="2" s="1"/>
  <c r="Y68" i="3" s="1"/>
  <c r="Q2114" i="1"/>
  <c r="BM31" i="2" s="1"/>
  <c r="AG68" i="3" s="1"/>
  <c r="Q1249" i="1"/>
  <c r="AL3" i="2" s="1"/>
  <c r="E45" i="3" s="1"/>
  <c r="Q1277" i="1"/>
  <c r="AL31" i="2" s="1"/>
  <c r="AG45" i="3" s="1"/>
  <c r="Q905" i="1"/>
  <c r="Z31" i="2" s="1"/>
  <c r="AG33" i="3" s="1"/>
  <c r="Q2734" i="1"/>
  <c r="CG31" i="2" s="1"/>
  <c r="Q1790" i="1"/>
  <c r="BC17" i="2" s="1"/>
  <c r="Q1804" i="1"/>
  <c r="BC31" i="2" s="1"/>
  <c r="AG62" i="3" s="1"/>
  <c r="Q2038" i="1"/>
  <c r="BK17" i="2" s="1"/>
  <c r="S66" i="3" s="1"/>
  <c r="Q2052" i="1"/>
  <c r="BK31" i="2" s="1"/>
  <c r="AG66" i="3" s="1"/>
  <c r="Q2269" i="1"/>
  <c r="BR31" i="2" s="1"/>
  <c r="AG73" i="3" s="1"/>
  <c r="Q3385" i="1"/>
  <c r="DB31" i="2" s="1"/>
  <c r="AG101" i="3" s="1"/>
  <c r="Q1519" i="1"/>
  <c r="AT25" i="2" s="1"/>
  <c r="AA53" i="3" s="1"/>
  <c r="Q1525" i="1"/>
  <c r="AT31" i="2" s="1"/>
  <c r="AG53" i="3" s="1"/>
  <c r="Q2387" i="1"/>
  <c r="BV25" i="2" s="1"/>
  <c r="AA77" i="3" s="1"/>
  <c r="Q2393" i="1"/>
  <c r="BV31" i="2" s="1"/>
  <c r="AG77" i="3" s="1"/>
  <c r="Q2883" i="1"/>
  <c r="CL25" i="2" s="1"/>
  <c r="AA85" i="3" s="1"/>
  <c r="Q2889" i="1"/>
  <c r="CL31" i="2" s="1"/>
  <c r="AG85" i="3" s="1"/>
  <c r="Q3128" i="1"/>
  <c r="CT22" i="2" s="1"/>
  <c r="X93" i="3" s="1"/>
  <c r="Q3137" i="1"/>
  <c r="CT31" i="2" s="1"/>
  <c r="AG93" i="3" s="1"/>
  <c r="Q3250" i="1"/>
  <c r="CX20" i="2" s="1"/>
  <c r="V97" i="3" s="1"/>
  <c r="Q3261" i="1"/>
  <c r="CX31" i="2" s="1"/>
  <c r="AG97" i="3" s="1"/>
  <c r="Q3481" i="1"/>
  <c r="DF3" i="2" s="1"/>
  <c r="E105" i="3" s="1"/>
  <c r="Q3509" i="1"/>
  <c r="DF31" i="2" s="1"/>
  <c r="AG105" i="3" s="1"/>
  <c r="Q2145" i="1"/>
  <c r="BN31" i="2" s="1"/>
  <c r="AG69" i="3" s="1"/>
  <c r="Q3230" i="1"/>
  <c r="CW31" i="2" s="1"/>
  <c r="AG96" i="3" s="1"/>
  <c r="Q1370" i="1"/>
  <c r="AO31" i="2" s="1"/>
  <c r="AG48" i="3" s="1"/>
  <c r="Q3106" i="1"/>
  <c r="CS31" i="2" s="1"/>
  <c r="AG92" i="3" s="1"/>
  <c r="J533" i="1"/>
  <c r="J781" i="1"/>
  <c r="J905" i="1"/>
  <c r="J1153" i="1"/>
  <c r="J1277" i="1"/>
  <c r="J1401" i="1"/>
  <c r="J1525" i="1"/>
  <c r="J1649" i="1"/>
  <c r="J1773" i="1"/>
  <c r="J1897" i="1"/>
  <c r="J2021" i="1"/>
  <c r="J2145" i="1"/>
  <c r="J2269" i="1"/>
  <c r="J2393" i="1"/>
  <c r="J2517" i="1"/>
  <c r="J2579" i="1"/>
  <c r="J2641" i="1"/>
  <c r="J2703" i="1"/>
  <c r="J2765" i="1"/>
  <c r="J2889" i="1"/>
  <c r="J3261" i="1"/>
  <c r="J3385" i="1"/>
  <c r="J3509" i="1"/>
  <c r="J3757" i="1"/>
  <c r="J884" i="1"/>
  <c r="J1785" i="1"/>
  <c r="J3382" i="1"/>
  <c r="J1477" i="1"/>
  <c r="J3740" i="1"/>
  <c r="J3221" i="1"/>
  <c r="J3490" i="1"/>
  <c r="J632" i="1"/>
  <c r="J646" i="1"/>
  <c r="J1008" i="1"/>
  <c r="J384" i="1"/>
  <c r="J607" i="1"/>
  <c r="J1024" i="1"/>
  <c r="J1270" i="1"/>
  <c r="J1386" i="1"/>
  <c r="J1469" i="1"/>
  <c r="J1545" i="1"/>
  <c r="J1636" i="1"/>
  <c r="J386" i="1"/>
  <c r="J1473" i="1"/>
  <c r="J1602" i="1"/>
  <c r="J1893" i="1"/>
  <c r="J2046" i="1"/>
  <c r="J2125" i="1"/>
  <c r="J2375" i="1"/>
  <c r="J2538" i="1"/>
  <c r="J2600" i="1"/>
  <c r="J2650" i="1"/>
  <c r="J2728" i="1"/>
  <c r="J2226" i="1"/>
  <c r="J3501" i="1"/>
  <c r="J2137" i="1"/>
  <c r="J3376" i="1"/>
  <c r="J2598" i="1"/>
  <c r="J3377" i="1"/>
  <c r="J515" i="1"/>
  <c r="J759" i="1"/>
  <c r="J769" i="1"/>
  <c r="J771" i="1"/>
  <c r="J883" i="1"/>
  <c r="J1143" i="1"/>
  <c r="J1501" i="1"/>
  <c r="J1654" i="1"/>
  <c r="J1658" i="1"/>
  <c r="J1776" i="1"/>
  <c r="J1800" i="1"/>
  <c r="J1875" i="1"/>
  <c r="J2028" i="1"/>
  <c r="J2129" i="1"/>
  <c r="J2141" i="1"/>
  <c r="J2210" i="1"/>
  <c r="J2216" i="1"/>
  <c r="J2220" i="1"/>
  <c r="J2222" i="1"/>
  <c r="J2232" i="1"/>
  <c r="J2377" i="1"/>
  <c r="J2526" i="1"/>
  <c r="J2726" i="1"/>
  <c r="J1512" i="1"/>
  <c r="J1522" i="1"/>
  <c r="J1520" i="1"/>
  <c r="J3243" i="1"/>
  <c r="J3245" i="1"/>
  <c r="J3254" i="1"/>
  <c r="J3248" i="1"/>
  <c r="J3370" i="1"/>
  <c r="J3359" i="1"/>
  <c r="J3372" i="1"/>
  <c r="J3358" i="1"/>
  <c r="J3615" i="1"/>
  <c r="J3612" i="1"/>
  <c r="J3616" i="1"/>
  <c r="J3630" i="1"/>
  <c r="J2217" i="1"/>
  <c r="J2225" i="1"/>
  <c r="J2215" i="1"/>
  <c r="J2219" i="1"/>
  <c r="J530" i="1"/>
  <c r="J512" i="1"/>
  <c r="J520" i="1"/>
  <c r="J880" i="1"/>
  <c r="J888" i="1"/>
  <c r="J1134" i="1"/>
  <c r="J1136" i="1"/>
  <c r="J1150" i="1"/>
  <c r="J1128" i="1"/>
  <c r="J1343" i="1"/>
  <c r="J1347" i="1"/>
  <c r="J1607" i="1"/>
  <c r="J1601" i="1"/>
  <c r="J1677" i="1"/>
  <c r="J1659" i="1"/>
  <c r="J1653" i="1"/>
  <c r="J1661" i="1"/>
  <c r="J1669" i="1"/>
  <c r="J1781" i="1"/>
  <c r="J1793" i="1"/>
  <c r="J1777" i="1"/>
  <c r="J1779" i="1"/>
  <c r="J1351" i="1"/>
  <c r="J899" i="1"/>
  <c r="J1421" i="1"/>
  <c r="J1413" i="1"/>
  <c r="J3235" i="1"/>
  <c r="J1519" i="1"/>
  <c r="J1346" i="1"/>
  <c r="J1672" i="1"/>
  <c r="J2009" i="1"/>
  <c r="J2257" i="1"/>
  <c r="J2503" i="1"/>
  <c r="J2739" i="1"/>
  <c r="J1883" i="1"/>
  <c r="J3626" i="1"/>
  <c r="J3622" i="1"/>
  <c r="J773" i="1"/>
  <c r="J1406" i="1"/>
  <c r="J1598" i="1"/>
  <c r="J1879" i="1"/>
  <c r="J1891" i="1"/>
  <c r="J2024" i="1"/>
  <c r="J2042" i="1"/>
  <c r="J2121" i="1"/>
  <c r="J2522" i="1"/>
  <c r="J2542" i="1"/>
  <c r="J2584" i="1"/>
  <c r="J2708" i="1"/>
  <c r="J3239" i="1"/>
  <c r="J3367" i="1"/>
  <c r="J3613" i="1"/>
  <c r="J1126" i="1"/>
  <c r="J1349" i="1"/>
  <c r="J1407" i="1"/>
  <c r="J1783" i="1"/>
  <c r="J3234" i="1"/>
  <c r="J3362" i="1"/>
  <c r="J1667" i="1"/>
  <c r="J1142" i="1"/>
  <c r="J2231" i="1"/>
  <c r="J1615" i="1"/>
  <c r="J1515" i="1"/>
  <c r="J1786" i="1"/>
  <c r="J1877" i="1"/>
  <c r="J2117" i="1"/>
  <c r="J2234" i="1"/>
  <c r="J2540" i="1"/>
  <c r="J2588" i="1"/>
  <c r="J616" i="1"/>
  <c r="J516" i="1"/>
  <c r="J518" i="1"/>
  <c r="J522" i="1"/>
  <c r="J524" i="1"/>
  <c r="J508" i="1"/>
  <c r="J1130" i="1"/>
  <c r="J1504" i="1"/>
  <c r="J3238" i="1"/>
  <c r="J1140" i="1"/>
  <c r="J3250" i="1"/>
  <c r="J2229" i="1"/>
  <c r="J1799" i="1"/>
  <c r="J1869" i="1"/>
  <c r="J2133" i="1"/>
  <c r="J2212" i="1"/>
  <c r="J2218" i="1"/>
  <c r="J2228" i="1"/>
  <c r="J2668" i="1"/>
  <c r="J1757" i="1"/>
  <c r="J1764" i="1"/>
  <c r="J1353" i="1"/>
  <c r="J1415" i="1"/>
  <c r="J1411" i="1"/>
  <c r="J1502" i="1"/>
  <c r="J1529" i="1"/>
  <c r="J3242" i="1"/>
  <c r="J3366" i="1"/>
  <c r="J3608" i="1"/>
  <c r="J1760" i="1"/>
  <c r="J2213" i="1"/>
  <c r="J2223" i="1"/>
  <c r="J3256" i="1"/>
  <c r="J3258" i="1"/>
  <c r="J2214" i="1"/>
  <c r="J2224" i="1"/>
  <c r="J2230" i="1"/>
  <c r="J2524" i="1"/>
  <c r="J2530" i="1"/>
  <c r="J3605" i="1"/>
  <c r="J878" i="1"/>
  <c r="J882" i="1"/>
  <c r="J886" i="1"/>
  <c r="J892" i="1"/>
  <c r="J900" i="1"/>
  <c r="J1132" i="1"/>
  <c r="J1258" i="1"/>
  <c r="J1345" i="1"/>
  <c r="J1359" i="1"/>
  <c r="J1365" i="1"/>
  <c r="J1405" i="1"/>
  <c r="J1409" i="1"/>
  <c r="J1419" i="1"/>
  <c r="J1498" i="1"/>
  <c r="J1506" i="1"/>
  <c r="J1514" i="1"/>
  <c r="J1591" i="1"/>
  <c r="J1593" i="1"/>
  <c r="J1595" i="1"/>
  <c r="J1599" i="1"/>
  <c r="J1605" i="1"/>
  <c r="J1632" i="1"/>
  <c r="J1657" i="1"/>
  <c r="J1675" i="1"/>
  <c r="J1787" i="1"/>
  <c r="J1791" i="1"/>
  <c r="J2211" i="1"/>
  <c r="J2221" i="1"/>
  <c r="J2227" i="1"/>
  <c r="J3236" i="1"/>
  <c r="J3240" i="1"/>
  <c r="J3244" i="1"/>
  <c r="J3246" i="1"/>
  <c r="J3252" i="1"/>
  <c r="J3360" i="1"/>
  <c r="J3364" i="1"/>
  <c r="J3368" i="1"/>
  <c r="J3374" i="1"/>
  <c r="J3378" i="1"/>
  <c r="J3606" i="1"/>
  <c r="J3610" i="1"/>
  <c r="J3614" i="1"/>
  <c r="J3618" i="1"/>
  <c r="J3620" i="1"/>
  <c r="J3624" i="1"/>
  <c r="J648" i="1"/>
  <c r="J649" i="1"/>
  <c r="J1638" i="1"/>
  <c r="J3482" i="1"/>
  <c r="J3738" i="1"/>
  <c r="J3486" i="1"/>
  <c r="J392" i="1"/>
  <c r="J382" i="1"/>
  <c r="J605" i="1"/>
  <c r="J636" i="1"/>
  <c r="J630" i="1"/>
  <c r="J1012" i="1"/>
  <c r="J1006" i="1"/>
  <c r="J1252" i="1"/>
  <c r="J1754" i="1"/>
  <c r="J1748" i="1"/>
  <c r="J3732" i="1"/>
  <c r="J642" i="1"/>
  <c r="J1262" i="1"/>
  <c r="J1634" i="1"/>
  <c r="J613" i="1"/>
  <c r="J1266" i="1"/>
  <c r="J1392" i="1"/>
  <c r="J1549" i="1"/>
  <c r="J1766" i="1"/>
  <c r="J1489" i="1"/>
  <c r="J1644" i="1"/>
  <c r="J3506" i="1"/>
  <c r="J1643" i="1"/>
  <c r="J391" i="1"/>
  <c r="J507" i="1"/>
  <c r="J523" i="1"/>
  <c r="J600" i="1"/>
  <c r="J608" i="1"/>
  <c r="J629" i="1"/>
  <c r="J633" i="1"/>
  <c r="J637" i="1"/>
  <c r="J645" i="1"/>
  <c r="J753" i="1"/>
  <c r="J755" i="1"/>
  <c r="J757" i="1"/>
  <c r="J761" i="1"/>
  <c r="J763" i="1"/>
  <c r="J765" i="1"/>
  <c r="J767" i="1"/>
  <c r="J775" i="1"/>
  <c r="J777" i="1"/>
  <c r="J891" i="1"/>
  <c r="J603" i="1"/>
  <c r="J638" i="1"/>
  <c r="J1004" i="1"/>
  <c r="J1260" i="1"/>
  <c r="J1374" i="1"/>
  <c r="J1539" i="1"/>
  <c r="J3734" i="1"/>
  <c r="J3730" i="1"/>
  <c r="J396" i="1"/>
  <c r="J1388" i="1"/>
  <c r="J3496" i="1"/>
  <c r="J3744" i="1"/>
  <c r="J1018" i="1"/>
  <c r="J3746" i="1"/>
  <c r="J1485" i="1"/>
  <c r="J1551" i="1"/>
  <c r="J3752" i="1"/>
  <c r="J612" i="1"/>
  <c r="J599" i="1"/>
  <c r="J640" i="1"/>
  <c r="J1256" i="1"/>
  <c r="J1250" i="1"/>
  <c r="J1384" i="1"/>
  <c r="J1380" i="1"/>
  <c r="J1376" i="1"/>
  <c r="J1537" i="1"/>
  <c r="J1016" i="1"/>
  <c r="J1543" i="1"/>
  <c r="J3498" i="1"/>
  <c r="J1268" i="1"/>
  <c r="J1011" i="1"/>
  <c r="J1127" i="1"/>
  <c r="J1133" i="1"/>
  <c r="J1135" i="1"/>
  <c r="J1249" i="1"/>
  <c r="J1253" i="1"/>
  <c r="J1257" i="1"/>
  <c r="J1269" i="1"/>
  <c r="J1273" i="1"/>
  <c r="J1354" i="1"/>
  <c r="J1362" i="1"/>
  <c r="J1395" i="1"/>
  <c r="J1412" i="1"/>
  <c r="J1414" i="1"/>
  <c r="J1422" i="1"/>
  <c r="J1472" i="1"/>
  <c r="J1488" i="1"/>
  <c r="J1497" i="1"/>
  <c r="J1499" i="1"/>
  <c r="J1503" i="1"/>
  <c r="J1505" i="1"/>
  <c r="J1507" i="1"/>
  <c r="J1509" i="1"/>
  <c r="J1511" i="1"/>
  <c r="J1513" i="1"/>
  <c r="J1517" i="1"/>
  <c r="J1521" i="1"/>
  <c r="J1538" i="1"/>
  <c r="J1590" i="1"/>
  <c r="J1592" i="1"/>
  <c r="J1594" i="1"/>
  <c r="J1596" i="1"/>
  <c r="J1600" i="1"/>
  <c r="J1604" i="1"/>
  <c r="J1606" i="1"/>
  <c r="J1608" i="1"/>
  <c r="J1610" i="1"/>
  <c r="J1612" i="1"/>
  <c r="J1614" i="1"/>
  <c r="J1627" i="1"/>
  <c r="J1652" i="1"/>
  <c r="J1656" i="1"/>
  <c r="J1660" i="1"/>
  <c r="J1662" i="1"/>
  <c r="J1664" i="1"/>
  <c r="J1666" i="1"/>
  <c r="J1668" i="1"/>
  <c r="J1670" i="1"/>
  <c r="J1674" i="1"/>
  <c r="J1676" i="1"/>
  <c r="J1778" i="1"/>
  <c r="J1780" i="1"/>
  <c r="J1782" i="1"/>
  <c r="J1784" i="1"/>
  <c r="J1788" i="1"/>
  <c r="J1790" i="1"/>
  <c r="J1792" i="1"/>
  <c r="J1794" i="1"/>
  <c r="J1796" i="1"/>
  <c r="J1798" i="1"/>
  <c r="J1856" i="1"/>
  <c r="J1871" i="1"/>
  <c r="J1873" i="1"/>
  <c r="J1881" i="1"/>
  <c r="J1885" i="1"/>
  <c r="J1887" i="1"/>
  <c r="J1889" i="1"/>
  <c r="J2026" i="1"/>
  <c r="J2030" i="1"/>
  <c r="J2032" i="1"/>
  <c r="J2034" i="1"/>
  <c r="J2036" i="1"/>
  <c r="J2038" i="1"/>
  <c r="J2040" i="1"/>
  <c r="J2044" i="1"/>
  <c r="J2048" i="1"/>
  <c r="J2119" i="1"/>
  <c r="J2123" i="1"/>
  <c r="J2127" i="1"/>
  <c r="J2131" i="1"/>
  <c r="J2135" i="1"/>
  <c r="J2139" i="1"/>
  <c r="J2150" i="1"/>
  <c r="J2158" i="1"/>
  <c r="J2737" i="1"/>
  <c r="J2761" i="1"/>
  <c r="J3493" i="1"/>
  <c r="J2532" i="1"/>
  <c r="J2534" i="1"/>
  <c r="J2596" i="1"/>
  <c r="J2602" i="1"/>
  <c r="J2652" i="1"/>
  <c r="J2660" i="1"/>
  <c r="J2710" i="1"/>
  <c r="J2712" i="1"/>
  <c r="J2716" i="1"/>
  <c r="J2724" i="1"/>
  <c r="J2778" i="1"/>
  <c r="J3247" i="1"/>
  <c r="J3253" i="1"/>
  <c r="J3363" i="1"/>
  <c r="J3369" i="1"/>
  <c r="J3371" i="1"/>
  <c r="J3619" i="1"/>
  <c r="J3627" i="1"/>
  <c r="J511" i="1"/>
  <c r="J895" i="1"/>
  <c r="J1364" i="1"/>
  <c r="J2371" i="1"/>
  <c r="J390" i="1"/>
  <c r="J398" i="1"/>
  <c r="J402" i="1"/>
  <c r="J1025" i="1"/>
  <c r="J2871" i="1"/>
  <c r="J2154" i="1"/>
  <c r="J506" i="1"/>
  <c r="J510" i="1"/>
  <c r="J514" i="1"/>
  <c r="J526" i="1"/>
  <c r="J528" i="1"/>
  <c r="J532" i="1"/>
  <c r="J652" i="1"/>
  <c r="J890" i="1"/>
  <c r="J894" i="1"/>
  <c r="J896" i="1"/>
  <c r="J898" i="1"/>
  <c r="J902" i="1"/>
  <c r="J1138" i="1"/>
  <c r="J1144" i="1"/>
  <c r="J1146" i="1"/>
  <c r="J1148" i="1"/>
  <c r="J1355" i="1"/>
  <c r="J1357" i="1"/>
  <c r="J1361" i="1"/>
  <c r="J1363" i="1"/>
  <c r="J1367" i="1"/>
  <c r="J1369" i="1"/>
  <c r="J1417" i="1"/>
  <c r="J1423" i="1"/>
  <c r="J1425" i="1"/>
  <c r="J1427" i="1"/>
  <c r="J1429" i="1"/>
  <c r="J1431" i="1"/>
  <c r="J1500" i="1"/>
  <c r="J1508" i="1"/>
  <c r="J1510" i="1"/>
  <c r="J1516" i="1"/>
  <c r="J1518" i="1"/>
  <c r="J1597" i="1"/>
  <c r="J1603" i="1"/>
  <c r="J1609" i="1"/>
  <c r="J1611" i="1"/>
  <c r="J1613" i="1"/>
  <c r="J1655" i="1"/>
  <c r="J1663" i="1"/>
  <c r="J1665" i="1"/>
  <c r="J1671" i="1"/>
  <c r="J1673" i="1"/>
  <c r="J1789" i="1"/>
  <c r="J1795" i="1"/>
  <c r="J1797" i="1"/>
  <c r="J1801" i="1"/>
  <c r="J2144" i="1"/>
  <c r="J2237" i="1"/>
  <c r="J2733" i="1"/>
  <c r="J3380" i="1"/>
  <c r="J3628" i="1"/>
  <c r="J1267" i="1"/>
  <c r="J1259" i="1"/>
  <c r="J1251" i="1"/>
  <c r="J1271" i="1"/>
  <c r="J1261" i="1"/>
  <c r="J1255" i="1"/>
  <c r="J1263" i="1"/>
  <c r="J1635" i="1"/>
  <c r="J1624" i="1"/>
  <c r="J1628" i="1"/>
  <c r="J1769" i="1"/>
  <c r="J1761" i="1"/>
  <c r="J1753" i="1"/>
  <c r="J1745" i="1"/>
  <c r="J1765" i="1"/>
  <c r="J1755" i="1"/>
  <c r="J1749" i="1"/>
  <c r="J1762" i="1"/>
  <c r="J1752" i="1"/>
  <c r="J1756" i="1"/>
  <c r="J2497" i="1"/>
  <c r="J2491" i="1"/>
  <c r="J2509" i="1"/>
  <c r="J2505" i="1"/>
  <c r="J2511" i="1"/>
  <c r="J3224" i="1"/>
  <c r="J3215" i="1"/>
  <c r="J3207" i="1"/>
  <c r="J3274" i="1"/>
  <c r="J3269" i="1"/>
  <c r="J3502" i="1"/>
  <c r="J3500" i="1"/>
  <c r="J3484" i="1"/>
  <c r="J3492" i="1"/>
  <c r="J656" i="1"/>
  <c r="J647" i="1"/>
  <c r="J639" i="1"/>
  <c r="J631" i="1"/>
  <c r="J651" i="1"/>
  <c r="J641" i="1"/>
  <c r="J635" i="1"/>
  <c r="J388" i="1"/>
  <c r="J394" i="1"/>
  <c r="J400" i="1"/>
  <c r="J404" i="1"/>
  <c r="J406" i="1"/>
  <c r="J611" i="1"/>
  <c r="J615" i="1"/>
  <c r="J617" i="1"/>
  <c r="J619" i="1"/>
  <c r="J621" i="1"/>
  <c r="J623" i="1"/>
  <c r="J644" i="1"/>
  <c r="J650" i="1"/>
  <c r="J654" i="1"/>
  <c r="J1014" i="1"/>
  <c r="J1020" i="1"/>
  <c r="J1026" i="1"/>
  <c r="J1272" i="1"/>
  <c r="J1390" i="1"/>
  <c r="J383" i="1"/>
  <c r="J399" i="1"/>
  <c r="J618" i="1"/>
  <c r="J610" i="1"/>
  <c r="J602" i="1"/>
  <c r="J620" i="1"/>
  <c r="J614" i="1"/>
  <c r="J604" i="1"/>
  <c r="J598" i="1"/>
  <c r="J1015" i="1"/>
  <c r="J1019" i="1"/>
  <c r="J1003" i="1"/>
  <c r="J1379" i="1"/>
  <c r="J1378" i="1"/>
  <c r="J1493" i="1"/>
  <c r="J1484" i="1"/>
  <c r="J1476" i="1"/>
  <c r="J1468" i="1"/>
  <c r="J1486" i="1"/>
  <c r="J1480" i="1"/>
  <c r="J1470" i="1"/>
  <c r="J1490" i="1"/>
  <c r="J1482" i="1"/>
  <c r="J1478" i="1"/>
  <c r="J1474" i="1"/>
  <c r="J1466" i="1"/>
  <c r="J1487" i="1"/>
  <c r="J1481" i="1"/>
  <c r="J1475" i="1"/>
  <c r="J1530" i="1"/>
  <c r="J1546" i="1"/>
  <c r="J1547" i="1"/>
  <c r="J1541" i="1"/>
  <c r="J1531" i="1"/>
  <c r="J1862" i="1"/>
  <c r="J1848" i="1"/>
  <c r="J1840" i="1"/>
  <c r="J2017" i="1"/>
  <c r="J2013" i="1"/>
  <c r="J2005" i="1"/>
  <c r="J2268" i="1"/>
  <c r="J2261" i="1"/>
  <c r="J2253" i="1"/>
  <c r="J2251" i="1"/>
  <c r="J2249" i="1"/>
  <c r="J2259" i="1"/>
  <c r="J2247" i="1"/>
  <c r="J2263" i="1"/>
  <c r="J2255" i="1"/>
  <c r="J2243" i="1"/>
  <c r="J2241" i="1"/>
  <c r="J2575" i="1"/>
  <c r="J2567" i="1"/>
  <c r="J2563" i="1"/>
  <c r="J2551" i="1"/>
  <c r="J2555" i="1"/>
  <c r="J2569" i="1"/>
  <c r="J2561" i="1"/>
  <c r="J2619" i="1"/>
  <c r="J2621" i="1"/>
  <c r="J2637" i="1"/>
  <c r="J2635" i="1"/>
  <c r="J2633" i="1"/>
  <c r="J2627" i="1"/>
  <c r="J2629" i="1"/>
  <c r="J2625" i="1"/>
  <c r="J2745" i="1"/>
  <c r="J2741" i="1"/>
  <c r="J2753" i="1"/>
  <c r="J2757" i="1"/>
  <c r="J3733" i="1"/>
  <c r="J3754" i="1"/>
  <c r="J3750" i="1"/>
  <c r="J3748" i="1"/>
  <c r="J3736" i="1"/>
  <c r="J609" i="1"/>
  <c r="J601" i="1"/>
  <c r="J634" i="1"/>
  <c r="J1010" i="1"/>
  <c r="J1002" i="1"/>
  <c r="J1254" i="1"/>
  <c r="J1382" i="1"/>
  <c r="J1471" i="1"/>
  <c r="J1535" i="1"/>
  <c r="J1626" i="1"/>
  <c r="J1746" i="1"/>
  <c r="J3488" i="1"/>
  <c r="J1479" i="1"/>
  <c r="J1758" i="1"/>
  <c r="J3494" i="1"/>
  <c r="J3742" i="1"/>
  <c r="J1264" i="1"/>
  <c r="J1483" i="1"/>
  <c r="J1640" i="1"/>
  <c r="J1022" i="1"/>
  <c r="J1394" i="1"/>
  <c r="J1642" i="1"/>
  <c r="J3225" i="1"/>
  <c r="J3504" i="1"/>
  <c r="J606" i="1"/>
  <c r="J622" i="1"/>
  <c r="J643" i="1"/>
  <c r="J1265" i="1"/>
  <c r="J1387" i="1"/>
  <c r="J1747" i="1"/>
  <c r="J1751" i="1"/>
  <c r="J1759" i="1"/>
  <c r="J1763" i="1"/>
  <c r="J1767" i="1"/>
  <c r="J1997" i="1"/>
  <c r="J2245" i="1"/>
  <c r="J2265" i="1"/>
  <c r="J2617" i="1"/>
  <c r="J1274" i="1"/>
  <c r="J1396" i="1"/>
  <c r="J1398" i="1"/>
  <c r="J1467" i="1"/>
  <c r="J1491" i="1"/>
  <c r="J1533" i="1"/>
  <c r="J1553" i="1"/>
  <c r="J1622" i="1"/>
  <c r="J1630" i="1"/>
  <c r="J1646" i="1"/>
  <c r="J1750" i="1"/>
  <c r="J1768" i="1"/>
  <c r="J1770" i="1"/>
  <c r="J1145" i="1"/>
  <c r="J1131" i="1"/>
  <c r="J1408" i="1"/>
  <c r="J1426" i="1"/>
  <c r="J1404" i="1"/>
  <c r="J2604" i="1"/>
  <c r="J2590" i="1"/>
  <c r="J2586" i="1"/>
  <c r="J2582" i="1"/>
  <c r="J2720" i="1"/>
  <c r="J2718" i="1"/>
  <c r="J2792" i="1"/>
  <c r="J2782" i="1"/>
  <c r="J3090" i="1"/>
  <c r="J3096" i="1"/>
  <c r="J3629" i="1"/>
  <c r="J3623" i="1"/>
  <c r="J3611" i="1"/>
  <c r="J1141" i="1"/>
  <c r="J2768" i="1"/>
  <c r="J1001" i="1"/>
  <c r="J3497" i="1"/>
  <c r="J3489" i="1"/>
  <c r="J3483" i="1"/>
  <c r="J3743" i="1"/>
  <c r="J3729" i="1"/>
  <c r="J3731" i="1"/>
  <c r="J1005" i="1"/>
  <c r="J1418" i="1"/>
  <c r="J1428" i="1"/>
  <c r="J2664" i="1"/>
  <c r="J1152" i="1"/>
  <c r="J1524" i="1"/>
  <c r="J1679" i="1"/>
  <c r="J1803" i="1"/>
  <c r="J3384" i="1"/>
  <c r="J3632" i="1"/>
  <c r="J780" i="1"/>
  <c r="J1137" i="1"/>
  <c r="J1147" i="1"/>
  <c r="Q1423" i="1"/>
  <c r="AQ22" i="2" s="1"/>
  <c r="X50" i="3" s="1"/>
  <c r="Q1431" i="1"/>
  <c r="AQ30" i="2" s="1"/>
  <c r="AF50" i="3" s="1"/>
  <c r="Q1621" i="1"/>
  <c r="AX3" i="2" s="1"/>
  <c r="E57" i="3" s="1"/>
  <c r="Q1648" i="1"/>
  <c r="AX30" i="2" s="1"/>
  <c r="AF57" i="3" s="1"/>
  <c r="Q2539" i="1"/>
  <c r="CA22" i="2" s="1"/>
  <c r="Q2547" i="1"/>
  <c r="CA30" i="2" s="1"/>
  <c r="AF82" i="3" s="1"/>
  <c r="Q2790" i="1"/>
  <c r="CI25" i="2" s="1"/>
  <c r="AA82" i="3" s="1"/>
  <c r="Q2795" i="1"/>
  <c r="CI30" i="2" s="1"/>
  <c r="Q3751" i="1"/>
  <c r="DN25" i="2" s="1"/>
  <c r="AA113" i="3" s="1"/>
  <c r="Q3756" i="1"/>
  <c r="DN30" i="2" s="1"/>
  <c r="AF113" i="3" s="1"/>
  <c r="J403" i="1"/>
  <c r="J389" i="1"/>
  <c r="J385" i="1"/>
  <c r="J401" i="1"/>
  <c r="J395" i="1"/>
  <c r="J1017" i="1"/>
  <c r="J1013" i="1"/>
  <c r="J1393" i="1"/>
  <c r="J1389" i="1"/>
  <c r="J1375" i="1"/>
  <c r="J1397" i="1"/>
  <c r="J1383" i="1"/>
  <c r="J1373" i="1"/>
  <c r="J1381" i="1"/>
  <c r="J1544" i="1"/>
  <c r="J1540" i="1"/>
  <c r="J1550" i="1"/>
  <c r="J1536" i="1"/>
  <c r="J1534" i="1"/>
  <c r="J1528" i="1"/>
  <c r="J1639" i="1"/>
  <c r="J1625" i="1"/>
  <c r="J1621" i="1"/>
  <c r="J1645" i="1"/>
  <c r="J1641" i="1"/>
  <c r="J1631" i="1"/>
  <c r="J1633" i="1"/>
  <c r="J1865" i="1"/>
  <c r="J1852" i="1"/>
  <c r="J1838" i="1"/>
  <c r="J2015" i="1"/>
  <c r="J2001" i="1"/>
  <c r="J1993" i="1"/>
  <c r="J2007" i="1"/>
  <c r="J1995" i="1"/>
  <c r="J2106" i="1"/>
  <c r="J2088" i="1"/>
  <c r="J2102" i="1"/>
  <c r="J2513" i="1"/>
  <c r="J2495" i="1"/>
  <c r="J2507" i="1"/>
  <c r="J2489" i="1"/>
  <c r="J2516" i="1"/>
  <c r="J2573" i="1"/>
  <c r="J2559" i="1"/>
  <c r="J2553" i="1"/>
  <c r="J2631" i="1"/>
  <c r="J2623" i="1"/>
  <c r="J2615" i="1"/>
  <c r="J2697" i="1"/>
  <c r="J2691" i="1"/>
  <c r="J2677" i="1"/>
  <c r="J2683" i="1"/>
  <c r="J2695" i="1"/>
  <c r="J2675" i="1"/>
  <c r="J2699" i="1"/>
  <c r="J2687" i="1"/>
  <c r="J2689" i="1"/>
  <c r="J2764" i="1"/>
  <c r="J2755" i="1"/>
  <c r="J2751" i="1"/>
  <c r="J2747" i="1"/>
  <c r="J2879" i="1"/>
  <c r="J2875" i="1"/>
  <c r="J2867" i="1"/>
  <c r="J2863" i="1"/>
  <c r="J2883" i="1"/>
  <c r="J2888" i="1"/>
  <c r="J2877" i="1"/>
  <c r="J2869" i="1"/>
  <c r="J2885" i="1"/>
  <c r="J2873" i="1"/>
  <c r="J3214" i="1"/>
  <c r="J3210" i="1"/>
  <c r="J3226" i="1"/>
  <c r="J3220" i="1"/>
  <c r="J3208" i="1"/>
  <c r="J3278" i="1"/>
  <c r="J3264" i="1"/>
  <c r="J3288" i="1"/>
  <c r="J3268" i="1"/>
  <c r="J3286" i="1"/>
  <c r="J3270" i="1"/>
  <c r="J3508" i="1"/>
  <c r="J3503" i="1"/>
  <c r="J3495" i="1"/>
  <c r="J3487" i="1"/>
  <c r="J3753" i="1"/>
  <c r="J3749" i="1"/>
  <c r="J3735" i="1"/>
  <c r="J3739" i="1"/>
  <c r="J2172" i="1"/>
  <c r="J2164" i="1"/>
  <c r="J2156" i="1"/>
  <c r="J2168" i="1"/>
  <c r="J2160" i="1"/>
  <c r="J2162" i="1"/>
  <c r="J1007" i="1"/>
  <c r="J1021" i="1"/>
  <c r="J1844" i="1"/>
  <c r="J1854" i="1"/>
  <c r="J1858" i="1"/>
  <c r="J408" i="1"/>
  <c r="J904" i="1"/>
  <c r="Q904" i="1"/>
  <c r="Z30" i="2" s="1"/>
  <c r="AF33" i="3" s="1"/>
  <c r="Q2051" i="1"/>
  <c r="BK30" i="2" s="1"/>
  <c r="AF66" i="3" s="1"/>
  <c r="J2702" i="1"/>
  <c r="Q2888" i="1"/>
  <c r="CL30" i="2" s="1"/>
  <c r="AF85" i="3" s="1"/>
  <c r="Q3229" i="1"/>
  <c r="CW30" i="2" s="1"/>
  <c r="AF96" i="3" s="1"/>
  <c r="J525" i="1"/>
  <c r="J1391" i="1"/>
  <c r="J387" i="1"/>
  <c r="J397" i="1"/>
  <c r="J405" i="1"/>
  <c r="J1356" i="1"/>
  <c r="J1532" i="1"/>
  <c r="J1542" i="1"/>
  <c r="J1999" i="1"/>
  <c r="J2011" i="1"/>
  <c r="J2148" i="1"/>
  <c r="J2373" i="1"/>
  <c r="J2385" i="1"/>
  <c r="J2493" i="1"/>
  <c r="J2501" i="1"/>
  <c r="J2865" i="1"/>
  <c r="J3202" i="1"/>
  <c r="J3212" i="1"/>
  <c r="J3272" i="1"/>
  <c r="Q1477" i="1"/>
  <c r="AS14" i="2" s="1"/>
  <c r="P52" i="3" s="1"/>
  <c r="Q1493" i="1"/>
  <c r="AS30" i="2" s="1"/>
  <c r="AF52" i="3" s="1"/>
  <c r="Q1550" i="1"/>
  <c r="AU25" i="2" s="1"/>
  <c r="AA54" i="3" s="1"/>
  <c r="Q1555" i="1"/>
  <c r="AU30" i="2" s="1"/>
  <c r="AF54" i="3" s="1"/>
  <c r="Q1885" i="1"/>
  <c r="BF19" i="2" s="1"/>
  <c r="U61" i="3" s="1"/>
  <c r="Q1896" i="1"/>
  <c r="BF30" i="2" s="1"/>
  <c r="Q2015" i="1"/>
  <c r="BJ25" i="2" s="1"/>
  <c r="AA65" i="3" s="1"/>
  <c r="Q2020" i="1"/>
  <c r="BJ30" i="2" s="1"/>
  <c r="AF65" i="3" s="1"/>
  <c r="Q2498" i="1"/>
  <c r="BZ12" i="2" s="1"/>
  <c r="Q2516" i="1"/>
  <c r="BZ30" i="2" s="1"/>
  <c r="AF81" i="3" s="1"/>
  <c r="Q2632" i="1"/>
  <c r="CD22" i="2" s="1"/>
  <c r="Q2640" i="1"/>
  <c r="CD30" i="2" s="1"/>
  <c r="Q2746" i="1"/>
  <c r="CH12" i="2" s="1"/>
  <c r="N81" i="3" s="1"/>
  <c r="Q2764" i="1"/>
  <c r="CH30" i="2" s="1"/>
  <c r="Q3623" i="1"/>
  <c r="DJ21" i="2" s="1"/>
  <c r="W109" i="3" s="1"/>
  <c r="Q3632" i="1"/>
  <c r="DJ30" i="2" s="1"/>
  <c r="AF109" i="3" s="1"/>
  <c r="Q1152" i="1"/>
  <c r="AH30" i="2" s="1"/>
  <c r="AF41" i="3" s="1"/>
  <c r="Q1369" i="1"/>
  <c r="AO30" i="2" s="1"/>
  <c r="AF48" i="3" s="1"/>
  <c r="J1648" i="1"/>
  <c r="Q1772" i="1"/>
  <c r="BB30" i="2" s="1"/>
  <c r="AF61" i="3" s="1"/>
  <c r="Q1803" i="1"/>
  <c r="BC30" i="2" s="1"/>
  <c r="AF62" i="3" s="1"/>
  <c r="Q2671" i="1"/>
  <c r="CE30" i="2" s="1"/>
  <c r="Q2733" i="1"/>
  <c r="CG30" i="2" s="1"/>
  <c r="Q3105" i="1"/>
  <c r="CS30" i="2" s="1"/>
  <c r="AF92" i="3" s="1"/>
  <c r="Q3260" i="1"/>
  <c r="CX30" i="2" s="1"/>
  <c r="AF97" i="3" s="1"/>
  <c r="Q3384" i="1"/>
  <c r="DB30" i="2" s="1"/>
  <c r="AF101" i="3" s="1"/>
  <c r="J877" i="1"/>
  <c r="J885" i="1"/>
  <c r="J393" i="1"/>
  <c r="J1548" i="1"/>
  <c r="J1623" i="1"/>
  <c r="J2170" i="1"/>
  <c r="J2499" i="1"/>
  <c r="J2685" i="1"/>
  <c r="J3222" i="1"/>
  <c r="J3280" i="1"/>
  <c r="J625" i="1"/>
  <c r="J1617" i="1"/>
  <c r="Q1021" i="1"/>
  <c r="AD23" i="2" s="1"/>
  <c r="Y37" i="3" s="1"/>
  <c r="Q1028" i="1"/>
  <c r="AD30" i="2" s="1"/>
  <c r="AF37" i="3" s="1"/>
  <c r="Q1391" i="1"/>
  <c r="AP21" i="2" s="1"/>
  <c r="W49" i="3" s="1"/>
  <c r="Q1400" i="1"/>
  <c r="AP30" i="2" s="1"/>
  <c r="AF49" i="3" s="1"/>
  <c r="Q1611" i="1"/>
  <c r="AW24" i="2" s="1"/>
  <c r="Z56" i="3" s="1"/>
  <c r="Q1617" i="1"/>
  <c r="AW30" i="2" s="1"/>
  <c r="AF56" i="3" s="1"/>
  <c r="Q1674" i="1"/>
  <c r="AY25" i="2" s="1"/>
  <c r="AA58" i="3" s="1"/>
  <c r="Q1679" i="1"/>
  <c r="AY30" i="2" s="1"/>
  <c r="AF58" i="3" s="1"/>
  <c r="Q2605" i="1"/>
  <c r="CC26" i="2" s="1"/>
  <c r="Q2609" i="1"/>
  <c r="CC30" i="2" s="1"/>
  <c r="AF84" i="3" s="1"/>
  <c r="J521" i="1"/>
  <c r="J517" i="1"/>
  <c r="J529" i="1"/>
  <c r="J519" i="1"/>
  <c r="J509" i="1"/>
  <c r="J505" i="1"/>
  <c r="J901" i="1"/>
  <c r="J887" i="1"/>
  <c r="J893" i="1"/>
  <c r="J889" i="1"/>
  <c r="J879" i="1"/>
  <c r="J881" i="1"/>
  <c r="J1139" i="1"/>
  <c r="J1125" i="1"/>
  <c r="J1366" i="1"/>
  <c r="J1352" i="1"/>
  <c r="J1348" i="1"/>
  <c r="J1342" i="1"/>
  <c r="J1420" i="1"/>
  <c r="J1416" i="1"/>
  <c r="J2381" i="1"/>
  <c r="J2367" i="1"/>
  <c r="J2389" i="1"/>
  <c r="J2383" i="1"/>
  <c r="J2369" i="1"/>
  <c r="J2544" i="1"/>
  <c r="J2536" i="1"/>
  <c r="J2528" i="1"/>
  <c r="J2520" i="1"/>
  <c r="J2606" i="1"/>
  <c r="J2594" i="1"/>
  <c r="J2592" i="1"/>
  <c r="J2658" i="1"/>
  <c r="J2654" i="1"/>
  <c r="J2666" i="1"/>
  <c r="J2656" i="1"/>
  <c r="J2646" i="1"/>
  <c r="J2671" i="1"/>
  <c r="J2648" i="1"/>
  <c r="J2644" i="1"/>
  <c r="J2730" i="1"/>
  <c r="J2722" i="1"/>
  <c r="J2714" i="1"/>
  <c r="J2706" i="1"/>
  <c r="J2790" i="1"/>
  <c r="J2776" i="1"/>
  <c r="J2772" i="1"/>
  <c r="J2786" i="1"/>
  <c r="J2770" i="1"/>
  <c r="J3105" i="1"/>
  <c r="J3100" i="1"/>
  <c r="J3086" i="1"/>
  <c r="J3082" i="1"/>
  <c r="J3088" i="1"/>
  <c r="J3080" i="1"/>
  <c r="J3257" i="1"/>
  <c r="J3249" i="1"/>
  <c r="J3241" i="1"/>
  <c r="J3233" i="1"/>
  <c r="J3381" i="1"/>
  <c r="J3373" i="1"/>
  <c r="J3365" i="1"/>
  <c r="J3357" i="1"/>
  <c r="J3625" i="1"/>
  <c r="J3617" i="1"/>
  <c r="J3609" i="1"/>
  <c r="J3266" i="1"/>
  <c r="J3282" i="1"/>
  <c r="J3481" i="1"/>
  <c r="J3485" i="1"/>
  <c r="J3499" i="1"/>
  <c r="J1009" i="1"/>
  <c r="J1023" i="1"/>
  <c r="J1149" i="1"/>
  <c r="J1842" i="1"/>
  <c r="J2780" i="1"/>
  <c r="J3084" i="1"/>
  <c r="J3094" i="1"/>
  <c r="J3098" i="1"/>
  <c r="J3737" i="1"/>
  <c r="J3741" i="1"/>
  <c r="J3751" i="1"/>
  <c r="Q1834" i="1"/>
  <c r="BD30" i="2" s="1"/>
  <c r="AF63" i="3" s="1"/>
  <c r="J2020" i="1"/>
  <c r="Q2113" i="1"/>
  <c r="BM30" i="2" s="1"/>
  <c r="AF68" i="3" s="1"/>
  <c r="J2175" i="1"/>
  <c r="Q2392" i="1"/>
  <c r="BV30" i="2" s="1"/>
  <c r="AF77" i="3" s="1"/>
  <c r="Q3136" i="1"/>
  <c r="CT30" i="2" s="1"/>
  <c r="AF93" i="3" s="1"/>
  <c r="J3756" i="1"/>
  <c r="J527" i="1"/>
  <c r="J1344" i="1"/>
  <c r="J1360" i="1"/>
  <c r="J1629" i="1"/>
  <c r="J1637" i="1"/>
  <c r="J2166" i="1"/>
  <c r="J2379" i="1"/>
  <c r="J2681" i="1"/>
  <c r="J2693" i="1"/>
  <c r="J2861" i="1"/>
  <c r="J3206" i="1"/>
  <c r="J3218" i="1"/>
  <c r="J3276" i="1"/>
  <c r="Q2690" i="1"/>
  <c r="CF18" i="2" s="1"/>
  <c r="Q2702" i="1"/>
  <c r="CF30" i="2" s="1"/>
  <c r="Q3277" i="1"/>
  <c r="CY16" i="2" s="1"/>
  <c r="R98" i="3" s="1"/>
  <c r="Q3291" i="1"/>
  <c r="CY30" i="2" s="1"/>
  <c r="AF98" i="3" s="1"/>
  <c r="J2557" i="1"/>
  <c r="J2565" i="1"/>
  <c r="J2571" i="1"/>
  <c r="J2613" i="1"/>
  <c r="J2743" i="1"/>
  <c r="J2749" i="1"/>
  <c r="J2759" i="1"/>
  <c r="J3216" i="1"/>
  <c r="J3237" i="1"/>
  <c r="J3251" i="1"/>
  <c r="J3255" i="1"/>
  <c r="J3361" i="1"/>
  <c r="J3375" i="1"/>
  <c r="J3379" i="1"/>
  <c r="J3491" i="1"/>
  <c r="J3505" i="1"/>
  <c r="J3607" i="1"/>
  <c r="J3621" i="1"/>
  <c r="J3747" i="1"/>
  <c r="J1129" i="1"/>
  <c r="J1410" i="1"/>
  <c r="J1424" i="1"/>
  <c r="J1846" i="1"/>
  <c r="J1850" i="1"/>
  <c r="J1860" i="1"/>
  <c r="J2774" i="1"/>
  <c r="J2784" i="1"/>
  <c r="J2788" i="1"/>
  <c r="J3078" i="1"/>
  <c r="J3092" i="1"/>
  <c r="J3102" i="1"/>
  <c r="J3745" i="1"/>
  <c r="J1028" i="1"/>
  <c r="Q1276" i="1"/>
  <c r="AL30" i="2" s="1"/>
  <c r="AF45" i="3" s="1"/>
  <c r="Q1524" i="1"/>
  <c r="AT30" i="2" s="1"/>
  <c r="AF53" i="3" s="1"/>
  <c r="Q1865" i="1"/>
  <c r="BE30" i="2" s="1"/>
  <c r="AF64" i="3" s="1"/>
  <c r="Q2144" i="1"/>
  <c r="BN30" i="2" s="1"/>
  <c r="AF69" i="3" s="1"/>
  <c r="Q2268" i="1"/>
  <c r="BR30" i="2" s="1"/>
  <c r="AF73" i="3" s="1"/>
  <c r="J2547" i="1"/>
  <c r="J2578" i="1"/>
  <c r="Q2578" i="1"/>
  <c r="CB30" i="2" s="1"/>
  <c r="AF83" i="3" s="1"/>
  <c r="J3260" i="1"/>
  <c r="Q3508" i="1"/>
  <c r="DF30" i="2" s="1"/>
  <c r="AF105" i="3" s="1"/>
  <c r="J513" i="1"/>
  <c r="J897" i="1"/>
  <c r="J1377" i="1"/>
  <c r="J1385" i="1"/>
  <c r="J2662" i="1"/>
  <c r="J381" i="1"/>
  <c r="J1350" i="1"/>
  <c r="J1358" i="1"/>
  <c r="J1552" i="1"/>
  <c r="J2003" i="1"/>
  <c r="J2152" i="1"/>
  <c r="J2365" i="1"/>
  <c r="J2387" i="1"/>
  <c r="J2679" i="1"/>
  <c r="J2881" i="1"/>
  <c r="J3204" i="1"/>
  <c r="J3284" i="1"/>
  <c r="J1276" i="1"/>
  <c r="J1400" i="1"/>
  <c r="J1555" i="1"/>
  <c r="J1772" i="1"/>
  <c r="J1896" i="1"/>
  <c r="J2051" i="1"/>
  <c r="J2113" i="1"/>
  <c r="J2392" i="1"/>
  <c r="J2609" i="1"/>
  <c r="J2640" i="1"/>
  <c r="J2795" i="1"/>
  <c r="J3203" i="1"/>
  <c r="J3205" i="1"/>
  <c r="J3209" i="1"/>
  <c r="J3211" i="1"/>
  <c r="J3213" i="1"/>
  <c r="J3217" i="1"/>
  <c r="J3219" i="1"/>
  <c r="J3223" i="1"/>
  <c r="J3227" i="1"/>
  <c r="J3229" i="1"/>
  <c r="J3265" i="1"/>
  <c r="J3267" i="1"/>
  <c r="J3271" i="1"/>
  <c r="J3273" i="1"/>
  <c r="J3275" i="1"/>
  <c r="J3277" i="1"/>
  <c r="J3279" i="1"/>
  <c r="J3281" i="1"/>
  <c r="J3283" i="1"/>
  <c r="J3285" i="1"/>
  <c r="J3287" i="1"/>
  <c r="J3289" i="1"/>
  <c r="J3291" i="1"/>
  <c r="J2086" i="1"/>
  <c r="J2090" i="1"/>
  <c r="J2092" i="1"/>
  <c r="J2094" i="1"/>
  <c r="J2096" i="1"/>
  <c r="J2098" i="1"/>
  <c r="J2100" i="1"/>
  <c r="J2104" i="1"/>
  <c r="J2108" i="1"/>
  <c r="J2110" i="1"/>
  <c r="J2531" i="1"/>
  <c r="J2089" i="1"/>
  <c r="J3095" i="1"/>
  <c r="Q2617" i="1"/>
  <c r="CD7" i="2" s="1"/>
  <c r="J1847" i="1"/>
  <c r="J1994" i="1"/>
  <c r="J2031" i="1"/>
  <c r="J2126" i="1"/>
  <c r="J2494" i="1"/>
  <c r="J2529" i="1"/>
  <c r="J2634" i="1"/>
  <c r="J2688" i="1"/>
  <c r="J2748" i="1"/>
  <c r="J2029" i="1"/>
  <c r="J2492" i="1"/>
  <c r="J1845" i="1"/>
  <c r="J1880" i="1"/>
  <c r="J1996" i="1"/>
  <c r="J2099" i="1"/>
  <c r="J2128" i="1"/>
  <c r="J2366" i="1"/>
  <c r="J764" i="1"/>
  <c r="J2157" i="1"/>
  <c r="J2091" i="1"/>
  <c r="Q3236" i="1"/>
  <c r="CX6" i="2" s="1"/>
  <c r="H97" i="3" s="1"/>
  <c r="Q1592" i="1"/>
  <c r="AW5" i="2" s="1"/>
  <c r="G56" i="3" s="1"/>
  <c r="Q2595" i="1"/>
  <c r="CC16" i="2" s="1"/>
  <c r="Q3368" i="1"/>
  <c r="DB14" i="2" s="1"/>
  <c r="P101" i="3" s="1"/>
  <c r="Q3248" i="1"/>
  <c r="CX18" i="2" s="1"/>
  <c r="T97" i="3" s="1"/>
  <c r="Q1261" i="1"/>
  <c r="AL15" i="2" s="1"/>
  <c r="Q45" i="3" s="1"/>
  <c r="Q3087" i="1"/>
  <c r="CS12" i="2" s="1"/>
  <c r="N92" i="3" s="1"/>
  <c r="Q3091" i="1"/>
  <c r="CS16" i="2" s="1"/>
  <c r="R92" i="3" s="1"/>
  <c r="Q2251" i="1"/>
  <c r="BR13" i="2" s="1"/>
  <c r="O73" i="3" s="1"/>
  <c r="Q3083" i="1"/>
  <c r="CS8" i="2" s="1"/>
  <c r="J92" i="3" s="1"/>
  <c r="Q3621" i="1"/>
  <c r="DJ19" i="2" s="1"/>
  <c r="U109" i="3" s="1"/>
  <c r="Q2033" i="1"/>
  <c r="BK12" i="2" s="1"/>
  <c r="N66" i="3" s="1"/>
  <c r="Q3079" i="1"/>
  <c r="CS4" i="2" s="1"/>
  <c r="F92" i="3" s="1"/>
  <c r="Q3078" i="1"/>
  <c r="CS3" i="2" s="1"/>
  <c r="E92" i="3" s="1"/>
  <c r="Q3609" i="1"/>
  <c r="DJ7" i="2" s="1"/>
  <c r="I109" i="3" s="1"/>
  <c r="Q2625" i="1"/>
  <c r="CD15" i="2" s="1"/>
  <c r="Q1410" i="1"/>
  <c r="AQ9" i="2" s="1"/>
  <c r="K50" i="3" s="1"/>
  <c r="Q2024" i="1"/>
  <c r="BK3" i="2" s="1"/>
  <c r="E66" i="3" s="1"/>
  <c r="Q2621" i="1"/>
  <c r="CD11" i="2" s="1"/>
  <c r="Q2025" i="1"/>
  <c r="BK4" i="2" s="1"/>
  <c r="F66" i="3" s="1"/>
  <c r="Q2629" i="1"/>
  <c r="CD19" i="2" s="1"/>
  <c r="Q3360" i="1"/>
  <c r="DB6" i="2" s="1"/>
  <c r="H101" i="3" s="1"/>
  <c r="Q1002" i="1"/>
  <c r="AD4" i="2" s="1"/>
  <c r="F37" i="3" s="1"/>
  <c r="Q1375" i="1"/>
  <c r="AP5" i="2" s="1"/>
  <c r="G49" i="3" s="1"/>
  <c r="Q2685" i="1"/>
  <c r="CF13" i="2" s="1"/>
  <c r="Q2565" i="1"/>
  <c r="CB17" i="2" s="1"/>
  <c r="J1851" i="1"/>
  <c r="J1872" i="1"/>
  <c r="J2002" i="1"/>
  <c r="J2039" i="1"/>
  <c r="J2097" i="1"/>
  <c r="J2118" i="1"/>
  <c r="J2246" i="1"/>
  <c r="J2372" i="1"/>
  <c r="J2500" i="1"/>
  <c r="J2521" i="1"/>
  <c r="J2556" i="1"/>
  <c r="J2583" i="1"/>
  <c r="J2628" i="1"/>
  <c r="J2651" i="1"/>
  <c r="J2758" i="1"/>
  <c r="J2866" i="1"/>
  <c r="J3093" i="1"/>
  <c r="J756" i="1"/>
  <c r="J2155" i="1"/>
  <c r="Q2696" i="1"/>
  <c r="CF24" i="2" s="1"/>
  <c r="Q1504" i="1"/>
  <c r="AT10" i="2" s="1"/>
  <c r="L53" i="3" s="1"/>
  <c r="Q2655" i="1"/>
  <c r="CE14" i="2" s="1"/>
  <c r="Q1014" i="1"/>
  <c r="AD16" i="2" s="1"/>
  <c r="R37" i="3" s="1"/>
  <c r="Q1387" i="1"/>
  <c r="AP17" i="2" s="1"/>
  <c r="S49" i="3" s="1"/>
  <c r="Q1659" i="1"/>
  <c r="AY10" i="2" s="1"/>
  <c r="L58" i="3" s="1"/>
  <c r="Q3363" i="1"/>
  <c r="DB9" i="2" s="1"/>
  <c r="K101" i="3" s="1"/>
  <c r="Q3371" i="1"/>
  <c r="DB17" i="2" s="1"/>
  <c r="S101" i="3" s="1"/>
  <c r="J762" i="1"/>
  <c r="J760" i="1"/>
  <c r="J1843" i="1"/>
  <c r="J1841" i="1"/>
  <c r="J1878" i="1"/>
  <c r="J1876" i="1"/>
  <c r="J2027" i="1"/>
  <c r="J2025" i="1"/>
  <c r="J2095" i="1"/>
  <c r="J2087" i="1"/>
  <c r="J2124" i="1"/>
  <c r="J2122" i="1"/>
  <c r="J2252" i="1"/>
  <c r="J2250" i="1"/>
  <c r="J2376" i="1"/>
  <c r="J2490" i="1"/>
  <c r="J2527" i="1"/>
  <c r="J2525" i="1"/>
  <c r="J2562" i="1"/>
  <c r="J2560" i="1"/>
  <c r="J2591" i="1"/>
  <c r="J2622" i="1"/>
  <c r="J2614" i="1"/>
  <c r="J2655" i="1"/>
  <c r="J2647" i="1"/>
  <c r="J2862" i="1"/>
  <c r="J770" i="1"/>
  <c r="J1886" i="1"/>
  <c r="J2630" i="1"/>
  <c r="J2140" i="1"/>
  <c r="Q1842" i="1"/>
  <c r="BE7" i="2" s="1"/>
  <c r="Q2098" i="1"/>
  <c r="BM15" i="2" s="1"/>
  <c r="Q68" i="3" s="1"/>
  <c r="Q2651" i="1"/>
  <c r="CE10" i="2" s="1"/>
  <c r="Q3359" i="1"/>
  <c r="DB5" i="2" s="1"/>
  <c r="G101" i="3" s="1"/>
  <c r="Q3367" i="1"/>
  <c r="DB13" i="2" s="1"/>
  <c r="O101" i="3" s="1"/>
  <c r="J754" i="1"/>
  <c r="J1849" i="1"/>
  <c r="J1870" i="1"/>
  <c r="J2000" i="1"/>
  <c r="J1998" i="1"/>
  <c r="J2035" i="1"/>
  <c r="J2033" i="1"/>
  <c r="J2093" i="1"/>
  <c r="J2244" i="1"/>
  <c r="J2242" i="1"/>
  <c r="J2370" i="1"/>
  <c r="J2368" i="1"/>
  <c r="J2498" i="1"/>
  <c r="J2496" i="1"/>
  <c r="J2554" i="1"/>
  <c r="J2552" i="1"/>
  <c r="J2618" i="1"/>
  <c r="J2744" i="1"/>
  <c r="J2870" i="1"/>
  <c r="J2626" i="1"/>
  <c r="J2132" i="1"/>
  <c r="J2134" i="1"/>
  <c r="Q1001" i="1"/>
  <c r="AD3" i="2" s="1"/>
  <c r="E37" i="3" s="1"/>
  <c r="Q1663" i="1"/>
  <c r="AY14" i="2" s="1"/>
  <c r="P58" i="3" s="1"/>
  <c r="Q2865" i="1"/>
  <c r="CL7" i="2" s="1"/>
  <c r="I85" i="3" s="1"/>
  <c r="Q3267" i="1"/>
  <c r="CY6" i="2" s="1"/>
  <c r="H98" i="3" s="1"/>
  <c r="Q3364" i="1"/>
  <c r="DB10" i="2" s="1"/>
  <c r="L101" i="3" s="1"/>
  <c r="Q3372" i="1"/>
  <c r="DB18" i="2" s="1"/>
  <c r="T101" i="3" s="1"/>
  <c r="J758" i="1"/>
  <c r="J1839" i="1"/>
  <c r="J1874" i="1"/>
  <c r="J2004" i="1"/>
  <c r="J2120" i="1"/>
  <c r="J2248" i="1"/>
  <c r="J2374" i="1"/>
  <c r="J2523" i="1"/>
  <c r="J2558" i="1"/>
  <c r="J2587" i="1"/>
  <c r="J2740" i="1"/>
  <c r="Q2783" i="1"/>
  <c r="CI18" i="2" s="1"/>
  <c r="T82" i="3" s="1"/>
  <c r="Q1535" i="1"/>
  <c r="AU10" i="2" s="1"/>
  <c r="L54" i="3" s="1"/>
  <c r="Q2365" i="1"/>
  <c r="BV3" i="2" s="1"/>
  <c r="E77" i="3" s="1"/>
  <c r="Q1010" i="1"/>
  <c r="AD12" i="2" s="1"/>
  <c r="N37" i="3" s="1"/>
  <c r="Q1132" i="1"/>
  <c r="AH10" i="2" s="1"/>
  <c r="L41" i="3" s="1"/>
  <c r="Q1383" i="1"/>
  <c r="AP13" i="2" s="1"/>
  <c r="O49" i="3" s="1"/>
  <c r="Q1655" i="1"/>
  <c r="AY6" i="2" s="1"/>
  <c r="H58" i="3" s="1"/>
  <c r="Q1758" i="1"/>
  <c r="BB16" i="2" s="1"/>
  <c r="Q2378" i="1"/>
  <c r="BV16" i="2" s="1"/>
  <c r="R77" i="3" s="1"/>
  <c r="Q2587" i="1"/>
  <c r="CC8" i="2" s="1"/>
  <c r="Q2647" i="1"/>
  <c r="CE6" i="2" s="1"/>
  <c r="Q2677" i="1"/>
  <c r="CF5" i="2" s="1"/>
  <c r="Q2779" i="1"/>
  <c r="CI14" i="2" s="1"/>
  <c r="P82" i="3" s="1"/>
  <c r="Q3358" i="1"/>
  <c r="DB4" i="2" s="1"/>
  <c r="F101" i="3" s="1"/>
  <c r="Q3362" i="1"/>
  <c r="DB8" i="2" s="1"/>
  <c r="J101" i="3" s="1"/>
  <c r="Q3366" i="1"/>
  <c r="DB12" i="2" s="1"/>
  <c r="N101" i="3" s="1"/>
  <c r="Q3370" i="1"/>
  <c r="DB16" i="2" s="1"/>
  <c r="R101" i="3" s="1"/>
  <c r="Q3357" i="1"/>
  <c r="DB3" i="2" s="1"/>
  <c r="E101" i="3" s="1"/>
  <c r="Q2591" i="1"/>
  <c r="CC12" i="2" s="1"/>
  <c r="Q2681" i="1"/>
  <c r="CF9" i="2" s="1"/>
  <c r="Q1006" i="1"/>
  <c r="AD8" i="2" s="1"/>
  <c r="J37" i="3" s="1"/>
  <c r="Q1128" i="1"/>
  <c r="AH6" i="2" s="1"/>
  <c r="H41" i="3" s="1"/>
  <c r="Q1379" i="1"/>
  <c r="AP9" i="2" s="1"/>
  <c r="K49" i="3" s="1"/>
  <c r="Q1475" i="1"/>
  <c r="AS12" i="2" s="1"/>
  <c r="N52" i="3" s="1"/>
  <c r="Q1596" i="1"/>
  <c r="AW9" i="2" s="1"/>
  <c r="K56" i="3" s="1"/>
  <c r="Q1667" i="1"/>
  <c r="AY18" i="2" s="1"/>
  <c r="T58" i="3" s="1"/>
  <c r="Q2366" i="1"/>
  <c r="BV4" i="2" s="1"/>
  <c r="F77" i="3" s="1"/>
  <c r="Q2583" i="1"/>
  <c r="CC4" i="2" s="1"/>
  <c r="Q2582" i="1"/>
  <c r="CC3" i="2" s="1"/>
  <c r="Q2659" i="1"/>
  <c r="CE18" i="2" s="1"/>
  <c r="Q2689" i="1"/>
  <c r="CF17" i="2" s="1"/>
  <c r="Q3275" i="1"/>
  <c r="CY14" i="2" s="1"/>
  <c r="P98" i="3" s="1"/>
  <c r="Q3361" i="1"/>
  <c r="DB7" i="2" s="1"/>
  <c r="I101" i="3" s="1"/>
  <c r="Q3365" i="1"/>
  <c r="DB11" i="2" s="1"/>
  <c r="M101" i="3" s="1"/>
  <c r="Q3369" i="1"/>
  <c r="DB15" i="2" s="1"/>
  <c r="Q101" i="3" s="1"/>
  <c r="Q3373" i="1"/>
  <c r="DB19" i="2" s="1"/>
  <c r="U101" i="3" s="1"/>
  <c r="Q3738" i="1"/>
  <c r="DN12" i="2" s="1"/>
  <c r="N113" i="3" s="1"/>
  <c r="J1859" i="1"/>
  <c r="J1857" i="1"/>
  <c r="J1855" i="1"/>
  <c r="J1861" i="1"/>
  <c r="J1853" i="1"/>
  <c r="J1892" i="1"/>
  <c r="J1894" i="1"/>
  <c r="J1888" i="1"/>
  <c r="J1884" i="1"/>
  <c r="J1882" i="1"/>
  <c r="J1890" i="1"/>
  <c r="J2008" i="1"/>
  <c r="J2014" i="1"/>
  <c r="J2012" i="1"/>
  <c r="J2016" i="1"/>
  <c r="J2010" i="1"/>
  <c r="J2006" i="1"/>
  <c r="J2045" i="1"/>
  <c r="J2043" i="1"/>
  <c r="J2047" i="1"/>
  <c r="J2041" i="1"/>
  <c r="J2049" i="1"/>
  <c r="J2037" i="1"/>
  <c r="J2111" i="1"/>
  <c r="J2109" i="1"/>
  <c r="J2103" i="1"/>
  <c r="J2107" i="1"/>
  <c r="J2105" i="1"/>
  <c r="J2101" i="1"/>
  <c r="J2138" i="1"/>
  <c r="J2130" i="1"/>
  <c r="J2136" i="1"/>
  <c r="J2262" i="1"/>
  <c r="J2258" i="1"/>
  <c r="J2256" i="1"/>
  <c r="J2266" i="1"/>
  <c r="J2264" i="1"/>
  <c r="J2254" i="1"/>
  <c r="J2260" i="1"/>
  <c r="J2384" i="1"/>
  <c r="J2378" i="1"/>
  <c r="J2386" i="1"/>
  <c r="J2390" i="1"/>
  <c r="J2388" i="1"/>
  <c r="J2382" i="1"/>
  <c r="J2380" i="1"/>
  <c r="J2512" i="1"/>
  <c r="J2508" i="1"/>
  <c r="J2510" i="1"/>
  <c r="J2506" i="1"/>
  <c r="J2504" i="1"/>
  <c r="J2502" i="1"/>
  <c r="J2543" i="1"/>
  <c r="J2541" i="1"/>
  <c r="J2545" i="1"/>
  <c r="J2539" i="1"/>
  <c r="J2537" i="1"/>
  <c r="J2535" i="1"/>
  <c r="J2533" i="1"/>
  <c r="J2576" i="1"/>
  <c r="J2568" i="1"/>
  <c r="J2566" i="1"/>
  <c r="J2570" i="1"/>
  <c r="J2572" i="1"/>
  <c r="J2564" i="1"/>
  <c r="J2574" i="1"/>
  <c r="J2603" i="1"/>
  <c r="J2601" i="1"/>
  <c r="J2595" i="1"/>
  <c r="J2605" i="1"/>
  <c r="J2599" i="1"/>
  <c r="J2597" i="1"/>
  <c r="J2585" i="1"/>
  <c r="J2589" i="1"/>
  <c r="J2593" i="1"/>
  <c r="J2607" i="1"/>
  <c r="J2638" i="1"/>
  <c r="J2636" i="1"/>
  <c r="J2632" i="1"/>
  <c r="J2616" i="1"/>
  <c r="J2620" i="1"/>
  <c r="J2624" i="1"/>
  <c r="J2665" i="1"/>
  <c r="J2667" i="1"/>
  <c r="J2663" i="1"/>
  <c r="J2661" i="1"/>
  <c r="J2659" i="1"/>
  <c r="J2657" i="1"/>
  <c r="J2645" i="1"/>
  <c r="J2649" i="1"/>
  <c r="J2653" i="1"/>
  <c r="J2700" i="1"/>
  <c r="J2692" i="1"/>
  <c r="J2690" i="1"/>
  <c r="J2698" i="1"/>
  <c r="J2694" i="1"/>
  <c r="J2696" i="1"/>
  <c r="J2678" i="1"/>
  <c r="J2682" i="1"/>
  <c r="J2686" i="1"/>
  <c r="J2676" i="1"/>
  <c r="J2680" i="1"/>
  <c r="J2684" i="1"/>
  <c r="J2729" i="1"/>
  <c r="J2725" i="1"/>
  <c r="J2719" i="1"/>
  <c r="J2731" i="1"/>
  <c r="J2727" i="1"/>
  <c r="J2723" i="1"/>
  <c r="J2715" i="1"/>
  <c r="J2721" i="1"/>
  <c r="J2707" i="1"/>
  <c r="J2711" i="1"/>
  <c r="J2709" i="1"/>
  <c r="J2713" i="1"/>
  <c r="J2717" i="1"/>
  <c r="J2762" i="1"/>
  <c r="J2760" i="1"/>
  <c r="J2756" i="1"/>
  <c r="J2738" i="1"/>
  <c r="J2742" i="1"/>
  <c r="J2746" i="1"/>
  <c r="J2754" i="1"/>
  <c r="J2752" i="1"/>
  <c r="J2750" i="1"/>
  <c r="J2789" i="1"/>
  <c r="J2793" i="1"/>
  <c r="J2791" i="1"/>
  <c r="J2785" i="1"/>
  <c r="J2783" i="1"/>
  <c r="J2781" i="1"/>
  <c r="J2771" i="1"/>
  <c r="J2775" i="1"/>
  <c r="J2779" i="1"/>
  <c r="J2787" i="1"/>
  <c r="J2769" i="1"/>
  <c r="J2773" i="1"/>
  <c r="J2777" i="1"/>
  <c r="J2878" i="1"/>
  <c r="J2876" i="1"/>
  <c r="J2880" i="1"/>
  <c r="J2886" i="1"/>
  <c r="J2884" i="1"/>
  <c r="J2864" i="1"/>
  <c r="J2868" i="1"/>
  <c r="J2872" i="1"/>
  <c r="J2882" i="1"/>
  <c r="J2874" i="1"/>
  <c r="J3097" i="1"/>
  <c r="J3091" i="1"/>
  <c r="J3103" i="1"/>
  <c r="J3099" i="1"/>
  <c r="J3101" i="1"/>
  <c r="J3079" i="1"/>
  <c r="J3083" i="1"/>
  <c r="J3087" i="1"/>
  <c r="J3081" i="1"/>
  <c r="J3085" i="1"/>
  <c r="J3089" i="1"/>
  <c r="J768" i="1"/>
  <c r="J778" i="1"/>
  <c r="J772" i="1"/>
  <c r="J766" i="1"/>
  <c r="J774" i="1"/>
  <c r="J2167" i="1"/>
  <c r="J2163" i="1"/>
  <c r="J2169" i="1"/>
  <c r="J2171" i="1"/>
  <c r="J2165" i="1"/>
  <c r="J2149" i="1"/>
  <c r="J2153" i="1"/>
  <c r="J2151" i="1"/>
  <c r="J2161" i="1"/>
  <c r="J2159" i="1"/>
  <c r="Q2531" i="1"/>
  <c r="CA14" i="2" s="1"/>
  <c r="Q3120" i="1"/>
  <c r="CT14" i="2" s="1"/>
  <c r="P93" i="3" s="1"/>
  <c r="Q3730" i="1"/>
  <c r="DN4" i="2" s="1"/>
  <c r="F113" i="3" s="1"/>
  <c r="Q2122" i="1"/>
  <c r="BN8" i="2" s="1"/>
  <c r="J69" i="3" s="1"/>
  <c r="Q3112" i="1"/>
  <c r="CT6" i="2" s="1"/>
  <c r="H93" i="3" s="1"/>
  <c r="Q886" i="1"/>
  <c r="Z12" i="2" s="1"/>
  <c r="N33" i="3" s="1"/>
  <c r="Q3729" i="1"/>
  <c r="DN3" i="2" s="1"/>
  <c r="E113" i="3" s="1"/>
  <c r="Q1345" i="1"/>
  <c r="AO6" i="2" s="1"/>
  <c r="H48" i="3" s="1"/>
  <c r="Q1414" i="1"/>
  <c r="AQ13" i="2" s="1"/>
  <c r="O50" i="3" s="1"/>
  <c r="Q1466" i="1"/>
  <c r="AS3" i="2" s="1"/>
  <c r="E52" i="3" s="1"/>
  <c r="Q2869" i="1"/>
  <c r="CL11" i="2" s="1"/>
  <c r="M85" i="3" s="1"/>
  <c r="Q3489" i="1"/>
  <c r="DF11" i="2" s="1"/>
  <c r="M105" i="3" s="1"/>
  <c r="Q1406" i="1"/>
  <c r="AQ5" i="2" s="1"/>
  <c r="G50" i="3" s="1"/>
  <c r="Q1467" i="1"/>
  <c r="AS4" i="2" s="1"/>
  <c r="F52" i="3" s="1"/>
  <c r="Q1531" i="1"/>
  <c r="AU6" i="2" s="1"/>
  <c r="H54" i="3" s="1"/>
  <c r="Q2561" i="1"/>
  <c r="CB13" i="2" s="1"/>
  <c r="Q2877" i="1"/>
  <c r="CL19" i="2" s="1"/>
  <c r="U85" i="3" s="1"/>
  <c r="Q3205" i="1"/>
  <c r="CW6" i="2" s="1"/>
  <c r="H96" i="3" s="1"/>
  <c r="Q1357" i="1"/>
  <c r="AO18" i="2" s="1"/>
  <c r="T48" i="3" s="1"/>
  <c r="Q1418" i="1"/>
  <c r="AQ17" i="2" s="1"/>
  <c r="S50" i="3" s="1"/>
  <c r="Q2873" i="1"/>
  <c r="CL15" i="2" s="1"/>
  <c r="Q85" i="3" s="1"/>
  <c r="J1863" i="1"/>
  <c r="J2018" i="1"/>
  <c r="J2142" i="1"/>
  <c r="J2514" i="1"/>
  <c r="J2669" i="1"/>
  <c r="J776" i="1"/>
  <c r="J2173" i="1"/>
  <c r="Q1500" i="1"/>
  <c r="AT6" i="2" s="1"/>
  <c r="H53" i="3" s="1"/>
  <c r="Q2527" i="1"/>
  <c r="CA10" i="2" s="1"/>
  <c r="Q3111" i="1"/>
  <c r="CT5" i="2" s="1"/>
  <c r="G93" i="3" s="1"/>
  <c r="Q3119" i="1"/>
  <c r="CT13" i="2" s="1"/>
  <c r="O93" i="3" s="1"/>
  <c r="Q3745" i="1"/>
  <c r="DN19" i="2" s="1"/>
  <c r="U113" i="3" s="1"/>
  <c r="Q2706" i="1"/>
  <c r="CG3" i="2" s="1"/>
  <c r="Q3737" i="1"/>
  <c r="DN11" i="2" s="1"/>
  <c r="M113" i="3" s="1"/>
  <c r="Q2523" i="1"/>
  <c r="CA6" i="2" s="1"/>
  <c r="Q2715" i="1"/>
  <c r="CG12" i="2" s="1"/>
  <c r="Q3116" i="1"/>
  <c r="CT10" i="2" s="1"/>
  <c r="L93" i="3" s="1"/>
  <c r="Q3124" i="1"/>
  <c r="CT18" i="2" s="1"/>
  <c r="T93" i="3" s="1"/>
  <c r="Q3734" i="1"/>
  <c r="DN8" i="2" s="1"/>
  <c r="J113" i="3" s="1"/>
  <c r="Q3742" i="1"/>
  <c r="DN16" i="2" s="1"/>
  <c r="R113" i="3" s="1"/>
  <c r="Q890" i="1"/>
  <c r="Z16" i="2" s="1"/>
  <c r="R33" i="3" s="1"/>
  <c r="Q1637" i="1"/>
  <c r="AX19" i="2" s="1"/>
  <c r="U57" i="3" s="1"/>
  <c r="Q2130" i="1"/>
  <c r="BN16" i="2" s="1"/>
  <c r="R69" i="3" s="1"/>
  <c r="Q2535" i="1"/>
  <c r="CA18" i="2" s="1"/>
  <c r="Q2707" i="1"/>
  <c r="CG4" i="2" s="1"/>
  <c r="Q3115" i="1"/>
  <c r="CT9" i="2" s="1"/>
  <c r="K93" i="3" s="1"/>
  <c r="Q3123" i="1"/>
  <c r="CT17" i="2" s="1"/>
  <c r="S93" i="3" s="1"/>
  <c r="Q3733" i="1"/>
  <c r="DN7" i="2" s="1"/>
  <c r="I113" i="3" s="1"/>
  <c r="Q3741" i="1"/>
  <c r="DN15" i="2" s="1"/>
  <c r="Q113" i="3" s="1"/>
  <c r="Q878" i="1"/>
  <c r="Z4" i="2" s="1"/>
  <c r="F33" i="3" s="1"/>
  <c r="Q877" i="1"/>
  <c r="Z3" i="2" s="1"/>
  <c r="E33" i="3" s="1"/>
  <c r="Q1136" i="1"/>
  <c r="AH14" i="2" s="1"/>
  <c r="P41" i="3" s="1"/>
  <c r="Q1349" i="1"/>
  <c r="AO10" i="2" s="1"/>
  <c r="L48" i="3" s="1"/>
  <c r="Q1508" i="1"/>
  <c r="AT14" i="2" s="1"/>
  <c r="P53" i="3" s="1"/>
  <c r="Q1539" i="1"/>
  <c r="AU14" i="2" s="1"/>
  <c r="P54" i="3" s="1"/>
  <c r="Q1600" i="1"/>
  <c r="AW13" i="2" s="1"/>
  <c r="O56" i="3" s="1"/>
  <c r="Q1780" i="1"/>
  <c r="BC7" i="2" s="1"/>
  <c r="Q2370" i="1"/>
  <c r="BV8" i="2" s="1"/>
  <c r="J77" i="3" s="1"/>
  <c r="Q2553" i="1"/>
  <c r="CB5" i="2" s="1"/>
  <c r="Q2771" i="1"/>
  <c r="CI6" i="2" s="1"/>
  <c r="H82" i="3" s="1"/>
  <c r="Q3113" i="1"/>
  <c r="CT7" i="2" s="1"/>
  <c r="I93" i="3" s="1"/>
  <c r="Q3117" i="1"/>
  <c r="CT11" i="2" s="1"/>
  <c r="M93" i="3" s="1"/>
  <c r="Q3121" i="1"/>
  <c r="CT15" i="2" s="1"/>
  <c r="Q93" i="3" s="1"/>
  <c r="Q3125" i="1"/>
  <c r="CT19" i="2" s="1"/>
  <c r="U93" i="3" s="1"/>
  <c r="Q3240" i="1"/>
  <c r="CX10" i="2" s="1"/>
  <c r="L97" i="3" s="1"/>
  <c r="Q3613" i="1"/>
  <c r="DJ11" i="2" s="1"/>
  <c r="M109" i="3" s="1"/>
  <c r="Q3731" i="1"/>
  <c r="DN5" i="2" s="1"/>
  <c r="G113" i="3" s="1"/>
  <c r="Q3735" i="1"/>
  <c r="DN9" i="2" s="1"/>
  <c r="K113" i="3" s="1"/>
  <c r="Q3739" i="1"/>
  <c r="DN13" i="2" s="1"/>
  <c r="O113" i="3" s="1"/>
  <c r="Q3743" i="1"/>
  <c r="DN17" i="2" s="1"/>
  <c r="S113" i="3" s="1"/>
  <c r="Q882" i="1"/>
  <c r="Z8" i="2" s="1"/>
  <c r="J33" i="3" s="1"/>
  <c r="Q1140" i="1"/>
  <c r="AH18" i="2" s="1"/>
  <c r="T41" i="3" s="1"/>
  <c r="Q1353" i="1"/>
  <c r="AO14" i="2" s="1"/>
  <c r="P48" i="3" s="1"/>
  <c r="Q1512" i="1"/>
  <c r="AT18" i="2" s="1"/>
  <c r="T53" i="3" s="1"/>
  <c r="Q1543" i="1"/>
  <c r="AU18" i="2" s="1"/>
  <c r="T54" i="3" s="1"/>
  <c r="Q1604" i="1"/>
  <c r="AW17" i="2" s="1"/>
  <c r="S56" i="3" s="1"/>
  <c r="Q1788" i="1"/>
  <c r="BC15" i="2" s="1"/>
  <c r="Q2243" i="1"/>
  <c r="BR5" i="2" s="1"/>
  <c r="G73" i="3" s="1"/>
  <c r="Q2374" i="1"/>
  <c r="BV12" i="2" s="1"/>
  <c r="N77" i="3" s="1"/>
  <c r="Q2557" i="1"/>
  <c r="CB9" i="2" s="1"/>
  <c r="Q2775" i="1"/>
  <c r="CI10" i="2" s="1"/>
  <c r="L82" i="3" s="1"/>
  <c r="Q3110" i="1"/>
  <c r="CT4" i="2" s="1"/>
  <c r="F93" i="3" s="1"/>
  <c r="Q3114" i="1"/>
  <c r="CT8" i="2" s="1"/>
  <c r="J93" i="3" s="1"/>
  <c r="Q3118" i="1"/>
  <c r="CT12" i="2" s="1"/>
  <c r="N93" i="3" s="1"/>
  <c r="Q3122" i="1"/>
  <c r="CT16" i="2" s="1"/>
  <c r="R93" i="3" s="1"/>
  <c r="Q3109" i="1"/>
  <c r="CT3" i="2" s="1"/>
  <c r="E93" i="3" s="1"/>
  <c r="Q3244" i="1"/>
  <c r="CX14" i="2" s="1"/>
  <c r="P97" i="3" s="1"/>
  <c r="Q3617" i="1"/>
  <c r="DJ15" i="2" s="1"/>
  <c r="Q109" i="3" s="1"/>
  <c r="Q3732" i="1"/>
  <c r="DN6" i="2" s="1"/>
  <c r="H113" i="3" s="1"/>
  <c r="Q3736" i="1"/>
  <c r="DN10" i="2" s="1"/>
  <c r="L113" i="3" s="1"/>
  <c r="Q3740" i="1"/>
  <c r="DN14" i="2" s="1"/>
  <c r="P113" i="3" s="1"/>
  <c r="Q3744" i="1"/>
  <c r="DN18" i="2" s="1"/>
  <c r="T113" i="3" s="1"/>
  <c r="Q1405" i="1"/>
  <c r="AQ4" i="2" s="1"/>
  <c r="F50" i="3" s="1"/>
  <c r="Q1409" i="1"/>
  <c r="AQ8" i="2" s="1"/>
  <c r="J50" i="3" s="1"/>
  <c r="Q1413" i="1"/>
  <c r="AQ12" i="2" s="1"/>
  <c r="N50" i="3" s="1"/>
  <c r="Q1417" i="1"/>
  <c r="AQ16" i="2" s="1"/>
  <c r="R50" i="3" s="1"/>
  <c r="Q1404" i="1"/>
  <c r="AQ3" i="2" s="1"/>
  <c r="E50" i="3" s="1"/>
  <c r="Q1473" i="1"/>
  <c r="AS10" i="2" s="1"/>
  <c r="L52" i="3" s="1"/>
  <c r="Q1481" i="1"/>
  <c r="AS18" i="2" s="1"/>
  <c r="T52" i="3" s="1"/>
  <c r="Q1654" i="1"/>
  <c r="AY5" i="2" s="1"/>
  <c r="G58" i="3" s="1"/>
  <c r="Q1658" i="1"/>
  <c r="AY9" i="2" s="1"/>
  <c r="K58" i="3" s="1"/>
  <c r="Q1662" i="1"/>
  <c r="AY13" i="2" s="1"/>
  <c r="O58" i="3" s="1"/>
  <c r="Q1666" i="1"/>
  <c r="AY17" i="2" s="1"/>
  <c r="S58" i="3" s="1"/>
  <c r="Q1750" i="1"/>
  <c r="BB8" i="2" s="1"/>
  <c r="Q1812" i="1"/>
  <c r="BD8" i="2" s="1"/>
  <c r="Q2713" i="1"/>
  <c r="CG10" i="2" s="1"/>
  <c r="Q2721" i="1"/>
  <c r="CG18" i="2" s="1"/>
  <c r="Q2864" i="1"/>
  <c r="CL6" i="2" s="1"/>
  <c r="H85" i="3" s="1"/>
  <c r="Q2868" i="1"/>
  <c r="CL10" i="2" s="1"/>
  <c r="L85" i="3" s="1"/>
  <c r="Q2872" i="1"/>
  <c r="CL14" i="2" s="1"/>
  <c r="P85" i="3" s="1"/>
  <c r="Q2876" i="1"/>
  <c r="CL18" i="2" s="1"/>
  <c r="T85" i="3" s="1"/>
  <c r="Q3217" i="1"/>
  <c r="CW18" i="2" s="1"/>
  <c r="T96" i="3" s="1"/>
  <c r="Q3485" i="1"/>
  <c r="DF7" i="2" s="1"/>
  <c r="I105" i="3" s="1"/>
  <c r="Q1420" i="1"/>
  <c r="AQ19" i="2" s="1"/>
  <c r="U50" i="3" s="1"/>
  <c r="Q1479" i="1"/>
  <c r="AS16" i="2" s="1"/>
  <c r="R52" i="3" s="1"/>
  <c r="Q1661" i="1"/>
  <c r="AY12" i="2" s="1"/>
  <c r="N58" i="3" s="1"/>
  <c r="Q2875" i="1"/>
  <c r="CL17" i="2" s="1"/>
  <c r="S85" i="3" s="1"/>
  <c r="Q3497" i="1"/>
  <c r="DF19" i="2" s="1"/>
  <c r="U105" i="3" s="1"/>
  <c r="Q1408" i="1"/>
  <c r="AQ7" i="2" s="1"/>
  <c r="I50" i="3" s="1"/>
  <c r="Q1412" i="1"/>
  <c r="AQ11" i="2" s="1"/>
  <c r="M50" i="3" s="1"/>
  <c r="Q1416" i="1"/>
  <c r="AQ15" i="2" s="1"/>
  <c r="Q50" i="3" s="1"/>
  <c r="Q1471" i="1"/>
  <c r="AS8" i="2" s="1"/>
  <c r="J52" i="3" s="1"/>
  <c r="Q1653" i="1"/>
  <c r="AY4" i="2" s="1"/>
  <c r="F58" i="3" s="1"/>
  <c r="Q1657" i="1"/>
  <c r="AY8" i="2" s="1"/>
  <c r="J58" i="3" s="1"/>
  <c r="Q1665" i="1"/>
  <c r="AY16" i="2" s="1"/>
  <c r="R58" i="3" s="1"/>
  <c r="Q1652" i="1"/>
  <c r="AY3" i="2" s="1"/>
  <c r="E58" i="3" s="1"/>
  <c r="Q2502" i="1"/>
  <c r="BZ16" i="2" s="1"/>
  <c r="Q2711" i="1"/>
  <c r="CG8" i="2" s="1"/>
  <c r="Q2719" i="1"/>
  <c r="CG16" i="2" s="1"/>
  <c r="Q2863" i="1"/>
  <c r="CL5" i="2" s="1"/>
  <c r="G85" i="3" s="1"/>
  <c r="Q2867" i="1"/>
  <c r="CL9" i="2" s="1"/>
  <c r="K85" i="3" s="1"/>
  <c r="Q2871" i="1"/>
  <c r="CL13" i="2" s="1"/>
  <c r="O85" i="3" s="1"/>
  <c r="Q3213" i="1"/>
  <c r="CW14" i="2" s="1"/>
  <c r="P96" i="3" s="1"/>
  <c r="Q1407" i="1"/>
  <c r="AQ6" i="2" s="1"/>
  <c r="H50" i="3" s="1"/>
  <c r="Q1411" i="1"/>
  <c r="AQ10" i="2" s="1"/>
  <c r="L50" i="3" s="1"/>
  <c r="Q1415" i="1"/>
  <c r="AQ14" i="2" s="1"/>
  <c r="P50" i="3" s="1"/>
  <c r="Q1419" i="1"/>
  <c r="AQ18" i="2" s="1"/>
  <c r="T50" i="3" s="1"/>
  <c r="Q1469" i="1"/>
  <c r="AS6" i="2" s="1"/>
  <c r="H52" i="3" s="1"/>
  <c r="Q1656" i="1"/>
  <c r="AY7" i="2" s="1"/>
  <c r="I58" i="3" s="1"/>
  <c r="Q1660" i="1"/>
  <c r="AY11" i="2" s="1"/>
  <c r="M58" i="3" s="1"/>
  <c r="Q1664" i="1"/>
  <c r="AY15" i="2" s="1"/>
  <c r="Q58" i="3" s="1"/>
  <c r="Q1668" i="1"/>
  <c r="AY19" i="2" s="1"/>
  <c r="U58" i="3" s="1"/>
  <c r="Q2709" i="1"/>
  <c r="CG6" i="2" s="1"/>
  <c r="Q2717" i="1"/>
  <c r="CG14" i="2" s="1"/>
  <c r="Q2862" i="1"/>
  <c r="CL4" i="2" s="1"/>
  <c r="F85" i="3" s="1"/>
  <c r="Q2866" i="1"/>
  <c r="CL8" i="2" s="1"/>
  <c r="J85" i="3" s="1"/>
  <c r="Q2870" i="1"/>
  <c r="CL12" i="2" s="1"/>
  <c r="N85" i="3" s="1"/>
  <c r="Q2874" i="1"/>
  <c r="CL16" i="2" s="1"/>
  <c r="R85" i="3" s="1"/>
  <c r="Q2861" i="1"/>
  <c r="CL3" i="2" s="1"/>
  <c r="E85" i="3" s="1"/>
  <c r="Q3493" i="1"/>
  <c r="DF15" i="2" s="1"/>
  <c r="Q105" i="3" s="1"/>
  <c r="Q1828" i="1"/>
  <c r="BD24" i="2" s="1"/>
  <c r="Q1859" i="1"/>
  <c r="BE24" i="2" s="1"/>
  <c r="Q1421" i="1"/>
  <c r="AQ20" i="2" s="1"/>
  <c r="V50" i="3" s="1"/>
  <c r="Q3749" i="1"/>
  <c r="DN23" i="2" s="1"/>
  <c r="Y113" i="3" s="1"/>
  <c r="Q881" i="1"/>
  <c r="Z7" i="2" s="1"/>
  <c r="I33" i="3" s="1"/>
  <c r="Q885" i="1"/>
  <c r="Z11" i="2" s="1"/>
  <c r="M33" i="3" s="1"/>
  <c r="Q889" i="1"/>
  <c r="Z15" i="2" s="1"/>
  <c r="Q33" i="3" s="1"/>
  <c r="Q893" i="1"/>
  <c r="Z19" i="2" s="1"/>
  <c r="U33" i="3" s="1"/>
  <c r="Q1127" i="1"/>
  <c r="AH5" i="2" s="1"/>
  <c r="G41" i="3" s="1"/>
  <c r="Q1131" i="1"/>
  <c r="AH9" i="2" s="1"/>
  <c r="K41" i="3" s="1"/>
  <c r="Q1135" i="1"/>
  <c r="AH13" i="2" s="1"/>
  <c r="O41" i="3" s="1"/>
  <c r="Q1139" i="1"/>
  <c r="AH17" i="2" s="1"/>
  <c r="S41" i="3" s="1"/>
  <c r="Q1499" i="1"/>
  <c r="AT5" i="2" s="1"/>
  <c r="G53" i="3" s="1"/>
  <c r="Q1503" i="1"/>
  <c r="AT9" i="2" s="1"/>
  <c r="K53" i="3" s="1"/>
  <c r="Q1507" i="1"/>
  <c r="AT13" i="2" s="1"/>
  <c r="O53" i="3" s="1"/>
  <c r="Q1511" i="1"/>
  <c r="AT17" i="2" s="1"/>
  <c r="S53" i="3" s="1"/>
  <c r="Q1778" i="1"/>
  <c r="BC5" i="2" s="1"/>
  <c r="Q1786" i="1"/>
  <c r="BC13" i="2" s="1"/>
  <c r="Q2249" i="1"/>
  <c r="BR11" i="2" s="1"/>
  <c r="M73" i="3" s="1"/>
  <c r="Q2257" i="1"/>
  <c r="BR19" i="2" s="1"/>
  <c r="U73" i="3" s="1"/>
  <c r="Q2522" i="1"/>
  <c r="CA5" i="2" s="1"/>
  <c r="Q2526" i="1"/>
  <c r="CA9" i="2" s="1"/>
  <c r="Q2530" i="1"/>
  <c r="CA13" i="2" s="1"/>
  <c r="Q2534" i="1"/>
  <c r="CA17" i="2" s="1"/>
  <c r="Q3235" i="1"/>
  <c r="CX5" i="2" s="1"/>
  <c r="G97" i="3" s="1"/>
  <c r="Q3239" i="1"/>
  <c r="CX9" i="2" s="1"/>
  <c r="K97" i="3" s="1"/>
  <c r="Q3243" i="1"/>
  <c r="CX13" i="2" s="1"/>
  <c r="O97" i="3" s="1"/>
  <c r="Q3247" i="1"/>
  <c r="CX17" i="2" s="1"/>
  <c r="S97" i="3" s="1"/>
  <c r="Q3265" i="1"/>
  <c r="CY4" i="2" s="1"/>
  <c r="F98" i="3" s="1"/>
  <c r="Q3273" i="1"/>
  <c r="CY12" i="2" s="1"/>
  <c r="N98" i="3" s="1"/>
  <c r="Q3264" i="1"/>
  <c r="CY3" i="2" s="1"/>
  <c r="E98" i="3" s="1"/>
  <c r="Q3608" i="1"/>
  <c r="DJ6" i="2" s="1"/>
  <c r="H109" i="3" s="1"/>
  <c r="Q3612" i="1"/>
  <c r="DJ10" i="2" s="1"/>
  <c r="L109" i="3" s="1"/>
  <c r="Q3616" i="1"/>
  <c r="DJ14" i="2" s="1"/>
  <c r="P109" i="3" s="1"/>
  <c r="Q3620" i="1"/>
  <c r="DJ18" i="2" s="1"/>
  <c r="T109" i="3" s="1"/>
  <c r="Q880" i="1"/>
  <c r="Z6" i="2" s="1"/>
  <c r="H33" i="3" s="1"/>
  <c r="Q884" i="1"/>
  <c r="Z10" i="2" s="1"/>
  <c r="L33" i="3" s="1"/>
  <c r="Q888" i="1"/>
  <c r="Z14" i="2" s="1"/>
  <c r="P33" i="3" s="1"/>
  <c r="Q892" i="1"/>
  <c r="Z18" i="2" s="1"/>
  <c r="T33" i="3" s="1"/>
  <c r="Q1126" i="1"/>
  <c r="AH4" i="2" s="1"/>
  <c r="F41" i="3" s="1"/>
  <c r="Q1130" i="1"/>
  <c r="AH8" i="2" s="1"/>
  <c r="J41" i="3" s="1"/>
  <c r="Q1134" i="1"/>
  <c r="AH12" i="2" s="1"/>
  <c r="N41" i="3" s="1"/>
  <c r="Q1138" i="1"/>
  <c r="AH16" i="2" s="1"/>
  <c r="R41" i="3" s="1"/>
  <c r="Q1125" i="1"/>
  <c r="AH3" i="2" s="1"/>
  <c r="E41" i="3" s="1"/>
  <c r="Q1498" i="1"/>
  <c r="AT4" i="2" s="1"/>
  <c r="F53" i="3" s="1"/>
  <c r="Q1502" i="1"/>
  <c r="AT8" i="2" s="1"/>
  <c r="J53" i="3" s="1"/>
  <c r="Q1506" i="1"/>
  <c r="AT12" i="2" s="1"/>
  <c r="N53" i="3" s="1"/>
  <c r="Q1510" i="1"/>
  <c r="AT16" i="2" s="1"/>
  <c r="R53" i="3" s="1"/>
  <c r="Q1497" i="1"/>
  <c r="AT3" i="2" s="1"/>
  <c r="E53" i="3" s="1"/>
  <c r="Q1784" i="1"/>
  <c r="BC11" i="2" s="1"/>
  <c r="Q1792" i="1"/>
  <c r="BC19" i="2" s="1"/>
  <c r="Q2247" i="1"/>
  <c r="BR9" i="2" s="1"/>
  <c r="K73" i="3" s="1"/>
  <c r="Q2255" i="1"/>
  <c r="BR17" i="2" s="1"/>
  <c r="S73" i="3" s="1"/>
  <c r="Q2521" i="1"/>
  <c r="CA4" i="2" s="1"/>
  <c r="Q2525" i="1"/>
  <c r="CA8" i="2" s="1"/>
  <c r="Q2529" i="1"/>
  <c r="CA12" i="2" s="1"/>
  <c r="Q2533" i="1"/>
  <c r="CA16" i="2" s="1"/>
  <c r="Q2520" i="1"/>
  <c r="CA3" i="2" s="1"/>
  <c r="Q2750" i="1"/>
  <c r="CH16" i="2" s="1"/>
  <c r="R81" i="3" s="1"/>
  <c r="Q3234" i="1"/>
  <c r="CX4" i="2" s="1"/>
  <c r="F97" i="3" s="1"/>
  <c r="Q3238" i="1"/>
  <c r="CX8" i="2" s="1"/>
  <c r="J97" i="3" s="1"/>
  <c r="Q3242" i="1"/>
  <c r="CX12" i="2" s="1"/>
  <c r="N97" i="3" s="1"/>
  <c r="Q3246" i="1"/>
  <c r="CX16" i="2" s="1"/>
  <c r="R97" i="3" s="1"/>
  <c r="Q3233" i="1"/>
  <c r="CX3" i="2" s="1"/>
  <c r="E97" i="3" s="1"/>
  <c r="Q3271" i="1"/>
  <c r="CY10" i="2" s="1"/>
  <c r="L98" i="3" s="1"/>
  <c r="Q3279" i="1"/>
  <c r="CY18" i="2" s="1"/>
  <c r="T98" i="3" s="1"/>
  <c r="Q3607" i="1"/>
  <c r="DJ5" i="2" s="1"/>
  <c r="G109" i="3" s="1"/>
  <c r="Q3611" i="1"/>
  <c r="DJ9" i="2" s="1"/>
  <c r="K109" i="3" s="1"/>
  <c r="Q3615" i="1"/>
  <c r="DJ13" i="2" s="1"/>
  <c r="O109" i="3" s="1"/>
  <c r="Q3619" i="1"/>
  <c r="DJ17" i="2" s="1"/>
  <c r="S109" i="3" s="1"/>
  <c r="Q879" i="1"/>
  <c r="Z5" i="2" s="1"/>
  <c r="G33" i="3" s="1"/>
  <c r="Q883" i="1"/>
  <c r="Z9" i="2" s="1"/>
  <c r="K33" i="3" s="1"/>
  <c r="Q887" i="1"/>
  <c r="Z13" i="2" s="1"/>
  <c r="O33" i="3" s="1"/>
  <c r="Q891" i="1"/>
  <c r="Z17" i="2" s="1"/>
  <c r="S33" i="3" s="1"/>
  <c r="Q1129" i="1"/>
  <c r="AH7" i="2" s="1"/>
  <c r="I41" i="3" s="1"/>
  <c r="Q1133" i="1"/>
  <c r="AH11" i="2" s="1"/>
  <c r="M41" i="3" s="1"/>
  <c r="Q1137" i="1"/>
  <c r="AH15" i="2" s="1"/>
  <c r="Q41" i="3" s="1"/>
  <c r="Q1141" i="1"/>
  <c r="AH19" i="2" s="1"/>
  <c r="U41" i="3" s="1"/>
  <c r="Q1501" i="1"/>
  <c r="AT7" i="2" s="1"/>
  <c r="I53" i="3" s="1"/>
  <c r="Q1505" i="1"/>
  <c r="AT11" i="2" s="1"/>
  <c r="M53" i="3" s="1"/>
  <c r="Q1509" i="1"/>
  <c r="AT15" i="2" s="1"/>
  <c r="Q53" i="3" s="1"/>
  <c r="Q1513" i="1"/>
  <c r="AT19" i="2" s="1"/>
  <c r="U53" i="3" s="1"/>
  <c r="Q1782" i="1"/>
  <c r="BC9" i="2" s="1"/>
  <c r="Q1880" i="1"/>
  <c r="BF14" i="2" s="1"/>
  <c r="P61" i="3" s="1"/>
  <c r="Q2245" i="1"/>
  <c r="BR7" i="2" s="1"/>
  <c r="I73" i="3" s="1"/>
  <c r="Q2253" i="1"/>
  <c r="BR15" i="2" s="1"/>
  <c r="Q73" i="3" s="1"/>
  <c r="Q2524" i="1"/>
  <c r="CA7" i="2" s="1"/>
  <c r="Q2528" i="1"/>
  <c r="CA11" i="2" s="1"/>
  <c r="Q2532" i="1"/>
  <c r="CA15" i="2" s="1"/>
  <c r="Q2536" i="1"/>
  <c r="CA19" i="2" s="1"/>
  <c r="Q2742" i="1"/>
  <c r="CH8" i="2" s="1"/>
  <c r="J81" i="3" s="1"/>
  <c r="Q3237" i="1"/>
  <c r="CX7" i="2" s="1"/>
  <c r="I97" i="3" s="1"/>
  <c r="Q3241" i="1"/>
  <c r="CX11" i="2" s="1"/>
  <c r="M97" i="3" s="1"/>
  <c r="Q3245" i="1"/>
  <c r="CX15" i="2" s="1"/>
  <c r="Q97" i="3" s="1"/>
  <c r="Q3249" i="1"/>
  <c r="CX19" i="2" s="1"/>
  <c r="U97" i="3" s="1"/>
  <c r="Q3269" i="1"/>
  <c r="CY8" i="2" s="1"/>
  <c r="J98" i="3" s="1"/>
  <c r="Q3606" i="1"/>
  <c r="DJ4" i="2" s="1"/>
  <c r="F109" i="3" s="1"/>
  <c r="Q3610" i="1"/>
  <c r="DJ8" i="2" s="1"/>
  <c r="J109" i="3" s="1"/>
  <c r="Q3614" i="1"/>
  <c r="DJ12" i="2" s="1"/>
  <c r="N109" i="3" s="1"/>
  <c r="Q3618" i="1"/>
  <c r="DJ16" i="2" s="1"/>
  <c r="R109" i="3" s="1"/>
  <c r="Q3605" i="1"/>
  <c r="DJ3" i="2" s="1"/>
  <c r="E109" i="3" s="1"/>
  <c r="Q3624" i="1"/>
  <c r="DJ22" i="2" s="1"/>
  <c r="X109" i="3" s="1"/>
  <c r="Q2692" i="1"/>
  <c r="CF20" i="2" s="1"/>
  <c r="Q3252" i="1"/>
  <c r="CX22" i="2" s="1"/>
  <c r="X97" i="3" s="1"/>
  <c r="Q3251" i="1"/>
  <c r="CX21" i="2" s="1"/>
  <c r="W97" i="3" s="1"/>
  <c r="Q1145" i="1"/>
  <c r="AH23" i="2" s="1"/>
  <c r="Y41" i="3" s="1"/>
  <c r="Q1344" i="1"/>
  <c r="AO5" i="2" s="1"/>
  <c r="G48" i="3" s="1"/>
  <c r="Q1348" i="1"/>
  <c r="AO9" i="2" s="1"/>
  <c r="K48" i="3" s="1"/>
  <c r="Q1352" i="1"/>
  <c r="AO13" i="2" s="1"/>
  <c r="O48" i="3" s="1"/>
  <c r="Q1356" i="1"/>
  <c r="AO17" i="2" s="1"/>
  <c r="S48" i="3" s="1"/>
  <c r="Q1530" i="1"/>
  <c r="AU5" i="2" s="1"/>
  <c r="G54" i="3" s="1"/>
  <c r="Q1534" i="1"/>
  <c r="AU9" i="2" s="1"/>
  <c r="K54" i="3" s="1"/>
  <c r="Q1538" i="1"/>
  <c r="AU13" i="2" s="1"/>
  <c r="O54" i="3" s="1"/>
  <c r="Q1542" i="1"/>
  <c r="AU17" i="2" s="1"/>
  <c r="S54" i="3" s="1"/>
  <c r="Q1591" i="1"/>
  <c r="AW4" i="2" s="1"/>
  <c r="F56" i="3" s="1"/>
  <c r="Q1595" i="1"/>
  <c r="AW8" i="2" s="1"/>
  <c r="J56" i="3" s="1"/>
  <c r="Q1599" i="1"/>
  <c r="AW12" i="2" s="1"/>
  <c r="N56" i="3" s="1"/>
  <c r="Q1603" i="1"/>
  <c r="AW16" i="2" s="1"/>
  <c r="R56" i="3" s="1"/>
  <c r="Q1590" i="1"/>
  <c r="AW3" i="2" s="1"/>
  <c r="E56" i="3" s="1"/>
  <c r="Q2094" i="1"/>
  <c r="BM11" i="2" s="1"/>
  <c r="M68" i="3" s="1"/>
  <c r="Q2369" i="1"/>
  <c r="BV7" i="2" s="1"/>
  <c r="I77" i="3" s="1"/>
  <c r="Q2373" i="1"/>
  <c r="BV11" i="2" s="1"/>
  <c r="M77" i="3" s="1"/>
  <c r="Q2377" i="1"/>
  <c r="BV15" i="2" s="1"/>
  <c r="Q77" i="3" s="1"/>
  <c r="Q2381" i="1"/>
  <c r="BV19" i="2" s="1"/>
  <c r="U77" i="3" s="1"/>
  <c r="Q2552" i="1"/>
  <c r="CB4" i="2" s="1"/>
  <c r="Q2556" i="1"/>
  <c r="CB8" i="2" s="1"/>
  <c r="Q2560" i="1"/>
  <c r="CB12" i="2" s="1"/>
  <c r="Q2564" i="1"/>
  <c r="CB16" i="2" s="1"/>
  <c r="Q2551" i="1"/>
  <c r="CB3" i="2" s="1"/>
  <c r="Q2586" i="1"/>
  <c r="CC7" i="2" s="1"/>
  <c r="Q2590" i="1"/>
  <c r="CC11" i="2" s="1"/>
  <c r="Q2594" i="1"/>
  <c r="CC15" i="2" s="1"/>
  <c r="Q2598" i="1"/>
  <c r="CC19" i="2" s="1"/>
  <c r="Q2616" i="1"/>
  <c r="CD6" i="2" s="1"/>
  <c r="Q2620" i="1"/>
  <c r="CD10" i="2" s="1"/>
  <c r="Q2624" i="1"/>
  <c r="CD14" i="2" s="1"/>
  <c r="Q2628" i="1"/>
  <c r="CD18" i="2" s="1"/>
  <c r="Q2646" i="1"/>
  <c r="CE5" i="2" s="1"/>
  <c r="Q2650" i="1"/>
  <c r="CE9" i="2" s="1"/>
  <c r="Q2654" i="1"/>
  <c r="CE13" i="2" s="1"/>
  <c r="Q2658" i="1"/>
  <c r="CE17" i="2" s="1"/>
  <c r="Q2676" i="1"/>
  <c r="CF4" i="2" s="1"/>
  <c r="Q2680" i="1"/>
  <c r="CF8" i="2" s="1"/>
  <c r="Q2684" i="1"/>
  <c r="CF12" i="2" s="1"/>
  <c r="Q2688" i="1"/>
  <c r="CF16" i="2" s="1"/>
  <c r="Q2675" i="1"/>
  <c r="CF3" i="2" s="1"/>
  <c r="Q3082" i="1"/>
  <c r="CS7" i="2" s="1"/>
  <c r="I92" i="3" s="1"/>
  <c r="Q3086" i="1"/>
  <c r="CS11" i="2" s="1"/>
  <c r="M92" i="3" s="1"/>
  <c r="Q3090" i="1"/>
  <c r="CS15" i="2" s="1"/>
  <c r="Q92" i="3" s="1"/>
  <c r="Q3094" i="1"/>
  <c r="CS19" i="2" s="1"/>
  <c r="U92" i="3" s="1"/>
  <c r="Q3484" i="1"/>
  <c r="DF6" i="2" s="1"/>
  <c r="H105" i="3" s="1"/>
  <c r="Q3488" i="1"/>
  <c r="DF10" i="2" s="1"/>
  <c r="L105" i="3" s="1"/>
  <c r="Q3492" i="1"/>
  <c r="DF14" i="2" s="1"/>
  <c r="P105" i="3" s="1"/>
  <c r="Q3496" i="1"/>
  <c r="DF18" i="2" s="1"/>
  <c r="T105" i="3" s="1"/>
  <c r="Q3500" i="1"/>
  <c r="DF22" i="2" s="1"/>
  <c r="X105" i="3" s="1"/>
  <c r="Q2633" i="1"/>
  <c r="CD23" i="2" s="1"/>
  <c r="Q3501" i="1"/>
  <c r="DF23" i="2" s="1"/>
  <c r="Y105" i="3" s="1"/>
  <c r="Q1343" i="1"/>
  <c r="AO4" i="2" s="1"/>
  <c r="F48" i="3" s="1"/>
  <c r="Q1347" i="1"/>
  <c r="AO8" i="2" s="1"/>
  <c r="J48" i="3" s="1"/>
  <c r="Q1351" i="1"/>
  <c r="AO12" i="2" s="1"/>
  <c r="N48" i="3" s="1"/>
  <c r="Q1355" i="1"/>
  <c r="AO16" i="2" s="1"/>
  <c r="R48" i="3" s="1"/>
  <c r="Q1342" i="1"/>
  <c r="AO3" i="2" s="1"/>
  <c r="E48" i="3" s="1"/>
  <c r="Q1529" i="1"/>
  <c r="AU4" i="2" s="1"/>
  <c r="F54" i="3" s="1"/>
  <c r="Q1533" i="1"/>
  <c r="AU8" i="2" s="1"/>
  <c r="J54" i="3" s="1"/>
  <c r="Q1537" i="1"/>
  <c r="AU12" i="2" s="1"/>
  <c r="N54" i="3" s="1"/>
  <c r="Q1541" i="1"/>
  <c r="AU16" i="2" s="1"/>
  <c r="R54" i="3" s="1"/>
  <c r="Q1528" i="1"/>
  <c r="AU3" i="2" s="1"/>
  <c r="E54" i="3" s="1"/>
  <c r="Q1594" i="1"/>
  <c r="AW7" i="2" s="1"/>
  <c r="I56" i="3" s="1"/>
  <c r="Q1598" i="1"/>
  <c r="AW11" i="2" s="1"/>
  <c r="M56" i="3" s="1"/>
  <c r="Q1602" i="1"/>
  <c r="AW15" i="2" s="1"/>
  <c r="Q56" i="3" s="1"/>
  <c r="Q1606" i="1"/>
  <c r="AW19" i="2" s="1"/>
  <c r="U56" i="3" s="1"/>
  <c r="Q2090" i="1"/>
  <c r="BM7" i="2" s="1"/>
  <c r="I68" i="3" s="1"/>
  <c r="Q2368" i="1"/>
  <c r="BV6" i="2" s="1"/>
  <c r="H77" i="3" s="1"/>
  <c r="Q2372" i="1"/>
  <c r="BV10" i="2" s="1"/>
  <c r="L77" i="3" s="1"/>
  <c r="Q2376" i="1"/>
  <c r="BV14" i="2" s="1"/>
  <c r="P77" i="3" s="1"/>
  <c r="Q2380" i="1"/>
  <c r="BV18" i="2" s="1"/>
  <c r="T77" i="3" s="1"/>
  <c r="Q2555" i="1"/>
  <c r="CB7" i="2" s="1"/>
  <c r="Q2559" i="1"/>
  <c r="CB11" i="2" s="1"/>
  <c r="Q2563" i="1"/>
  <c r="CB15" i="2" s="1"/>
  <c r="Q2567" i="1"/>
  <c r="CB19" i="2" s="1"/>
  <c r="Q2585" i="1"/>
  <c r="CC6" i="2" s="1"/>
  <c r="Q2589" i="1"/>
  <c r="CC10" i="2" s="1"/>
  <c r="Q2593" i="1"/>
  <c r="CC14" i="2" s="1"/>
  <c r="Q2597" i="1"/>
  <c r="CC18" i="2" s="1"/>
  <c r="Q2615" i="1"/>
  <c r="CD5" i="2" s="1"/>
  <c r="Q2619" i="1"/>
  <c r="CD9" i="2" s="1"/>
  <c r="Q2623" i="1"/>
  <c r="CD13" i="2" s="1"/>
  <c r="Q2627" i="1"/>
  <c r="CD17" i="2" s="1"/>
  <c r="Q2645" i="1"/>
  <c r="CE4" i="2" s="1"/>
  <c r="Q2649" i="1"/>
  <c r="CE8" i="2" s="1"/>
  <c r="Q2653" i="1"/>
  <c r="CE12" i="2" s="1"/>
  <c r="Q2657" i="1"/>
  <c r="CE16" i="2" s="1"/>
  <c r="Q2644" i="1"/>
  <c r="CE3" i="2" s="1"/>
  <c r="Q2679" i="1"/>
  <c r="CF7" i="2" s="1"/>
  <c r="Q2683" i="1"/>
  <c r="CF11" i="2" s="1"/>
  <c r="Q2687" i="1"/>
  <c r="CF15" i="2" s="1"/>
  <c r="Q2691" i="1"/>
  <c r="CF19" i="2" s="1"/>
  <c r="Q3081" i="1"/>
  <c r="CS6" i="2" s="1"/>
  <c r="H92" i="3" s="1"/>
  <c r="Q3085" i="1"/>
  <c r="CS10" i="2" s="1"/>
  <c r="L92" i="3" s="1"/>
  <c r="Q3089" i="1"/>
  <c r="CS14" i="2" s="1"/>
  <c r="P92" i="3" s="1"/>
  <c r="Q3093" i="1"/>
  <c r="CS18" i="2" s="1"/>
  <c r="T92" i="3" s="1"/>
  <c r="Q3483" i="1"/>
  <c r="DF5" i="2" s="1"/>
  <c r="G105" i="3" s="1"/>
  <c r="Q3487" i="1"/>
  <c r="DF9" i="2" s="1"/>
  <c r="K105" i="3" s="1"/>
  <c r="Q3491" i="1"/>
  <c r="DF13" i="2" s="1"/>
  <c r="O105" i="3" s="1"/>
  <c r="Q3495" i="1"/>
  <c r="DF17" i="2" s="1"/>
  <c r="S105" i="3" s="1"/>
  <c r="Q2693" i="1"/>
  <c r="CF21" i="2" s="1"/>
  <c r="Q1346" i="1"/>
  <c r="AO7" i="2" s="1"/>
  <c r="I48" i="3" s="1"/>
  <c r="Q1350" i="1"/>
  <c r="AO11" i="2" s="1"/>
  <c r="M48" i="3" s="1"/>
  <c r="Q1354" i="1"/>
  <c r="AO15" i="2" s="1"/>
  <c r="Q48" i="3" s="1"/>
  <c r="Q1358" i="1"/>
  <c r="AO19" i="2" s="1"/>
  <c r="U48" i="3" s="1"/>
  <c r="Q1532" i="1"/>
  <c r="AU7" i="2" s="1"/>
  <c r="I54" i="3" s="1"/>
  <c r="Q1536" i="1"/>
  <c r="AU11" i="2" s="1"/>
  <c r="M54" i="3" s="1"/>
  <c r="Q1540" i="1"/>
  <c r="AU15" i="2" s="1"/>
  <c r="Q54" i="3" s="1"/>
  <c r="Q1544" i="1"/>
  <c r="AU19" i="2" s="1"/>
  <c r="U54" i="3" s="1"/>
  <c r="Q1593" i="1"/>
  <c r="AW6" i="2" s="1"/>
  <c r="H56" i="3" s="1"/>
  <c r="Q1597" i="1"/>
  <c r="AW10" i="2" s="1"/>
  <c r="L56" i="3" s="1"/>
  <c r="Q1601" i="1"/>
  <c r="AW14" i="2" s="1"/>
  <c r="P56" i="3" s="1"/>
  <c r="Q1605" i="1"/>
  <c r="AW18" i="2" s="1"/>
  <c r="T56" i="3" s="1"/>
  <c r="Q2102" i="1"/>
  <c r="BM19" i="2" s="1"/>
  <c r="U68" i="3" s="1"/>
  <c r="Q2367" i="1"/>
  <c r="BV5" i="2" s="1"/>
  <c r="G77" i="3" s="1"/>
  <c r="Q2371" i="1"/>
  <c r="BV9" i="2" s="1"/>
  <c r="K77" i="3" s="1"/>
  <c r="Q2375" i="1"/>
  <c r="BV13" i="2" s="1"/>
  <c r="O77" i="3" s="1"/>
  <c r="Q2379" i="1"/>
  <c r="BV17" i="2" s="1"/>
  <c r="S77" i="3" s="1"/>
  <c r="Q2554" i="1"/>
  <c r="CB6" i="2" s="1"/>
  <c r="Q2558" i="1"/>
  <c r="CB10" i="2" s="1"/>
  <c r="Q2562" i="1"/>
  <c r="CB14" i="2" s="1"/>
  <c r="Q2566" i="1"/>
  <c r="CB18" i="2" s="1"/>
  <c r="Q2584" i="1"/>
  <c r="CC5" i="2" s="1"/>
  <c r="Q2588" i="1"/>
  <c r="CC9" i="2" s="1"/>
  <c r="Q2592" i="1"/>
  <c r="CC13" i="2" s="1"/>
  <c r="Q2596" i="1"/>
  <c r="CC17" i="2" s="1"/>
  <c r="Q2614" i="1"/>
  <c r="CD4" i="2" s="1"/>
  <c r="Q2618" i="1"/>
  <c r="CD8" i="2" s="1"/>
  <c r="Q2622" i="1"/>
  <c r="CD12" i="2" s="1"/>
  <c r="Q2626" i="1"/>
  <c r="CD16" i="2" s="1"/>
  <c r="Q2613" i="1"/>
  <c r="CD3" i="2" s="1"/>
  <c r="Q2648" i="1"/>
  <c r="CE7" i="2" s="1"/>
  <c r="Q2652" i="1"/>
  <c r="CE11" i="2" s="1"/>
  <c r="Q2656" i="1"/>
  <c r="CE15" i="2" s="1"/>
  <c r="Q2660" i="1"/>
  <c r="CE19" i="2" s="1"/>
  <c r="Q2678" i="1"/>
  <c r="CF6" i="2" s="1"/>
  <c r="Q2682" i="1"/>
  <c r="CF10" i="2" s="1"/>
  <c r="Q2686" i="1"/>
  <c r="CF14" i="2" s="1"/>
  <c r="Q3080" i="1"/>
  <c r="CS5" i="2" s="1"/>
  <c r="G92" i="3" s="1"/>
  <c r="Q3084" i="1"/>
  <c r="CS9" i="2" s="1"/>
  <c r="K92" i="3" s="1"/>
  <c r="Q3088" i="1"/>
  <c r="CS13" i="2" s="1"/>
  <c r="O92" i="3" s="1"/>
  <c r="Q3092" i="1"/>
  <c r="CS17" i="2" s="1"/>
  <c r="S92" i="3" s="1"/>
  <c r="Q3482" i="1"/>
  <c r="DF4" i="2" s="1"/>
  <c r="F105" i="3" s="1"/>
  <c r="Q3486" i="1"/>
  <c r="DF8" i="2" s="1"/>
  <c r="J105" i="3" s="1"/>
  <c r="Q3490" i="1"/>
  <c r="DF12" i="2" s="1"/>
  <c r="N105" i="3" s="1"/>
  <c r="Q3494" i="1"/>
  <c r="DF16" i="2" s="1"/>
  <c r="R105" i="3" s="1"/>
  <c r="Q3376" i="1"/>
  <c r="DB22" i="2" s="1"/>
  <c r="X101" i="3" s="1"/>
  <c r="Q1005" i="1"/>
  <c r="AD7" i="2" s="1"/>
  <c r="I37" i="3" s="1"/>
  <c r="Q1009" i="1"/>
  <c r="AD11" i="2" s="1"/>
  <c r="M37" i="3" s="1"/>
  <c r="Q1013" i="1"/>
  <c r="AD15" i="2" s="1"/>
  <c r="Q37" i="3" s="1"/>
  <c r="Q1017" i="1"/>
  <c r="AD19" i="2" s="1"/>
  <c r="U37" i="3" s="1"/>
  <c r="Q1257" i="1"/>
  <c r="AL11" i="2" s="1"/>
  <c r="M45" i="3" s="1"/>
  <c r="Q1374" i="1"/>
  <c r="AP4" i="2" s="1"/>
  <c r="F49" i="3" s="1"/>
  <c r="Q1378" i="1"/>
  <c r="AP8" i="2" s="1"/>
  <c r="J49" i="3" s="1"/>
  <c r="Q1382" i="1"/>
  <c r="AP12" i="2" s="1"/>
  <c r="N49" i="3" s="1"/>
  <c r="Q1386" i="1"/>
  <c r="AP16" i="2" s="1"/>
  <c r="R49" i="3" s="1"/>
  <c r="Q1373" i="1"/>
  <c r="AP3" i="2" s="1"/>
  <c r="E49" i="3" s="1"/>
  <c r="Q1633" i="1"/>
  <c r="AX15" i="2" s="1"/>
  <c r="Q57" i="3" s="1"/>
  <c r="Q1748" i="1"/>
  <c r="BB6" i="2" s="1"/>
  <c r="Q1756" i="1"/>
  <c r="BB14" i="2" s="1"/>
  <c r="Q1808" i="1"/>
  <c r="BD4" i="2" s="1"/>
  <c r="Q1807" i="1"/>
  <c r="BD3" i="2" s="1"/>
  <c r="Q1854" i="1"/>
  <c r="BE19" i="2" s="1"/>
  <c r="Q2089" i="1"/>
  <c r="BM6" i="2" s="1"/>
  <c r="H68" i="3" s="1"/>
  <c r="Q2093" i="1"/>
  <c r="BM10" i="2" s="1"/>
  <c r="L68" i="3" s="1"/>
  <c r="Q2097" i="1"/>
  <c r="BM14" i="2" s="1"/>
  <c r="P68" i="3" s="1"/>
  <c r="Q2101" i="1"/>
  <c r="BM18" i="2" s="1"/>
  <c r="T68" i="3" s="1"/>
  <c r="Q2120" i="1"/>
  <c r="BN6" i="2" s="1"/>
  <c r="H69" i="3" s="1"/>
  <c r="Q2128" i="1"/>
  <c r="BN14" i="2" s="1"/>
  <c r="P69" i="3" s="1"/>
  <c r="Q2770" i="1"/>
  <c r="CI5" i="2" s="1"/>
  <c r="G82" i="3" s="1"/>
  <c r="Q2774" i="1"/>
  <c r="CI9" i="2" s="1"/>
  <c r="K82" i="3" s="1"/>
  <c r="Q2778" i="1"/>
  <c r="CI13" i="2" s="1"/>
  <c r="O82" i="3" s="1"/>
  <c r="Q2782" i="1"/>
  <c r="CI17" i="2" s="1"/>
  <c r="S82" i="3" s="1"/>
  <c r="Q1012" i="1"/>
  <c r="AD14" i="2" s="1"/>
  <c r="P37" i="3" s="1"/>
  <c r="Q1253" i="1"/>
  <c r="AL7" i="2" s="1"/>
  <c r="I45" i="3" s="1"/>
  <c r="Q1377" i="1"/>
  <c r="AP7" i="2" s="1"/>
  <c r="I49" i="3" s="1"/>
  <c r="Q1385" i="1"/>
  <c r="AP15" i="2" s="1"/>
  <c r="Q49" i="3" s="1"/>
  <c r="Q1389" i="1"/>
  <c r="AP19" i="2" s="1"/>
  <c r="U49" i="3" s="1"/>
  <c r="Q1629" i="1"/>
  <c r="AX11" i="2" s="1"/>
  <c r="M57" i="3" s="1"/>
  <c r="Q1754" i="1"/>
  <c r="BB12" i="2" s="1"/>
  <c r="Q1850" i="1"/>
  <c r="BE15" i="2" s="1"/>
  <c r="Q2088" i="1"/>
  <c r="BM5" i="2" s="1"/>
  <c r="G68" i="3" s="1"/>
  <c r="Q2100" i="1"/>
  <c r="BM17" i="2" s="1"/>
  <c r="S68" i="3" s="1"/>
  <c r="Q2117" i="1"/>
  <c r="BN3" i="2" s="1"/>
  <c r="E69" i="3" s="1"/>
  <c r="Q2777" i="1"/>
  <c r="CI12" i="2" s="1"/>
  <c r="N82" i="3" s="1"/>
  <c r="Q2768" i="1"/>
  <c r="CI3" i="2" s="1"/>
  <c r="E82" i="3" s="1"/>
  <c r="Q1004" i="1"/>
  <c r="AD6" i="2" s="1"/>
  <c r="H37" i="3" s="1"/>
  <c r="Q1008" i="1"/>
  <c r="AD10" i="2" s="1"/>
  <c r="L37" i="3" s="1"/>
  <c r="Q1016" i="1"/>
  <c r="AD18" i="2" s="1"/>
  <c r="T37" i="3" s="1"/>
  <c r="Q1381" i="1"/>
  <c r="AP11" i="2" s="1"/>
  <c r="M49" i="3" s="1"/>
  <c r="Q1746" i="1"/>
  <c r="BB4" i="2" s="1"/>
  <c r="Q1745" i="1"/>
  <c r="BB3" i="2" s="1"/>
  <c r="Q1820" i="1"/>
  <c r="BD16" i="2" s="1"/>
  <c r="Q2092" i="1"/>
  <c r="BM9" i="2" s="1"/>
  <c r="K68" i="3" s="1"/>
  <c r="Q2096" i="1"/>
  <c r="BM13" i="2" s="1"/>
  <c r="O68" i="3" s="1"/>
  <c r="Q2118" i="1"/>
  <c r="BN4" i="2" s="1"/>
  <c r="F69" i="3" s="1"/>
  <c r="Q2126" i="1"/>
  <c r="BN12" i="2" s="1"/>
  <c r="N69" i="3" s="1"/>
  <c r="Q2769" i="1"/>
  <c r="CI4" i="2" s="1"/>
  <c r="F82" i="3" s="1"/>
  <c r="Q2773" i="1"/>
  <c r="CI8" i="2" s="1"/>
  <c r="J82" i="3" s="1"/>
  <c r="Q2781" i="1"/>
  <c r="CI16" i="2" s="1"/>
  <c r="R82" i="3" s="1"/>
  <c r="Q1003" i="1"/>
  <c r="AD5" i="2" s="1"/>
  <c r="G37" i="3" s="1"/>
  <c r="Q1007" i="1"/>
  <c r="AD9" i="2" s="1"/>
  <c r="K37" i="3" s="1"/>
  <c r="Q1011" i="1"/>
  <c r="AD13" i="2" s="1"/>
  <c r="O37" i="3" s="1"/>
  <c r="Q1015" i="1"/>
  <c r="AD17" i="2" s="1"/>
  <c r="S37" i="3" s="1"/>
  <c r="Q1265" i="1"/>
  <c r="AL19" i="2" s="1"/>
  <c r="U45" i="3" s="1"/>
  <c r="Q1376" i="1"/>
  <c r="AP6" i="2" s="1"/>
  <c r="H49" i="3" s="1"/>
  <c r="Q1380" i="1"/>
  <c r="AP10" i="2" s="1"/>
  <c r="L49" i="3" s="1"/>
  <c r="Q1384" i="1"/>
  <c r="AP14" i="2" s="1"/>
  <c r="P49" i="3" s="1"/>
  <c r="Q1388" i="1"/>
  <c r="AP18" i="2" s="1"/>
  <c r="T49" i="3" s="1"/>
  <c r="Q1625" i="1"/>
  <c r="AX7" i="2" s="1"/>
  <c r="I57" i="3" s="1"/>
  <c r="Q1752" i="1"/>
  <c r="BB10" i="2" s="1"/>
  <c r="Q1760" i="1"/>
  <c r="BB18" i="2" s="1"/>
  <c r="Q1846" i="1"/>
  <c r="BE11" i="2" s="1"/>
  <c r="Q2003" i="1"/>
  <c r="BJ13" i="2" s="1"/>
  <c r="O65" i="3" s="1"/>
  <c r="Q2087" i="1"/>
  <c r="BM4" i="2" s="1"/>
  <c r="F68" i="3" s="1"/>
  <c r="Q2091" i="1"/>
  <c r="BM8" i="2" s="1"/>
  <c r="J68" i="3" s="1"/>
  <c r="Q2095" i="1"/>
  <c r="BM12" i="2" s="1"/>
  <c r="N68" i="3" s="1"/>
  <c r="Q2099" i="1"/>
  <c r="BM16" i="2" s="1"/>
  <c r="R68" i="3" s="1"/>
  <c r="Q2086" i="1"/>
  <c r="BM3" i="2" s="1"/>
  <c r="E68" i="3" s="1"/>
  <c r="Q2124" i="1"/>
  <c r="BN10" i="2" s="1"/>
  <c r="L69" i="3" s="1"/>
  <c r="Q2132" i="1"/>
  <c r="BN18" i="2" s="1"/>
  <c r="T69" i="3" s="1"/>
  <c r="Q2772" i="1"/>
  <c r="CI7" i="2" s="1"/>
  <c r="I82" i="3" s="1"/>
  <c r="Q2776" i="1"/>
  <c r="CI11" i="2" s="1"/>
  <c r="M82" i="3" s="1"/>
  <c r="Q2780" i="1"/>
  <c r="CI15" i="2" s="1"/>
  <c r="Q82" i="3" s="1"/>
  <c r="Q2784" i="1"/>
  <c r="CI19" i="2" s="1"/>
  <c r="U82" i="3" s="1"/>
  <c r="Q1831" i="1"/>
  <c r="BD27" i="2" s="1"/>
  <c r="Q1825" i="1"/>
  <c r="BD21" i="2" s="1"/>
  <c r="Q1826" i="1"/>
  <c r="BD22" i="2" s="1"/>
  <c r="Q1824" i="1"/>
  <c r="BD20" i="2" s="1"/>
  <c r="Q1252" i="1"/>
  <c r="AL6" i="2" s="1"/>
  <c r="H45" i="3" s="1"/>
  <c r="Q1256" i="1"/>
  <c r="AL10" i="2" s="1"/>
  <c r="L45" i="3" s="1"/>
  <c r="Q1260" i="1"/>
  <c r="AL14" i="2" s="1"/>
  <c r="P45" i="3" s="1"/>
  <c r="Q1264" i="1"/>
  <c r="AL18" i="2" s="1"/>
  <c r="T45" i="3" s="1"/>
  <c r="Q1624" i="1"/>
  <c r="AX6" i="2" s="1"/>
  <c r="H57" i="3" s="1"/>
  <c r="Q1628" i="1"/>
  <c r="AX10" i="2" s="1"/>
  <c r="L57" i="3" s="1"/>
  <c r="Q1632" i="1"/>
  <c r="AX14" i="2" s="1"/>
  <c r="P57" i="3" s="1"/>
  <c r="Q1636" i="1"/>
  <c r="AX18" i="2" s="1"/>
  <c r="T57" i="3" s="1"/>
  <c r="Q1811" i="1"/>
  <c r="BD7" i="2" s="1"/>
  <c r="Q1815" i="1"/>
  <c r="BD11" i="2" s="1"/>
  <c r="Q1819" i="1"/>
  <c r="BD15" i="2" s="1"/>
  <c r="Q1823" i="1"/>
  <c r="BD19" i="2" s="1"/>
  <c r="Q1841" i="1"/>
  <c r="BE6" i="2" s="1"/>
  <c r="Q1845" i="1"/>
  <c r="BE10" i="2" s="1"/>
  <c r="Q1849" i="1"/>
  <c r="BE14" i="2" s="1"/>
  <c r="Q1853" i="1"/>
  <c r="BE18" i="2" s="1"/>
  <c r="Q1876" i="1"/>
  <c r="BF10" i="2" s="1"/>
  <c r="L61" i="3" s="1"/>
  <c r="Q1999" i="1"/>
  <c r="BJ9" i="2" s="1"/>
  <c r="K65" i="3" s="1"/>
  <c r="Q1251" i="1"/>
  <c r="AL5" i="2" s="1"/>
  <c r="G45" i="3" s="1"/>
  <c r="Q1255" i="1"/>
  <c r="AL9" i="2" s="1"/>
  <c r="K45" i="3" s="1"/>
  <c r="Q1259" i="1"/>
  <c r="AL13" i="2" s="1"/>
  <c r="O45" i="3" s="1"/>
  <c r="Q1263" i="1"/>
  <c r="AL17" i="2" s="1"/>
  <c r="S45" i="3" s="1"/>
  <c r="Q1623" i="1"/>
  <c r="AX5" i="2" s="1"/>
  <c r="G57" i="3" s="1"/>
  <c r="Q1627" i="1"/>
  <c r="AX9" i="2" s="1"/>
  <c r="K57" i="3" s="1"/>
  <c r="Q1631" i="1"/>
  <c r="AX13" i="2" s="1"/>
  <c r="O57" i="3" s="1"/>
  <c r="Q1635" i="1"/>
  <c r="AX17" i="2" s="1"/>
  <c r="S57" i="3" s="1"/>
  <c r="Q1810" i="1"/>
  <c r="BD6" i="2" s="1"/>
  <c r="Q1814" i="1"/>
  <c r="BD10" i="2" s="1"/>
  <c r="Q1818" i="1"/>
  <c r="BD14" i="2" s="1"/>
  <c r="Q1822" i="1"/>
  <c r="BD18" i="2" s="1"/>
  <c r="Q1840" i="1"/>
  <c r="BE5" i="2" s="1"/>
  <c r="Q1844" i="1"/>
  <c r="BE9" i="2" s="1"/>
  <c r="Q1848" i="1"/>
  <c r="BE13" i="2" s="1"/>
  <c r="Q1852" i="1"/>
  <c r="BE17" i="2" s="1"/>
  <c r="Q1872" i="1"/>
  <c r="BF6" i="2" s="1"/>
  <c r="H61" i="3" s="1"/>
  <c r="Q1995" i="1"/>
  <c r="BJ5" i="2" s="1"/>
  <c r="G65" i="3" s="1"/>
  <c r="Q1250" i="1"/>
  <c r="AL4" i="2" s="1"/>
  <c r="F45" i="3" s="1"/>
  <c r="Q1254" i="1"/>
  <c r="AL8" i="2" s="1"/>
  <c r="J45" i="3" s="1"/>
  <c r="Q1258" i="1"/>
  <c r="AL12" i="2" s="1"/>
  <c r="N45" i="3" s="1"/>
  <c r="Q1262" i="1"/>
  <c r="AL16" i="2" s="1"/>
  <c r="R45" i="3" s="1"/>
  <c r="Q1622" i="1"/>
  <c r="AX4" i="2" s="1"/>
  <c r="F57" i="3" s="1"/>
  <c r="Q1626" i="1"/>
  <c r="AX8" i="2" s="1"/>
  <c r="J57" i="3" s="1"/>
  <c r="Q1630" i="1"/>
  <c r="AX12" i="2" s="1"/>
  <c r="N57" i="3" s="1"/>
  <c r="Q1634" i="1"/>
  <c r="AX16" i="2" s="1"/>
  <c r="R57" i="3" s="1"/>
  <c r="Q1809" i="1"/>
  <c r="BD5" i="2" s="1"/>
  <c r="Q1813" i="1"/>
  <c r="BD9" i="2" s="1"/>
  <c r="Q1817" i="1"/>
  <c r="BD13" i="2" s="1"/>
  <c r="Q1821" i="1"/>
  <c r="BD17" i="2" s="1"/>
  <c r="Q1839" i="1"/>
  <c r="BE4" i="2" s="1"/>
  <c r="Q1843" i="1"/>
  <c r="BE8" i="2" s="1"/>
  <c r="Q1847" i="1"/>
  <c r="BE12" i="2" s="1"/>
  <c r="Q1851" i="1"/>
  <c r="BE16" i="2" s="1"/>
  <c r="Q1838" i="1"/>
  <c r="BE3" i="2" s="1"/>
  <c r="Q1884" i="1"/>
  <c r="BF18" i="2" s="1"/>
  <c r="T61" i="3" s="1"/>
  <c r="Q2007" i="1"/>
  <c r="BJ17" i="2" s="1"/>
  <c r="S65" i="3" s="1"/>
  <c r="Q1827" i="1"/>
  <c r="BD23" i="2" s="1"/>
  <c r="Q896" i="1"/>
  <c r="Z22" i="2" s="1"/>
  <c r="X33" i="3" s="1"/>
  <c r="Q894" i="1"/>
  <c r="Z20" i="2" s="1"/>
  <c r="V33" i="3" s="1"/>
  <c r="Q2569" i="1"/>
  <c r="CB21" i="2" s="1"/>
  <c r="Q1546" i="1"/>
  <c r="AU21" i="2" s="1"/>
  <c r="W54" i="3" s="1"/>
  <c r="Q1516" i="1"/>
  <c r="AT22" i="2" s="1"/>
  <c r="X53" i="3" s="1"/>
  <c r="Q1143" i="1"/>
  <c r="AH21" i="2" s="1"/>
  <c r="W41" i="3" s="1"/>
  <c r="Q1515" i="1"/>
  <c r="AT21" i="2" s="1"/>
  <c r="W53" i="3" s="1"/>
  <c r="Q897" i="1"/>
  <c r="Z23" i="2" s="1"/>
  <c r="Y33" i="3" s="1"/>
  <c r="Q1142" i="1"/>
  <c r="AH20" i="2" s="1"/>
  <c r="V41" i="3" s="1"/>
  <c r="Q1514" i="1"/>
  <c r="AT20" i="2" s="1"/>
  <c r="V53" i="3" s="1"/>
  <c r="Q1545" i="1"/>
  <c r="AU20" i="2" s="1"/>
  <c r="V54" i="3" s="1"/>
  <c r="Q895" i="1"/>
  <c r="Z21" i="2" s="1"/>
  <c r="W33" i="3" s="1"/>
  <c r="Q1144" i="1"/>
  <c r="AH22" i="2" s="1"/>
  <c r="X41" i="3" s="1"/>
  <c r="Q1517" i="1"/>
  <c r="AT23" i="2" s="1"/>
  <c r="Y53" i="3" s="1"/>
  <c r="Q1548" i="1"/>
  <c r="AU23" i="2" s="1"/>
  <c r="Y54" i="3" s="1"/>
  <c r="Q3220" i="1"/>
  <c r="CW21" i="2" s="1"/>
  <c r="W96" i="3" s="1"/>
  <c r="Q3222" i="1"/>
  <c r="CW23" i="2" s="1"/>
  <c r="Y96" i="3" s="1"/>
  <c r="Q3221" i="1"/>
  <c r="CW22" i="2" s="1"/>
  <c r="X96" i="3" s="1"/>
  <c r="Q1483" i="1"/>
  <c r="AS20" i="2" s="1"/>
  <c r="V52" i="3" s="1"/>
  <c r="Q1486" i="1"/>
  <c r="AS23" i="2" s="1"/>
  <c r="Y52" i="3" s="1"/>
  <c r="Q1485" i="1"/>
  <c r="AS22" i="2" s="1"/>
  <c r="X52" i="3" s="1"/>
  <c r="Q1484" i="1"/>
  <c r="AS21" i="2" s="1"/>
  <c r="W52" i="3" s="1"/>
  <c r="Q1799" i="1"/>
  <c r="BC26" i="2" s="1"/>
  <c r="Q1793" i="1"/>
  <c r="BC20" i="2" s="1"/>
  <c r="Q2137" i="1"/>
  <c r="BN23" i="2" s="1"/>
  <c r="Y69" i="3" s="1"/>
  <c r="Q2136" i="1"/>
  <c r="BN22" i="2" s="1"/>
  <c r="X69" i="3" s="1"/>
  <c r="Q3282" i="1"/>
  <c r="CY21" i="2" s="1"/>
  <c r="W98" i="3" s="1"/>
  <c r="Q3283" i="1"/>
  <c r="CY22" i="2" s="1"/>
  <c r="X98" i="3" s="1"/>
  <c r="Q3281" i="1"/>
  <c r="CY20" i="2" s="1"/>
  <c r="V98" i="3" s="1"/>
  <c r="Q3284" i="1"/>
  <c r="CY23" i="2" s="1"/>
  <c r="Y98" i="3" s="1"/>
  <c r="Q1874" i="1"/>
  <c r="BF8" i="2" s="1"/>
  <c r="J61" i="3" s="1"/>
  <c r="Q1882" i="1"/>
  <c r="BF16" i="2" s="1"/>
  <c r="R61" i="3" s="1"/>
  <c r="Q1997" i="1"/>
  <c r="BJ7" i="2" s="1"/>
  <c r="I65" i="3" s="1"/>
  <c r="Q2005" i="1"/>
  <c r="BJ15" i="2" s="1"/>
  <c r="Q65" i="3" s="1"/>
  <c r="Q2029" i="1"/>
  <c r="BK8" i="2" s="1"/>
  <c r="J66" i="3" s="1"/>
  <c r="Q3207" i="1"/>
  <c r="CW8" i="2" s="1"/>
  <c r="J96" i="3" s="1"/>
  <c r="Q3215" i="1"/>
  <c r="CW16" i="2" s="1"/>
  <c r="R96" i="3" s="1"/>
  <c r="Q1889" i="1"/>
  <c r="BF23" i="2" s="1"/>
  <c r="Y61" i="3" s="1"/>
  <c r="Q3131" i="1"/>
  <c r="CT25" i="2" s="1"/>
  <c r="AA93" i="3" s="1"/>
  <c r="Q3129" i="1"/>
  <c r="CT23" i="2" s="1"/>
  <c r="Y93" i="3" s="1"/>
  <c r="Q3127" i="1"/>
  <c r="CT21" i="2" s="1"/>
  <c r="W93" i="3" s="1"/>
  <c r="Q3126" i="1"/>
  <c r="CT20" i="2" s="1"/>
  <c r="V93" i="3" s="1"/>
  <c r="Q3255" i="1"/>
  <c r="CX25" i="2" s="1"/>
  <c r="AA97" i="3" s="1"/>
  <c r="Q3253" i="1"/>
  <c r="CX23" i="2" s="1"/>
  <c r="Y97" i="3" s="1"/>
  <c r="Q3379" i="1"/>
  <c r="DB25" i="2" s="1"/>
  <c r="AA101" i="3" s="1"/>
  <c r="Q3377" i="1"/>
  <c r="DB23" i="2" s="1"/>
  <c r="Y101" i="3" s="1"/>
  <c r="Q3375" i="1"/>
  <c r="DB21" i="2" s="1"/>
  <c r="W101" i="3" s="1"/>
  <c r="Q3627" i="1"/>
  <c r="DJ25" i="2" s="1"/>
  <c r="AA109" i="3" s="1"/>
  <c r="Q3625" i="1"/>
  <c r="DJ23" i="2" s="1"/>
  <c r="Y109" i="3" s="1"/>
  <c r="Q3622" i="1"/>
  <c r="DJ20" i="2" s="1"/>
  <c r="V109" i="3" s="1"/>
  <c r="Q1870" i="1"/>
  <c r="BF4" i="2" s="1"/>
  <c r="F61" i="3" s="1"/>
  <c r="Q1878" i="1"/>
  <c r="BF12" i="2" s="1"/>
  <c r="N61" i="3" s="1"/>
  <c r="Q1869" i="1"/>
  <c r="BF3" i="2" s="1"/>
  <c r="E61" i="3" s="1"/>
  <c r="Q2001" i="1"/>
  <c r="BJ11" i="2" s="1"/>
  <c r="M65" i="3" s="1"/>
  <c r="Q2009" i="1"/>
  <c r="BJ19" i="2" s="1"/>
  <c r="U65" i="3" s="1"/>
  <c r="Q2037" i="1"/>
  <c r="BK16" i="2" s="1"/>
  <c r="R66" i="3" s="1"/>
  <c r="Q2494" i="1"/>
  <c r="BZ8" i="2" s="1"/>
  <c r="Q3203" i="1"/>
  <c r="CW4" i="2" s="1"/>
  <c r="F96" i="3" s="1"/>
  <c r="Q3211" i="1"/>
  <c r="CW12" i="2" s="1"/>
  <c r="N96" i="3" s="1"/>
  <c r="Q3202" i="1"/>
  <c r="CW3" i="2" s="1"/>
  <c r="E96" i="3" s="1"/>
  <c r="Q1468" i="1"/>
  <c r="AS5" i="2" s="1"/>
  <c r="G52" i="3" s="1"/>
  <c r="Q1472" i="1"/>
  <c r="AS9" i="2" s="1"/>
  <c r="K52" i="3" s="1"/>
  <c r="Q1476" i="1"/>
  <c r="AS13" i="2" s="1"/>
  <c r="O52" i="3" s="1"/>
  <c r="Q1480" i="1"/>
  <c r="AS17" i="2" s="1"/>
  <c r="S52" i="3" s="1"/>
  <c r="Q1749" i="1"/>
  <c r="BB7" i="2" s="1"/>
  <c r="Q1753" i="1"/>
  <c r="BB11" i="2" s="1"/>
  <c r="Q1757" i="1"/>
  <c r="BB15" i="2" s="1"/>
  <c r="Q1761" i="1"/>
  <c r="BB19" i="2" s="1"/>
  <c r="Q1779" i="1"/>
  <c r="BC6" i="2" s="1"/>
  <c r="Q1783" i="1"/>
  <c r="BC10" i="2" s="1"/>
  <c r="Q1787" i="1"/>
  <c r="BC14" i="2" s="1"/>
  <c r="Q1791" i="1"/>
  <c r="BC18" i="2" s="1"/>
  <c r="Q1873" i="1"/>
  <c r="BF7" i="2" s="1"/>
  <c r="I61" i="3" s="1"/>
  <c r="Q1877" i="1"/>
  <c r="BF11" i="2" s="1"/>
  <c r="M61" i="3" s="1"/>
  <c r="Q1881" i="1"/>
  <c r="BF15" i="2" s="1"/>
  <c r="Q61" i="3" s="1"/>
  <c r="Q1996" i="1"/>
  <c r="BJ6" i="2" s="1"/>
  <c r="H65" i="3" s="1"/>
  <c r="Q2000" i="1"/>
  <c r="BJ10" i="2" s="1"/>
  <c r="L65" i="3" s="1"/>
  <c r="Q2004" i="1"/>
  <c r="BJ14" i="2" s="1"/>
  <c r="P65" i="3" s="1"/>
  <c r="Q2008" i="1"/>
  <c r="BJ18" i="2" s="1"/>
  <c r="T65" i="3" s="1"/>
  <c r="Q2026" i="1"/>
  <c r="BK5" i="2" s="1"/>
  <c r="G66" i="3" s="1"/>
  <c r="Q2034" i="1"/>
  <c r="BK13" i="2" s="1"/>
  <c r="O66" i="3" s="1"/>
  <c r="Q2121" i="1"/>
  <c r="BN7" i="2" s="1"/>
  <c r="I69" i="3" s="1"/>
  <c r="Q2125" i="1"/>
  <c r="BN11" i="2" s="1"/>
  <c r="M69" i="3" s="1"/>
  <c r="Q2129" i="1"/>
  <c r="BN15" i="2" s="1"/>
  <c r="Q69" i="3" s="1"/>
  <c r="Q2133" i="1"/>
  <c r="BN19" i="2" s="1"/>
  <c r="U69" i="3" s="1"/>
  <c r="Q2244" i="1"/>
  <c r="BR6" i="2" s="1"/>
  <c r="H73" i="3" s="1"/>
  <c r="Q2248" i="1"/>
  <c r="BR10" i="2" s="1"/>
  <c r="L73" i="3" s="1"/>
  <c r="Q2252" i="1"/>
  <c r="BR14" i="2" s="1"/>
  <c r="P73" i="3" s="1"/>
  <c r="Q2256" i="1"/>
  <c r="BR18" i="2" s="1"/>
  <c r="T73" i="3" s="1"/>
  <c r="Q2490" i="1"/>
  <c r="BZ4" i="2" s="1"/>
  <c r="Q2489" i="1"/>
  <c r="BZ3" i="2" s="1"/>
  <c r="Q2708" i="1"/>
  <c r="CG5" i="2" s="1"/>
  <c r="Q2712" i="1"/>
  <c r="CG9" i="2" s="1"/>
  <c r="Q2716" i="1"/>
  <c r="CG13" i="2" s="1"/>
  <c r="Q2720" i="1"/>
  <c r="CG17" i="2" s="1"/>
  <c r="Q2738" i="1"/>
  <c r="CH4" i="2" s="1"/>
  <c r="F81" i="3" s="1"/>
  <c r="Q2737" i="1"/>
  <c r="CH3" i="2" s="1"/>
  <c r="E81" i="3" s="1"/>
  <c r="Q3206" i="1"/>
  <c r="CW7" i="2" s="1"/>
  <c r="I96" i="3" s="1"/>
  <c r="Q3210" i="1"/>
  <c r="CW11" i="2" s="1"/>
  <c r="M96" i="3" s="1"/>
  <c r="Q3214" i="1"/>
  <c r="CW15" i="2" s="1"/>
  <c r="Q96" i="3" s="1"/>
  <c r="Q3218" i="1"/>
  <c r="CW19" i="2" s="1"/>
  <c r="U96" i="3" s="1"/>
  <c r="Q3266" i="1"/>
  <c r="CY5" i="2" s="1"/>
  <c r="G98" i="3" s="1"/>
  <c r="Q3270" i="1"/>
  <c r="CY9" i="2" s="1"/>
  <c r="K98" i="3" s="1"/>
  <c r="Q3274" i="1"/>
  <c r="CY13" i="2" s="1"/>
  <c r="O98" i="3" s="1"/>
  <c r="Q3278" i="1"/>
  <c r="CY17" i="2" s="1"/>
  <c r="S98" i="3" s="1"/>
  <c r="Q2135" i="1"/>
  <c r="BN21" i="2" s="1"/>
  <c r="W69" i="3" s="1"/>
  <c r="Q2043" i="1"/>
  <c r="BK22" i="2" s="1"/>
  <c r="X66" i="3" s="1"/>
  <c r="Q1888" i="1"/>
  <c r="BF22" i="2" s="1"/>
  <c r="X61" i="3" s="1"/>
  <c r="Q1886" i="1"/>
  <c r="BF20" i="2" s="1"/>
  <c r="V61" i="3" s="1"/>
  <c r="Q1887" i="1"/>
  <c r="BF21" i="2" s="1"/>
  <c r="W61" i="3" s="1"/>
  <c r="Q1470" i="1"/>
  <c r="AS7" i="2" s="1"/>
  <c r="I52" i="3" s="1"/>
  <c r="Q1474" i="1"/>
  <c r="AS11" i="2" s="1"/>
  <c r="M52" i="3" s="1"/>
  <c r="Q1478" i="1"/>
  <c r="AS15" i="2" s="1"/>
  <c r="Q52" i="3" s="1"/>
  <c r="Q1482" i="1"/>
  <c r="AS19" i="2" s="1"/>
  <c r="U52" i="3" s="1"/>
  <c r="Q1747" i="1"/>
  <c r="BB5" i="2" s="1"/>
  <c r="Q1751" i="1"/>
  <c r="BB9" i="2" s="1"/>
  <c r="Q1755" i="1"/>
  <c r="BB13" i="2" s="1"/>
  <c r="Q1759" i="1"/>
  <c r="BB17" i="2" s="1"/>
  <c r="Q1777" i="1"/>
  <c r="BC4" i="2" s="1"/>
  <c r="Q1781" i="1"/>
  <c r="BC8" i="2" s="1"/>
  <c r="Q1785" i="1"/>
  <c r="BC12" i="2" s="1"/>
  <c r="Q1789" i="1"/>
  <c r="BC16" i="2" s="1"/>
  <c r="Q1776" i="1"/>
  <c r="BC3" i="2" s="1"/>
  <c r="Q1871" i="1"/>
  <c r="BF5" i="2" s="1"/>
  <c r="G61" i="3" s="1"/>
  <c r="Q1875" i="1"/>
  <c r="BF9" i="2" s="1"/>
  <c r="K61" i="3" s="1"/>
  <c r="Q1879" i="1"/>
  <c r="BF13" i="2" s="1"/>
  <c r="O61" i="3" s="1"/>
  <c r="Q1883" i="1"/>
  <c r="BF17" i="2" s="1"/>
  <c r="S61" i="3" s="1"/>
  <c r="Q1994" i="1"/>
  <c r="BJ4" i="2" s="1"/>
  <c r="F65" i="3" s="1"/>
  <c r="Q1998" i="1"/>
  <c r="BJ8" i="2" s="1"/>
  <c r="J65" i="3" s="1"/>
  <c r="Q2002" i="1"/>
  <c r="BJ12" i="2" s="1"/>
  <c r="N65" i="3" s="1"/>
  <c r="Q2006" i="1"/>
  <c r="BJ16" i="2" s="1"/>
  <c r="R65" i="3" s="1"/>
  <c r="Q1993" i="1"/>
  <c r="BJ3" i="2" s="1"/>
  <c r="E65" i="3" s="1"/>
  <c r="Q2030" i="1"/>
  <c r="BK9" i="2" s="1"/>
  <c r="K66" i="3" s="1"/>
  <c r="Q2119" i="1"/>
  <c r="BN5" i="2" s="1"/>
  <c r="G69" i="3" s="1"/>
  <c r="Q2123" i="1"/>
  <c r="BN9" i="2" s="1"/>
  <c r="K69" i="3" s="1"/>
  <c r="Q2127" i="1"/>
  <c r="BN13" i="2" s="1"/>
  <c r="O69" i="3" s="1"/>
  <c r="Q2131" i="1"/>
  <c r="BN17" i="2" s="1"/>
  <c r="S69" i="3" s="1"/>
  <c r="Q2242" i="1"/>
  <c r="BR4" i="2" s="1"/>
  <c r="F73" i="3" s="1"/>
  <c r="Q2246" i="1"/>
  <c r="BR8" i="2" s="1"/>
  <c r="J73" i="3" s="1"/>
  <c r="Q2250" i="1"/>
  <c r="BR12" i="2" s="1"/>
  <c r="N73" i="3" s="1"/>
  <c r="Q2254" i="1"/>
  <c r="BR16" i="2" s="1"/>
  <c r="R73" i="3" s="1"/>
  <c r="Q2241" i="1"/>
  <c r="BR3" i="2" s="1"/>
  <c r="E73" i="3" s="1"/>
  <c r="Q2710" i="1"/>
  <c r="CG7" i="2" s="1"/>
  <c r="Q2714" i="1"/>
  <c r="CG11" i="2" s="1"/>
  <c r="Q2718" i="1"/>
  <c r="CG15" i="2" s="1"/>
  <c r="Q2722" i="1"/>
  <c r="CG19" i="2" s="1"/>
  <c r="Q3204" i="1"/>
  <c r="CW5" i="2" s="1"/>
  <c r="G96" i="3" s="1"/>
  <c r="Q3208" i="1"/>
  <c r="CW9" i="2" s="1"/>
  <c r="K96" i="3" s="1"/>
  <c r="Q3212" i="1"/>
  <c r="CW13" i="2" s="1"/>
  <c r="O96" i="3" s="1"/>
  <c r="Q3216" i="1"/>
  <c r="CW17" i="2" s="1"/>
  <c r="S96" i="3" s="1"/>
  <c r="Q3268" i="1"/>
  <c r="CY7" i="2" s="1"/>
  <c r="I98" i="3" s="1"/>
  <c r="Q3272" i="1"/>
  <c r="CY11" i="2" s="1"/>
  <c r="M98" i="3" s="1"/>
  <c r="Q3276" i="1"/>
  <c r="CY15" i="2" s="1"/>
  <c r="Q98" i="3" s="1"/>
  <c r="Q3280" i="1"/>
  <c r="CY19" i="2" s="1"/>
  <c r="U98" i="3" s="1"/>
  <c r="J1864" i="1"/>
  <c r="J2019" i="1"/>
  <c r="J2608" i="1"/>
  <c r="J2887" i="1"/>
  <c r="J3104" i="1"/>
  <c r="J1399" i="1"/>
  <c r="Q2044" i="1"/>
  <c r="BK23" i="2" s="1"/>
  <c r="Y66" i="3" s="1"/>
  <c r="Q2041" i="1"/>
  <c r="BK20" i="2" s="1"/>
  <c r="V66" i="3" s="1"/>
  <c r="Q2511" i="1"/>
  <c r="BZ25" i="2" s="1"/>
  <c r="Q2510" i="1"/>
  <c r="BZ24" i="2" s="1"/>
  <c r="Q2506" i="1"/>
  <c r="BZ20" i="2" s="1"/>
  <c r="Q2507" i="1"/>
  <c r="BZ21" i="2" s="1"/>
  <c r="Q2759" i="1"/>
  <c r="CH25" i="2" s="1"/>
  <c r="AA81" i="3" s="1"/>
  <c r="Q2755" i="1"/>
  <c r="CH21" i="2" s="1"/>
  <c r="W81" i="3" s="1"/>
  <c r="Q2754" i="1"/>
  <c r="CH20" i="2" s="1"/>
  <c r="V81" i="3" s="1"/>
  <c r="Q1271" i="1"/>
  <c r="AL25" i="2" s="1"/>
  <c r="AA45" i="3" s="1"/>
  <c r="Q1269" i="1"/>
  <c r="AL23" i="2" s="1"/>
  <c r="Y45" i="3" s="1"/>
  <c r="Q2695" i="1"/>
  <c r="CF23" i="2" s="1"/>
  <c r="Q2694" i="1"/>
  <c r="CF22" i="2" s="1"/>
  <c r="Q3499" i="1"/>
  <c r="DF21" i="2" s="1"/>
  <c r="W105" i="3" s="1"/>
  <c r="Q3498" i="1"/>
  <c r="DF20" i="2" s="1"/>
  <c r="V105" i="3" s="1"/>
  <c r="Q2493" i="1"/>
  <c r="BZ7" i="2" s="1"/>
  <c r="Q2497" i="1"/>
  <c r="BZ11" i="2" s="1"/>
  <c r="Q2501" i="1"/>
  <c r="BZ15" i="2" s="1"/>
  <c r="Q2505" i="1"/>
  <c r="BZ19" i="2" s="1"/>
  <c r="Q2741" i="1"/>
  <c r="CH7" i="2" s="1"/>
  <c r="I81" i="3" s="1"/>
  <c r="Q2745" i="1"/>
  <c r="CH11" i="2" s="1"/>
  <c r="M81" i="3" s="1"/>
  <c r="Q2749" i="1"/>
  <c r="CH15" i="2" s="1"/>
  <c r="Q81" i="3" s="1"/>
  <c r="Q2753" i="1"/>
  <c r="CH19" i="2" s="1"/>
  <c r="U81" i="3" s="1"/>
  <c r="Q2756" i="1"/>
  <c r="CH22" i="2" s="1"/>
  <c r="X81" i="3" s="1"/>
  <c r="Q2757" i="1"/>
  <c r="CH23" i="2" s="1"/>
  <c r="Y81" i="3" s="1"/>
  <c r="Q1643" i="1"/>
  <c r="AX25" i="2" s="1"/>
  <c r="AA57" i="3" s="1"/>
  <c r="Q1641" i="1"/>
  <c r="AX23" i="2" s="1"/>
  <c r="Y57" i="3" s="1"/>
  <c r="Q2637" i="1"/>
  <c r="CD27" i="2" s="1"/>
  <c r="Q2631" i="1"/>
  <c r="CD21" i="2" s="1"/>
  <c r="Q2630" i="1"/>
  <c r="CD20" i="2" s="1"/>
  <c r="Q2634" i="1"/>
  <c r="CD24" i="2" s="1"/>
  <c r="Q2028" i="1"/>
  <c r="BK7" i="2" s="1"/>
  <c r="I66" i="3" s="1"/>
  <c r="Q2032" i="1"/>
  <c r="BK11" i="2" s="1"/>
  <c r="M66" i="3" s="1"/>
  <c r="Q2036" i="1"/>
  <c r="BK15" i="2" s="1"/>
  <c r="Q66" i="3" s="1"/>
  <c r="Q2040" i="1"/>
  <c r="BK19" i="2" s="1"/>
  <c r="U66" i="3" s="1"/>
  <c r="Q2492" i="1"/>
  <c r="BZ6" i="2" s="1"/>
  <c r="Q2496" i="1"/>
  <c r="BZ10" i="2" s="1"/>
  <c r="Q2500" i="1"/>
  <c r="BZ14" i="2" s="1"/>
  <c r="Q2504" i="1"/>
  <c r="BZ18" i="2" s="1"/>
  <c r="Q2740" i="1"/>
  <c r="CH6" i="2" s="1"/>
  <c r="H81" i="3" s="1"/>
  <c r="Q2744" i="1"/>
  <c r="CH10" i="2" s="1"/>
  <c r="L81" i="3" s="1"/>
  <c r="Q2748" i="1"/>
  <c r="CH14" i="2" s="1"/>
  <c r="P81" i="3" s="1"/>
  <c r="Q2752" i="1"/>
  <c r="CH18" i="2" s="1"/>
  <c r="T81" i="3" s="1"/>
  <c r="Q2572" i="1"/>
  <c r="CB24" i="2" s="1"/>
  <c r="Q2571" i="1"/>
  <c r="CB23" i="2" s="1"/>
  <c r="Q2570" i="1"/>
  <c r="CB22" i="2" s="1"/>
  <c r="Q2027" i="1"/>
  <c r="BK6" i="2" s="1"/>
  <c r="H66" i="3" s="1"/>
  <c r="Q2031" i="1"/>
  <c r="BK10" i="2" s="1"/>
  <c r="L66" i="3" s="1"/>
  <c r="Q2035" i="1"/>
  <c r="BK14" i="2" s="1"/>
  <c r="P66" i="3" s="1"/>
  <c r="Q2039" i="1"/>
  <c r="BK18" i="2" s="1"/>
  <c r="T66" i="3" s="1"/>
  <c r="Q2491" i="1"/>
  <c r="BZ5" i="2" s="1"/>
  <c r="Q2495" i="1"/>
  <c r="BZ9" i="2" s="1"/>
  <c r="Q2499" i="1"/>
  <c r="BZ13" i="2" s="1"/>
  <c r="Q2503" i="1"/>
  <c r="BZ17" i="2" s="1"/>
  <c r="Q2739" i="1"/>
  <c r="CH5" i="2" s="1"/>
  <c r="G81" i="3" s="1"/>
  <c r="Q2743" i="1"/>
  <c r="CH9" i="2" s="1"/>
  <c r="K81" i="3" s="1"/>
  <c r="Q2747" i="1"/>
  <c r="CH13" i="2" s="1"/>
  <c r="O81" i="3" s="1"/>
  <c r="Q2751" i="1"/>
  <c r="CH17" i="2" s="1"/>
  <c r="S81" i="3" s="1"/>
  <c r="Q2042" i="1"/>
  <c r="BK21" i="2" s="1"/>
  <c r="W66" i="3" s="1"/>
  <c r="Q2508" i="1"/>
  <c r="BZ22" i="2" s="1"/>
  <c r="Q2509" i="1"/>
  <c r="BZ23" i="2" s="1"/>
  <c r="Q3219" i="1"/>
  <c r="CW20" i="2" s="1"/>
  <c r="V96" i="3" s="1"/>
  <c r="Q1547" i="1"/>
  <c r="AU22" i="2" s="1"/>
  <c r="X54" i="3" s="1"/>
  <c r="J1275" i="1"/>
  <c r="J1151" i="1"/>
  <c r="J1368" i="1"/>
  <c r="J1430" i="1"/>
  <c r="J1771" i="1"/>
  <c r="J1802" i="1"/>
  <c r="Q1762" i="1"/>
  <c r="BB20" i="2" s="1"/>
  <c r="Q2010" i="1"/>
  <c r="BJ20" i="2" s="1"/>
  <c r="V65" i="3" s="1"/>
  <c r="Q2011" i="1"/>
  <c r="BJ21" i="2" s="1"/>
  <c r="W65" i="3" s="1"/>
  <c r="J3259" i="1"/>
  <c r="Q1608" i="1"/>
  <c r="AW21" i="2" s="1"/>
  <c r="W56" i="3" s="1"/>
  <c r="Q2013" i="1"/>
  <c r="BJ23" i="2" s="1"/>
  <c r="Y65" i="3" s="1"/>
  <c r="Q1607" i="1"/>
  <c r="AW20" i="2" s="1"/>
  <c r="V56" i="3" s="1"/>
  <c r="Q2538" i="1"/>
  <c r="CA21" i="2" s="1"/>
  <c r="Q2600" i="1"/>
  <c r="CC21" i="2" s="1"/>
  <c r="Q1671" i="1"/>
  <c r="AY22" i="2" s="1"/>
  <c r="X58" i="3" s="1"/>
  <c r="Q2012" i="1"/>
  <c r="BJ22" i="2" s="1"/>
  <c r="X65" i="3" s="1"/>
  <c r="Q2787" i="1"/>
  <c r="CI22" i="2" s="1"/>
  <c r="X82" i="3" s="1"/>
  <c r="Q1393" i="1"/>
  <c r="AP23" i="2" s="1"/>
  <c r="Y49" i="3" s="1"/>
  <c r="Q2540" i="1"/>
  <c r="CA23" i="2" s="1"/>
  <c r="Q2602" i="1"/>
  <c r="CC23" i="2" s="1"/>
  <c r="Q2727" i="1"/>
  <c r="CG24" i="2" s="1"/>
  <c r="Q1390" i="1"/>
  <c r="AP20" i="2" s="1"/>
  <c r="V49" i="3" s="1"/>
  <c r="Q2537" i="1"/>
  <c r="CA20" i="2" s="1"/>
  <c r="Q1019" i="1"/>
  <c r="AD21" i="2" s="1"/>
  <c r="W37" i="3" s="1"/>
  <c r="Q1763" i="1"/>
  <c r="BB21" i="2" s="1"/>
  <c r="Q2259" i="1"/>
  <c r="BR21" i="2" s="1"/>
  <c r="W73" i="3" s="1"/>
  <c r="Q2879" i="1"/>
  <c r="CL21" i="2" s="1"/>
  <c r="W85" i="3" s="1"/>
  <c r="Q1392" i="1"/>
  <c r="AP22" i="2" s="1"/>
  <c r="X49" i="3" s="1"/>
  <c r="Q1609" i="1"/>
  <c r="AW22" i="2" s="1"/>
  <c r="X56" i="3" s="1"/>
  <c r="Q2260" i="1"/>
  <c r="BR22" i="2" s="1"/>
  <c r="X73" i="3" s="1"/>
  <c r="Q2601" i="1"/>
  <c r="CC22" i="2" s="1"/>
  <c r="Q1765" i="1"/>
  <c r="BB23" i="2" s="1"/>
  <c r="Q2261" i="1"/>
  <c r="BR23" i="2" s="1"/>
  <c r="Y73" i="3" s="1"/>
  <c r="Q1766" i="1"/>
  <c r="BB24" i="2" s="1"/>
  <c r="Q2541" i="1"/>
  <c r="CA24" i="2" s="1"/>
  <c r="J655" i="1"/>
  <c r="J653" i="1"/>
  <c r="J2235" i="1"/>
  <c r="J2233" i="1"/>
  <c r="Q1018" i="1"/>
  <c r="AD20" i="2" s="1"/>
  <c r="V37" i="3" s="1"/>
  <c r="Q1669" i="1"/>
  <c r="AY20" i="2" s="1"/>
  <c r="V58" i="3" s="1"/>
  <c r="Q2258" i="1"/>
  <c r="BR20" i="2" s="1"/>
  <c r="V73" i="3" s="1"/>
  <c r="Q2599" i="1"/>
  <c r="CC20" i="2" s="1"/>
  <c r="Q1670" i="1"/>
  <c r="AY21" i="2" s="1"/>
  <c r="W58" i="3" s="1"/>
  <c r="Q1020" i="1"/>
  <c r="AD22" i="2" s="1"/>
  <c r="X37" i="3" s="1"/>
  <c r="Q1764" i="1"/>
  <c r="BB22" i="2" s="1"/>
  <c r="Q2663" i="1"/>
  <c r="CE22" i="2" s="1"/>
  <c r="Q1610" i="1"/>
  <c r="AW23" i="2" s="1"/>
  <c r="Y56" i="3" s="1"/>
  <c r="Q1672" i="1"/>
  <c r="AY23" i="2" s="1"/>
  <c r="Y58" i="3" s="1"/>
  <c r="Q2603" i="1"/>
  <c r="CC24" i="2" s="1"/>
  <c r="J2050" i="1"/>
  <c r="J531" i="1"/>
  <c r="J624" i="1"/>
  <c r="J903" i="1"/>
  <c r="J1027" i="1"/>
  <c r="J2639" i="1"/>
  <c r="J2670" i="1"/>
  <c r="J2732" i="1"/>
  <c r="J2794" i="1"/>
  <c r="J407" i="1"/>
  <c r="J2143" i="1"/>
  <c r="J2267" i="1"/>
  <c r="J2391" i="1"/>
  <c r="J779" i="1"/>
  <c r="J2174" i="1"/>
  <c r="Q2723" i="1"/>
  <c r="CG20" i="2" s="1"/>
  <c r="Q3095" i="1"/>
  <c r="CS20" i="2" s="1"/>
  <c r="V92" i="3" s="1"/>
  <c r="Q3746" i="1"/>
  <c r="DN20" i="2" s="1"/>
  <c r="V113" i="3" s="1"/>
  <c r="Q1360" i="1"/>
  <c r="AO21" i="2" s="1"/>
  <c r="W48" i="3" s="1"/>
  <c r="Q1422" i="1"/>
  <c r="AQ21" i="2" s="1"/>
  <c r="W50" i="3" s="1"/>
  <c r="Q1794" i="1"/>
  <c r="BC21" i="2" s="1"/>
  <c r="Q1361" i="1"/>
  <c r="AO22" i="2" s="1"/>
  <c r="X48" i="3" s="1"/>
  <c r="Q1857" i="1"/>
  <c r="BE22" i="2" s="1"/>
  <c r="Q2105" i="1"/>
  <c r="BM22" i="2" s="1"/>
  <c r="X68" i="3" s="1"/>
  <c r="Q2881" i="1"/>
  <c r="CL23" i="2" s="1"/>
  <c r="Y85" i="3" s="1"/>
  <c r="Q2666" i="1"/>
  <c r="CE25" i="2" s="1"/>
  <c r="J1895" i="1"/>
  <c r="Q1359" i="1"/>
  <c r="AO20" i="2" s="1"/>
  <c r="V48" i="3" s="1"/>
  <c r="Q1855" i="1"/>
  <c r="BE20" i="2" s="1"/>
  <c r="Q2103" i="1"/>
  <c r="BM20" i="2" s="1"/>
  <c r="V68" i="3" s="1"/>
  <c r="Q2878" i="1"/>
  <c r="CL20" i="2" s="1"/>
  <c r="V85" i="3" s="1"/>
  <c r="Q1856" i="1"/>
  <c r="BE21" i="2" s="1"/>
  <c r="Q2104" i="1"/>
  <c r="BM21" i="2" s="1"/>
  <c r="W68" i="3" s="1"/>
  <c r="Q2383" i="1"/>
  <c r="BV21" i="2" s="1"/>
  <c r="W77" i="3" s="1"/>
  <c r="Q2662" i="1"/>
  <c r="CE21" i="2" s="1"/>
  <c r="Q2724" i="1"/>
  <c r="CG21" i="2" s="1"/>
  <c r="Q2786" i="1"/>
  <c r="CI21" i="2" s="1"/>
  <c r="W82" i="3" s="1"/>
  <c r="Q3096" i="1"/>
  <c r="CS21" i="2" s="1"/>
  <c r="W92" i="3" s="1"/>
  <c r="Q1268" i="1"/>
  <c r="AL22" i="2" s="1"/>
  <c r="X45" i="3" s="1"/>
  <c r="Q1640" i="1"/>
  <c r="AX22" i="2" s="1"/>
  <c r="X57" i="3" s="1"/>
  <c r="Q2384" i="1"/>
  <c r="BV22" i="2" s="1"/>
  <c r="X77" i="3" s="1"/>
  <c r="Q2725" i="1"/>
  <c r="CG22" i="2" s="1"/>
  <c r="Q3097" i="1"/>
  <c r="CS22" i="2" s="1"/>
  <c r="X92" i="3" s="1"/>
  <c r="Q3748" i="1"/>
  <c r="DN22" i="2" s="1"/>
  <c r="X113" i="3" s="1"/>
  <c r="Q1424" i="1"/>
  <c r="AQ23" i="2" s="1"/>
  <c r="Y50" i="3" s="1"/>
  <c r="Q1796" i="1"/>
  <c r="BC23" i="2" s="1"/>
  <c r="Q1797" i="1"/>
  <c r="BC24" i="2" s="1"/>
  <c r="Q2665" i="1"/>
  <c r="CE24" i="2" s="1"/>
  <c r="J1523" i="1"/>
  <c r="J1554" i="1"/>
  <c r="J1616" i="1"/>
  <c r="J2515" i="1"/>
  <c r="J2577" i="1"/>
  <c r="Q1266" i="1"/>
  <c r="AL20" i="2" s="1"/>
  <c r="V45" i="3" s="1"/>
  <c r="Q1638" i="1"/>
  <c r="AX20" i="2" s="1"/>
  <c r="V57" i="3" s="1"/>
  <c r="Q2382" i="1"/>
  <c r="BV20" i="2" s="1"/>
  <c r="V77" i="3" s="1"/>
  <c r="Q2661" i="1"/>
  <c r="CE20" i="2" s="1"/>
  <c r="Q2785" i="1"/>
  <c r="CI20" i="2" s="1"/>
  <c r="V82" i="3" s="1"/>
  <c r="Q1267" i="1"/>
  <c r="AL21" i="2" s="1"/>
  <c r="W45" i="3" s="1"/>
  <c r="Q1639" i="1"/>
  <c r="AX21" i="2" s="1"/>
  <c r="W57" i="3" s="1"/>
  <c r="Q3747" i="1"/>
  <c r="DN21" i="2" s="1"/>
  <c r="W113" i="3" s="1"/>
  <c r="Q1795" i="1"/>
  <c r="BC22" i="2" s="1"/>
  <c r="Q2880" i="1"/>
  <c r="CL22" i="2" s="1"/>
  <c r="X85" i="3" s="1"/>
  <c r="Q2385" i="1"/>
  <c r="BV23" i="2" s="1"/>
  <c r="Y77" i="3" s="1"/>
  <c r="Q2726" i="1"/>
  <c r="CG23" i="2" s="1"/>
  <c r="Q2788" i="1"/>
  <c r="CI23" i="2" s="1"/>
  <c r="Y82" i="3" s="1"/>
  <c r="Q1829" i="1"/>
  <c r="BD25" i="2" s="1"/>
  <c r="J2763" i="1"/>
  <c r="J3290" i="1"/>
  <c r="J3383" i="1"/>
  <c r="J3631" i="1"/>
  <c r="J3755" i="1"/>
  <c r="J1647" i="1"/>
  <c r="J2546" i="1"/>
  <c r="J3228" i="1"/>
  <c r="J1678" i="1"/>
  <c r="J2701" i="1"/>
  <c r="J2236" i="1"/>
  <c r="J1492" i="1"/>
  <c r="J3507" i="1"/>
  <c r="J2112" i="1"/>
  <c r="J7" i="1"/>
  <c r="J11" i="1"/>
  <c r="J380" i="1" s="1"/>
  <c r="J17" i="1"/>
  <c r="J566" i="1" s="1"/>
  <c r="J721" i="1"/>
  <c r="J845" i="1"/>
  <c r="Q1027" i="1"/>
  <c r="AD29" i="2" s="1"/>
  <c r="AE37" i="3" s="1"/>
  <c r="Q1025" i="1"/>
  <c r="AD27" i="2" s="1"/>
  <c r="AC37" i="3" s="1"/>
  <c r="Q1026" i="1"/>
  <c r="AD28" i="2" s="1"/>
  <c r="AD37" i="3" s="1"/>
  <c r="Q1024" i="1"/>
  <c r="AD26" i="2" s="1"/>
  <c r="AB37" i="3" s="1"/>
  <c r="J1341" i="1"/>
  <c r="Q1368" i="1"/>
  <c r="AO29" i="2" s="1"/>
  <c r="AE48" i="3" s="1"/>
  <c r="Q1366" i="1"/>
  <c r="AO27" i="2" s="1"/>
  <c r="AC48" i="3" s="1"/>
  <c r="Q1367" i="1"/>
  <c r="AO28" i="2" s="1"/>
  <c r="AD48" i="3" s="1"/>
  <c r="Q1365" i="1"/>
  <c r="AO26" i="2" s="1"/>
  <c r="AB48" i="3" s="1"/>
  <c r="Q1399" i="1"/>
  <c r="AP29" i="2" s="1"/>
  <c r="AE49" i="3" s="1"/>
  <c r="Q1397" i="1"/>
  <c r="AP27" i="2" s="1"/>
  <c r="AC49" i="3" s="1"/>
  <c r="Q1398" i="1"/>
  <c r="AP28" i="2" s="1"/>
  <c r="AD49" i="3" s="1"/>
  <c r="Q1396" i="1"/>
  <c r="AP26" i="2" s="1"/>
  <c r="AB49" i="3" s="1"/>
  <c r="Q1430" i="1"/>
  <c r="AQ29" i="2" s="1"/>
  <c r="AE50" i="3" s="1"/>
  <c r="Q1428" i="1"/>
  <c r="AQ27" i="2" s="1"/>
  <c r="AC50" i="3" s="1"/>
  <c r="Q1429" i="1"/>
  <c r="AQ28" i="2" s="1"/>
  <c r="AD50" i="3" s="1"/>
  <c r="Q1427" i="1"/>
  <c r="AQ26" i="2" s="1"/>
  <c r="AB50" i="3" s="1"/>
  <c r="Q1864" i="1"/>
  <c r="BE29" i="2" s="1"/>
  <c r="Q1863" i="1"/>
  <c r="BE28" i="2" s="1"/>
  <c r="Q1895" i="1"/>
  <c r="BF29" i="2" s="1"/>
  <c r="Q1894" i="1"/>
  <c r="BF28" i="2" s="1"/>
  <c r="J2085" i="1"/>
  <c r="Q2112" i="1"/>
  <c r="BM29" i="2" s="1"/>
  <c r="AE68" i="3" s="1"/>
  <c r="Q2111" i="1"/>
  <c r="BM28" i="2" s="1"/>
  <c r="AD68" i="3" s="1"/>
  <c r="Q2109" i="1"/>
  <c r="BM26" i="2" s="1"/>
  <c r="AB68" i="3" s="1"/>
  <c r="Q2110" i="1"/>
  <c r="BM27" i="2" s="1"/>
  <c r="AC68" i="3" s="1"/>
  <c r="Q2143" i="1"/>
  <c r="BN29" i="2" s="1"/>
  <c r="AE69" i="3" s="1"/>
  <c r="Q2142" i="1"/>
  <c r="BN28" i="2" s="1"/>
  <c r="AD69" i="3" s="1"/>
  <c r="Q2140" i="1"/>
  <c r="BN26" i="2" s="1"/>
  <c r="AB69" i="3" s="1"/>
  <c r="Q2141" i="1"/>
  <c r="BN27" i="2" s="1"/>
  <c r="AC69" i="3" s="1"/>
  <c r="J2457" i="1"/>
  <c r="Q2577" i="1"/>
  <c r="CB29" i="2" s="1"/>
  <c r="AE83" i="3" s="1"/>
  <c r="Q2576" i="1"/>
  <c r="CB28" i="2" s="1"/>
  <c r="AD83" i="3" s="1"/>
  <c r="Q2701" i="1"/>
  <c r="CF29" i="2" s="1"/>
  <c r="Q2700" i="1"/>
  <c r="CF28" i="2" s="1"/>
  <c r="J3325" i="1"/>
  <c r="J3480" i="1"/>
  <c r="Q3507" i="1"/>
  <c r="DF29" i="2" s="1"/>
  <c r="AE105" i="3" s="1"/>
  <c r="Q3505" i="1"/>
  <c r="DF27" i="2" s="1"/>
  <c r="AC105" i="3" s="1"/>
  <c r="Q3506" i="1"/>
  <c r="DF28" i="2" s="1"/>
  <c r="AD105" i="3" s="1"/>
  <c r="Q3504" i="1"/>
  <c r="DF26" i="2" s="1"/>
  <c r="AB105" i="3" s="1"/>
  <c r="J3666" i="1"/>
  <c r="J3821" i="1"/>
  <c r="Q2604" i="1"/>
  <c r="CC25" i="2" s="1"/>
  <c r="Q2728" i="1"/>
  <c r="CG25" i="2" s="1"/>
  <c r="Q898" i="1"/>
  <c r="Z24" i="2" s="1"/>
  <c r="Z33" i="3" s="1"/>
  <c r="Q1425" i="1"/>
  <c r="AQ24" i="2" s="1"/>
  <c r="Z50" i="3" s="1"/>
  <c r="Q1518" i="1"/>
  <c r="AT24" i="2" s="1"/>
  <c r="Z53" i="3" s="1"/>
  <c r="Q2758" i="1"/>
  <c r="CH24" i="2" s="1"/>
  <c r="Z81" i="3" s="1"/>
  <c r="Q3130" i="1"/>
  <c r="CT24" i="2" s="1"/>
  <c r="Z93" i="3" s="1"/>
  <c r="Q3378" i="1"/>
  <c r="DB24" i="2" s="1"/>
  <c r="Z101" i="3" s="1"/>
  <c r="Q1893" i="1"/>
  <c r="BF27" i="2" s="1"/>
  <c r="Q2108" i="1"/>
  <c r="BM25" i="2" s="1"/>
  <c r="AA68" i="3" s="1"/>
  <c r="Q1364" i="1"/>
  <c r="AO25" i="2" s="1"/>
  <c r="AA48" i="3" s="1"/>
  <c r="J6" i="1"/>
  <c r="J225" i="1" s="1"/>
  <c r="J10" i="1"/>
  <c r="J349" i="1" s="1"/>
  <c r="J15" i="1"/>
  <c r="J504" i="1" s="1"/>
  <c r="J690" i="1"/>
  <c r="J969" i="1"/>
  <c r="J1124" i="1"/>
  <c r="Q1151" i="1"/>
  <c r="AH29" i="2" s="1"/>
  <c r="AE41" i="3" s="1"/>
  <c r="Q1150" i="1"/>
  <c r="AH28" i="2" s="1"/>
  <c r="AD41" i="3" s="1"/>
  <c r="Q1148" i="1"/>
  <c r="AH26" i="2" s="1"/>
  <c r="AB41" i="3" s="1"/>
  <c r="Q1149" i="1"/>
  <c r="AH27" i="2" s="1"/>
  <c r="AC41" i="3" s="1"/>
  <c r="J1713" i="1"/>
  <c r="Q1833" i="1"/>
  <c r="BD29" i="2" s="1"/>
  <c r="AE63" i="3" s="1"/>
  <c r="Q1832" i="1"/>
  <c r="BD28" i="2" s="1"/>
  <c r="AD63" i="3" s="1"/>
  <c r="Q2019" i="1"/>
  <c r="BJ29" i="2" s="1"/>
  <c r="AE65" i="3" s="1"/>
  <c r="Q2016" i="1"/>
  <c r="BJ26" i="2" s="1"/>
  <c r="AB65" i="3" s="1"/>
  <c r="Q2017" i="1"/>
  <c r="BJ27" i="2" s="1"/>
  <c r="AC65" i="3" s="1"/>
  <c r="Q2018" i="1"/>
  <c r="BJ28" i="2" s="1"/>
  <c r="AD65" i="3" s="1"/>
  <c r="Q2050" i="1"/>
  <c r="BK29" i="2" s="1"/>
  <c r="AE66" i="3" s="1"/>
  <c r="Q2047" i="1"/>
  <c r="BK26" i="2" s="1"/>
  <c r="AB66" i="3" s="1"/>
  <c r="Q2048" i="1"/>
  <c r="BK27" i="2" s="1"/>
  <c r="AC66" i="3" s="1"/>
  <c r="Q2049" i="1"/>
  <c r="BK28" i="2" s="1"/>
  <c r="AD66" i="3" s="1"/>
  <c r="Q2267" i="1"/>
  <c r="BR29" i="2" s="1"/>
  <c r="AE73" i="3" s="1"/>
  <c r="Q2264" i="1"/>
  <c r="BR26" i="2" s="1"/>
  <c r="AB73" i="3" s="1"/>
  <c r="Q2265" i="1"/>
  <c r="BR27" i="2" s="1"/>
  <c r="AC73" i="3" s="1"/>
  <c r="Q2266" i="1"/>
  <c r="BR28" i="2" s="1"/>
  <c r="AD73" i="3" s="1"/>
  <c r="Q2546" i="1"/>
  <c r="CA29" i="2" s="1"/>
  <c r="AE82" i="3" s="1"/>
  <c r="Q2544" i="1"/>
  <c r="CA27" i="2" s="1"/>
  <c r="AC82" i="3" s="1"/>
  <c r="Q2545" i="1"/>
  <c r="CA28" i="2" s="1"/>
  <c r="AD82" i="3" s="1"/>
  <c r="Q2670" i="1"/>
  <c r="CE29" i="2" s="1"/>
  <c r="Q2669" i="1"/>
  <c r="CE28" i="2" s="1"/>
  <c r="Q2887" i="1"/>
  <c r="CL29" i="2" s="1"/>
  <c r="AE85" i="3" s="1"/>
  <c r="Q2886" i="1"/>
  <c r="CL28" i="2" s="1"/>
  <c r="AD85" i="3" s="1"/>
  <c r="Q2885" i="1"/>
  <c r="CL27" i="2" s="1"/>
  <c r="AC85" i="3" s="1"/>
  <c r="Q2884" i="1"/>
  <c r="CL26" i="2" s="1"/>
  <c r="AB85" i="3" s="1"/>
  <c r="J3015" i="1"/>
  <c r="J3201" i="1"/>
  <c r="Q3228" i="1"/>
  <c r="CW29" i="2" s="1"/>
  <c r="AE96" i="3" s="1"/>
  <c r="Q3227" i="1"/>
  <c r="CW28" i="2" s="1"/>
  <c r="AD96" i="3" s="1"/>
  <c r="Q3226" i="1"/>
  <c r="CW27" i="2" s="1"/>
  <c r="AC96" i="3" s="1"/>
  <c r="Q3225" i="1"/>
  <c r="CW26" i="2" s="1"/>
  <c r="AB96" i="3" s="1"/>
  <c r="Q3259" i="1"/>
  <c r="CX29" i="2" s="1"/>
  <c r="AE97" i="3" s="1"/>
  <c r="Q3258" i="1"/>
  <c r="CX28" i="2" s="1"/>
  <c r="AD97" i="3" s="1"/>
  <c r="Q3257" i="1"/>
  <c r="CX27" i="2" s="1"/>
  <c r="AC97" i="3" s="1"/>
  <c r="Q3256" i="1"/>
  <c r="CX26" i="2" s="1"/>
  <c r="AB97" i="3" s="1"/>
  <c r="Q3290" i="1"/>
  <c r="CY29" i="2" s="1"/>
  <c r="AE98" i="3" s="1"/>
  <c r="Q3289" i="1"/>
  <c r="CY28" i="2" s="1"/>
  <c r="AD98" i="3" s="1"/>
  <c r="Q3288" i="1"/>
  <c r="CY27" i="2" s="1"/>
  <c r="AC98" i="3" s="1"/>
  <c r="Q3287" i="1"/>
  <c r="CY26" i="2" s="1"/>
  <c r="AB98" i="3" s="1"/>
  <c r="J3449" i="1"/>
  <c r="Q3631" i="1"/>
  <c r="DJ29" i="2" s="1"/>
  <c r="AE109" i="3" s="1"/>
  <c r="Q3630" i="1"/>
  <c r="DJ28" i="2" s="1"/>
  <c r="AD109" i="3" s="1"/>
  <c r="Q3628" i="1"/>
  <c r="DJ26" i="2" s="1"/>
  <c r="AB109" i="3" s="1"/>
  <c r="Q3629" i="1"/>
  <c r="DJ27" i="2" s="1"/>
  <c r="AC109" i="3" s="1"/>
  <c r="Q1860" i="1"/>
  <c r="BE25" i="2" s="1"/>
  <c r="Q2573" i="1"/>
  <c r="CB25" i="2" s="1"/>
  <c r="Q2697" i="1"/>
  <c r="CF25" i="2" s="1"/>
  <c r="Q1861" i="1"/>
  <c r="BE26" i="2" s="1"/>
  <c r="Q2543" i="1"/>
  <c r="CA26" i="2" s="1"/>
  <c r="Q2667" i="1"/>
  <c r="CE26" i="2" s="1"/>
  <c r="Q1270" i="1"/>
  <c r="AL24" i="2" s="1"/>
  <c r="Z45" i="3" s="1"/>
  <c r="Q1549" i="1"/>
  <c r="AU24" i="2" s="1"/>
  <c r="Z54" i="3" s="1"/>
  <c r="Q1642" i="1"/>
  <c r="AX24" i="2" s="1"/>
  <c r="Z57" i="3" s="1"/>
  <c r="Q2386" i="1"/>
  <c r="BV24" i="2" s="1"/>
  <c r="Z77" i="3" s="1"/>
  <c r="Q2789" i="1"/>
  <c r="CI24" i="2" s="1"/>
  <c r="Z82" i="3" s="1"/>
  <c r="Q3223" i="1"/>
  <c r="CW24" i="2" s="1"/>
  <c r="Z96" i="3" s="1"/>
  <c r="Q3750" i="1"/>
  <c r="DN24" i="2" s="1"/>
  <c r="Z113" i="3" s="1"/>
  <c r="Q2575" i="1"/>
  <c r="CB27" i="2" s="1"/>
  <c r="Q2699" i="1"/>
  <c r="CF27" i="2" s="1"/>
  <c r="Q2761" i="1"/>
  <c r="CH27" i="2" s="1"/>
  <c r="Q3224" i="1"/>
  <c r="CW25" i="2" s="1"/>
  <c r="AA96" i="3" s="1"/>
  <c r="J5" i="1"/>
  <c r="J194" i="1" s="1"/>
  <c r="J9" i="1"/>
  <c r="J14" i="1"/>
  <c r="J473" i="1" s="1"/>
  <c r="J938" i="1"/>
  <c r="J1093" i="1"/>
  <c r="Q1275" i="1"/>
  <c r="AL29" i="2" s="1"/>
  <c r="AE45" i="3" s="1"/>
  <c r="Q1272" i="1"/>
  <c r="AL26" i="2" s="1"/>
  <c r="AB45" i="3" s="1"/>
  <c r="Q1273" i="1"/>
  <c r="AL27" i="2" s="1"/>
  <c r="AC45" i="3" s="1"/>
  <c r="Q1274" i="1"/>
  <c r="AL28" i="2" s="1"/>
  <c r="AD45" i="3" s="1"/>
  <c r="Q1616" i="1"/>
  <c r="AW29" i="2" s="1"/>
  <c r="AE56" i="3" s="1"/>
  <c r="Q1613" i="1"/>
  <c r="AW26" i="2" s="1"/>
  <c r="AB56" i="3" s="1"/>
  <c r="Q1614" i="1"/>
  <c r="AW27" i="2" s="1"/>
  <c r="AC56" i="3" s="1"/>
  <c r="Q1615" i="1"/>
  <c r="AW28" i="2" s="1"/>
  <c r="AD56" i="3" s="1"/>
  <c r="Q1647" i="1"/>
  <c r="AX29" i="2" s="1"/>
  <c r="AE57" i="3" s="1"/>
  <c r="Q1644" i="1"/>
  <c r="AX26" i="2" s="1"/>
  <c r="AB57" i="3" s="1"/>
  <c r="Q1645" i="1"/>
  <c r="AX27" i="2" s="1"/>
  <c r="AC57" i="3" s="1"/>
  <c r="Q1646" i="1"/>
  <c r="AX28" i="2" s="1"/>
  <c r="AD57" i="3" s="1"/>
  <c r="Q1678" i="1"/>
  <c r="AY29" i="2" s="1"/>
  <c r="AE58" i="3" s="1"/>
  <c r="Q1675" i="1"/>
  <c r="AY26" i="2" s="1"/>
  <c r="AB58" i="3" s="1"/>
  <c r="Q1676" i="1"/>
  <c r="AY27" i="2" s="1"/>
  <c r="AC58" i="3" s="1"/>
  <c r="Q1677" i="1"/>
  <c r="AY28" i="2" s="1"/>
  <c r="AD58" i="3" s="1"/>
  <c r="Q1802" i="1"/>
  <c r="BC29" i="2" s="1"/>
  <c r="AE62" i="3" s="1"/>
  <c r="Q1801" i="1"/>
  <c r="BC28" i="2" s="1"/>
  <c r="AD62" i="3" s="1"/>
  <c r="Q1800" i="1"/>
  <c r="BC27" i="2" s="1"/>
  <c r="AC62" i="3" s="1"/>
  <c r="J1961" i="1"/>
  <c r="J2209" i="1"/>
  <c r="Q2391" i="1"/>
  <c r="BV29" i="2" s="1"/>
  <c r="AE77" i="3" s="1"/>
  <c r="Q2390" i="1"/>
  <c r="BV28" i="2" s="1"/>
  <c r="AD77" i="3" s="1"/>
  <c r="Q2388" i="1"/>
  <c r="BV26" i="2" s="1"/>
  <c r="AB77" i="3" s="1"/>
  <c r="Q2389" i="1"/>
  <c r="BV27" i="2" s="1"/>
  <c r="AC77" i="3" s="1"/>
  <c r="Q2515" i="1"/>
  <c r="BZ29" i="2" s="1"/>
  <c r="AE81" i="3" s="1"/>
  <c r="Q2513" i="1"/>
  <c r="BZ27" i="2" s="1"/>
  <c r="AC81" i="3" s="1"/>
  <c r="Q2512" i="1"/>
  <c r="BZ26" i="2" s="1"/>
  <c r="AB81" i="3" s="1"/>
  <c r="Q2514" i="1"/>
  <c r="BZ28" i="2" s="1"/>
  <c r="AD81" i="3" s="1"/>
  <c r="Q2639" i="1"/>
  <c r="CD29" i="2" s="1"/>
  <c r="Q2638" i="1"/>
  <c r="CD28" i="2" s="1"/>
  <c r="J2829" i="1"/>
  <c r="J3573" i="1"/>
  <c r="Q3755" i="1"/>
  <c r="DN29" i="2" s="1"/>
  <c r="AE113" i="3" s="1"/>
  <c r="Q3752" i="1"/>
  <c r="DN26" i="2" s="1"/>
  <c r="AB113" i="3" s="1"/>
  <c r="Q3753" i="1"/>
  <c r="DN27" i="2" s="1"/>
  <c r="AC113" i="3" s="1"/>
  <c r="Q3754" i="1"/>
  <c r="DN28" i="2" s="1"/>
  <c r="AD113" i="3" s="1"/>
  <c r="Q2542" i="1"/>
  <c r="CA25" i="2" s="1"/>
  <c r="Q1146" i="1"/>
  <c r="AH24" i="2" s="1"/>
  <c r="Z41" i="3" s="1"/>
  <c r="Q1363" i="1"/>
  <c r="AO24" i="2" s="1"/>
  <c r="Z48" i="3" s="1"/>
  <c r="Q1673" i="1"/>
  <c r="AY24" i="2" s="1"/>
  <c r="Z58" i="3" s="1"/>
  <c r="Q2014" i="1"/>
  <c r="BJ24" i="2" s="1"/>
  <c r="Z65" i="3" s="1"/>
  <c r="Q2107" i="1"/>
  <c r="BM24" i="2" s="1"/>
  <c r="Z68" i="3" s="1"/>
  <c r="Q2262" i="1"/>
  <c r="BR24" i="2" s="1"/>
  <c r="Z73" i="3" s="1"/>
  <c r="Q2882" i="1"/>
  <c r="CL24" i="2" s="1"/>
  <c r="Z85" i="3" s="1"/>
  <c r="Q3254" i="1"/>
  <c r="CX24" i="2" s="1"/>
  <c r="Z97" i="3" s="1"/>
  <c r="Q3626" i="1"/>
  <c r="DJ24" i="2" s="1"/>
  <c r="Z109" i="3" s="1"/>
  <c r="Q1862" i="1"/>
  <c r="BE27" i="2" s="1"/>
  <c r="Q1612" i="1"/>
  <c r="AW25" i="2" s="1"/>
  <c r="AA56" i="3" s="1"/>
  <c r="Q1426" i="1"/>
  <c r="AQ25" i="2" s="1"/>
  <c r="AA50" i="3" s="1"/>
  <c r="J163" i="1"/>
  <c r="J8" i="1"/>
  <c r="J287" i="1" s="1"/>
  <c r="J13" i="1"/>
  <c r="J442" i="1" s="1"/>
  <c r="J18" i="1"/>
  <c r="J597" i="1" s="1"/>
  <c r="J752" i="1"/>
  <c r="J876" i="1"/>
  <c r="Q903" i="1"/>
  <c r="Z29" i="2" s="1"/>
  <c r="AE33" i="3" s="1"/>
  <c r="Q901" i="1"/>
  <c r="Z27" i="2" s="1"/>
  <c r="AC33" i="3" s="1"/>
  <c r="Q902" i="1"/>
  <c r="Z28" i="2" s="1"/>
  <c r="AD33" i="3" s="1"/>
  <c r="Q900" i="1"/>
  <c r="Z26" i="2" s="1"/>
  <c r="AB33" i="3" s="1"/>
  <c r="J1062" i="1"/>
  <c r="J1217" i="1"/>
  <c r="J1465" i="1"/>
  <c r="Q1492" i="1"/>
  <c r="AS29" i="2" s="1"/>
  <c r="AE52" i="3" s="1"/>
  <c r="Q1490" i="1"/>
  <c r="AS27" i="2" s="1"/>
  <c r="AC52" i="3" s="1"/>
  <c r="Q1491" i="1"/>
  <c r="AS28" i="2" s="1"/>
  <c r="AD52" i="3" s="1"/>
  <c r="Q1489" i="1"/>
  <c r="AS26" i="2" s="1"/>
  <c r="AB52" i="3" s="1"/>
  <c r="Q1523" i="1"/>
  <c r="AT29" i="2" s="1"/>
  <c r="AE53" i="3" s="1"/>
  <c r="Q1521" i="1"/>
  <c r="AT27" i="2" s="1"/>
  <c r="AC53" i="3" s="1"/>
  <c r="Q1522" i="1"/>
  <c r="AT28" i="2" s="1"/>
  <c r="AD53" i="3" s="1"/>
  <c r="Q1520" i="1"/>
  <c r="AT26" i="2" s="1"/>
  <c r="AB53" i="3" s="1"/>
  <c r="Q1554" i="1"/>
  <c r="AU29" i="2" s="1"/>
  <c r="AE54" i="3" s="1"/>
  <c r="Q1552" i="1"/>
  <c r="AU27" i="2" s="1"/>
  <c r="AC54" i="3" s="1"/>
  <c r="Q1553" i="1"/>
  <c r="AU28" i="2" s="1"/>
  <c r="AD54" i="3" s="1"/>
  <c r="Q1551" i="1"/>
  <c r="AU26" i="2" s="1"/>
  <c r="AB54" i="3" s="1"/>
  <c r="Q1771" i="1"/>
  <c r="BB29" i="2" s="1"/>
  <c r="AE61" i="3" s="1"/>
  <c r="Q1769" i="1"/>
  <c r="BB27" i="2" s="1"/>
  <c r="AC61" i="3" s="1"/>
  <c r="Q1770" i="1"/>
  <c r="BB28" i="2" s="1"/>
  <c r="AD61" i="3" s="1"/>
  <c r="Q1768" i="1"/>
  <c r="BB26" i="2" s="1"/>
  <c r="AB61" i="3" s="1"/>
  <c r="J2333" i="1"/>
  <c r="Q2608" i="1"/>
  <c r="CC29" i="2" s="1"/>
  <c r="Q2607" i="1"/>
  <c r="CC28" i="2" s="1"/>
  <c r="Q2732" i="1"/>
  <c r="CG29" i="2" s="1"/>
  <c r="Q2731" i="1"/>
  <c r="CG28" i="2" s="1"/>
  <c r="Q2763" i="1"/>
  <c r="CH29" i="2" s="1"/>
  <c r="Q2762" i="1"/>
  <c r="CH28" i="2" s="1"/>
  <c r="Q2794" i="1"/>
  <c r="CI29" i="2" s="1"/>
  <c r="Q2791" i="1"/>
  <c r="CI26" i="2" s="1"/>
  <c r="AB82" i="3" s="1"/>
  <c r="Q2793" i="1"/>
  <c r="CI28" i="2" s="1"/>
  <c r="J2953" i="1"/>
  <c r="J3077" i="1"/>
  <c r="Q3104" i="1"/>
  <c r="CS29" i="2" s="1"/>
  <c r="AE92" i="3" s="1"/>
  <c r="Q3103" i="1"/>
  <c r="CS28" i="2" s="1"/>
  <c r="AD92" i="3" s="1"/>
  <c r="Q3101" i="1"/>
  <c r="CS26" i="2" s="1"/>
  <c r="AB92" i="3" s="1"/>
  <c r="Q3102" i="1"/>
  <c r="CS27" i="2" s="1"/>
  <c r="AC92" i="3" s="1"/>
  <c r="Q3135" i="1"/>
  <c r="CT29" i="2" s="1"/>
  <c r="AE93" i="3" s="1"/>
  <c r="J3139" i="1"/>
  <c r="Q3134" i="1"/>
  <c r="CT28" i="2" s="1"/>
  <c r="AD93" i="3" s="1"/>
  <c r="Q3132" i="1"/>
  <c r="CT26" i="2" s="1"/>
  <c r="AB93" i="3" s="1"/>
  <c r="Q3133" i="1"/>
  <c r="CT27" i="2" s="1"/>
  <c r="AC93" i="3" s="1"/>
  <c r="J3356" i="1"/>
  <c r="Q3383" i="1"/>
  <c r="DB29" i="2" s="1"/>
  <c r="AE101" i="3" s="1"/>
  <c r="Q3382" i="1"/>
  <c r="DB28" i="2" s="1"/>
  <c r="AD101" i="3" s="1"/>
  <c r="Q3380" i="1"/>
  <c r="DB26" i="2" s="1"/>
  <c r="AB101" i="3" s="1"/>
  <c r="Q3381" i="1"/>
  <c r="DB27" i="2" s="1"/>
  <c r="AC101" i="3" s="1"/>
  <c r="J3542" i="1"/>
  <c r="J3697" i="1"/>
  <c r="J3852" i="1"/>
  <c r="Q1798" i="1"/>
  <c r="BC25" i="2" s="1"/>
  <c r="Q2635" i="1"/>
  <c r="CD25" i="2" s="1"/>
  <c r="Q1830" i="1"/>
  <c r="BD26" i="2" s="1"/>
  <c r="Q1892" i="1"/>
  <c r="BF26" i="2" s="1"/>
  <c r="Q2574" i="1"/>
  <c r="CB26" i="2" s="1"/>
  <c r="Q2636" i="1"/>
  <c r="CD26" i="2" s="1"/>
  <c r="Q2698" i="1"/>
  <c r="CF26" i="2" s="1"/>
  <c r="Q2760" i="1"/>
  <c r="CH26" i="2" s="1"/>
  <c r="Q1022" i="1"/>
  <c r="AD24" i="2" s="1"/>
  <c r="Z37" i="3" s="1"/>
  <c r="Q1394" i="1"/>
  <c r="AP24" i="2" s="1"/>
  <c r="Z49" i="3" s="1"/>
  <c r="Q1487" i="1"/>
  <c r="AS24" i="2" s="1"/>
  <c r="Z52" i="3" s="1"/>
  <c r="Q1890" i="1"/>
  <c r="BF24" i="2" s="1"/>
  <c r="Z61" i="3" s="1"/>
  <c r="Q2045" i="1"/>
  <c r="BK24" i="2" s="1"/>
  <c r="Z66" i="3" s="1"/>
  <c r="Q2138" i="1"/>
  <c r="BN24" i="2" s="1"/>
  <c r="Z69" i="3" s="1"/>
  <c r="Q3099" i="1"/>
  <c r="CS24" i="2" s="1"/>
  <c r="Z92" i="3" s="1"/>
  <c r="Q3285" i="1"/>
  <c r="CY24" i="2" s="1"/>
  <c r="Z98" i="3" s="1"/>
  <c r="Q3502" i="1"/>
  <c r="DF24" i="2" s="1"/>
  <c r="Z105" i="3" s="1"/>
  <c r="Q2606" i="1"/>
  <c r="CC27" i="2" s="1"/>
  <c r="Q2668" i="1"/>
  <c r="CE27" i="2" s="1"/>
  <c r="Q2730" i="1"/>
  <c r="CG27" i="2" s="1"/>
  <c r="Q2792" i="1"/>
  <c r="CI27" i="2" s="1"/>
  <c r="Q3503" i="1"/>
  <c r="DF25" i="2" s="1"/>
  <c r="AA105" i="3" s="1"/>
  <c r="Q3286" i="1"/>
  <c r="CY25" i="2" s="1"/>
  <c r="AA98" i="3" s="1"/>
  <c r="Q3100" i="1"/>
  <c r="CS25" i="2" s="1"/>
  <c r="AA92" i="3" s="1"/>
  <c r="Q2139" i="1"/>
  <c r="BN25" i="2" s="1"/>
  <c r="AA69" i="3" s="1"/>
  <c r="Q2046" i="1"/>
  <c r="BK25" i="2" s="1"/>
  <c r="AA66" i="3" s="1"/>
  <c r="Q1891" i="1"/>
  <c r="BF25" i="2" s="1"/>
  <c r="AA61" i="3" s="1"/>
  <c r="Q1488" i="1"/>
  <c r="AS25" i="2" s="1"/>
  <c r="AA52" i="3" s="1"/>
  <c r="Q1395" i="1"/>
  <c r="AP25" i="2" s="1"/>
  <c r="AA49" i="3" s="1"/>
  <c r="Q1023" i="1"/>
  <c r="AD25" i="2" s="1"/>
  <c r="AA37" i="3" s="1"/>
  <c r="P3542" i="1" l="1"/>
  <c r="Q3542" i="1" s="1"/>
  <c r="DG33" i="2" s="1"/>
  <c r="AI106" i="3" s="1"/>
  <c r="P534" i="1"/>
  <c r="Q534" i="1" s="1"/>
  <c r="N32" i="2" s="1"/>
  <c r="AH21" i="3" s="1"/>
  <c r="AH19" i="23" s="1"/>
  <c r="P1713" i="1"/>
  <c r="Q1713" i="1" s="1"/>
  <c r="AZ33" i="2" s="1"/>
  <c r="AI59" i="3" s="1"/>
  <c r="P1062" i="1"/>
  <c r="Q1062" i="1" s="1"/>
  <c r="AE33" i="2" s="1"/>
  <c r="AI38" i="3" s="1"/>
  <c r="P3852" i="1"/>
  <c r="Q3852" i="1" s="1"/>
  <c r="DQ33" i="2" s="1"/>
  <c r="AI116" i="3" s="1"/>
  <c r="J1991" i="1"/>
  <c r="J1992" i="1"/>
  <c r="P1992" i="1" s="1"/>
  <c r="Q1992" i="1" s="1"/>
  <c r="BI33" i="2" s="1"/>
  <c r="P1124" i="1"/>
  <c r="Q1124" i="1" s="1"/>
  <c r="AG33" i="2" s="1"/>
  <c r="AI40" i="3" s="1"/>
  <c r="J813" i="1"/>
  <c r="J814" i="1"/>
  <c r="P2085" i="1"/>
  <c r="Q2085" i="1" s="1"/>
  <c r="BL33" i="2" s="1"/>
  <c r="AI67" i="3" s="1"/>
  <c r="P3697" i="1"/>
  <c r="Q3697" i="1" s="1"/>
  <c r="DL33" i="2" s="1"/>
  <c r="AI111" i="3" s="1"/>
  <c r="P3356" i="1"/>
  <c r="Q3356" i="1" s="1"/>
  <c r="DA33" i="2" s="1"/>
  <c r="AI100" i="3" s="1"/>
  <c r="P3077" i="1"/>
  <c r="Q3077" i="1" s="1"/>
  <c r="CR33" i="2" s="1"/>
  <c r="AI91" i="3" s="1"/>
  <c r="P2953" i="1"/>
  <c r="Q2953" i="1" s="1"/>
  <c r="CN33" i="2" s="1"/>
  <c r="AI87" i="3" s="1"/>
  <c r="J1929" i="1"/>
  <c r="J1930" i="1"/>
  <c r="P1465" i="1"/>
  <c r="Q1465" i="1" s="1"/>
  <c r="AR33" i="2" s="1"/>
  <c r="AI51" i="3" s="1"/>
  <c r="P1217" i="1"/>
  <c r="Q1217" i="1" s="1"/>
  <c r="AJ33" i="2" s="1"/>
  <c r="AI43" i="3" s="1"/>
  <c r="P876" i="1"/>
  <c r="Q876" i="1" s="1"/>
  <c r="Y33" i="2" s="1"/>
  <c r="AI32" i="3" s="1"/>
  <c r="J2425" i="1"/>
  <c r="J2426" i="1"/>
  <c r="J1309" i="1"/>
  <c r="J1310" i="1"/>
  <c r="P969" i="1"/>
  <c r="Q969" i="1" s="1"/>
  <c r="AB33" i="2" s="1"/>
  <c r="AI35" i="3" s="1"/>
  <c r="J2301" i="1"/>
  <c r="J2302" i="1"/>
  <c r="P2271" i="1"/>
  <c r="P1868" i="1"/>
  <c r="P1775" i="1"/>
  <c r="P1403" i="1"/>
  <c r="P2240" i="1"/>
  <c r="Q2240" i="1" s="1"/>
  <c r="BQ33" i="2" s="1"/>
  <c r="AI72" i="3" s="1"/>
  <c r="P3635" i="1"/>
  <c r="P3263" i="1"/>
  <c r="P2798" i="1"/>
  <c r="P2674" i="1"/>
  <c r="P2550" i="1"/>
  <c r="P2147" i="1"/>
  <c r="P1899" i="1"/>
  <c r="P1682" i="1"/>
  <c r="P1527" i="1"/>
  <c r="P1372" i="1"/>
  <c r="P907" i="1"/>
  <c r="P3759" i="1"/>
  <c r="P3294" i="1"/>
  <c r="P2891" i="1"/>
  <c r="P2705" i="1"/>
  <c r="P2581" i="1"/>
  <c r="P2519" i="1"/>
  <c r="P2023" i="1"/>
  <c r="P1651" i="1"/>
  <c r="P1279" i="1"/>
  <c r="P1031" i="1"/>
  <c r="P3139" i="1"/>
  <c r="P3573" i="1"/>
  <c r="Q3573" i="1" s="1"/>
  <c r="DH33" i="2" s="1"/>
  <c r="AI107" i="3" s="1"/>
  <c r="J3169" i="1"/>
  <c r="J3170" i="1"/>
  <c r="J2363" i="1"/>
  <c r="J2364" i="1"/>
  <c r="P2209" i="1"/>
  <c r="Q2209" i="1" s="1"/>
  <c r="BP33" i="2" s="1"/>
  <c r="AI71" i="3" s="1"/>
  <c r="P1961" i="1"/>
  <c r="Q1961" i="1" s="1"/>
  <c r="BH33" i="2" s="1"/>
  <c r="J1588" i="1"/>
  <c r="J1589" i="1"/>
  <c r="P1093" i="1"/>
  <c r="Q1093" i="1" s="1"/>
  <c r="AF33" i="2" s="1"/>
  <c r="AI39" i="3" s="1"/>
  <c r="J3789" i="1"/>
  <c r="J3790" i="1"/>
  <c r="P3449" i="1"/>
  <c r="Q3449" i="1" s="1"/>
  <c r="DD33" i="2" s="1"/>
  <c r="AI103" i="3" s="1"/>
  <c r="P3015" i="1"/>
  <c r="Q3015" i="1" s="1"/>
  <c r="CP33" i="2" s="1"/>
  <c r="AI89" i="3" s="1"/>
  <c r="J1836" i="1"/>
  <c r="J1837" i="1"/>
  <c r="P1837" i="1" s="1"/>
  <c r="P3666" i="1"/>
  <c r="Q3666" i="1" s="1"/>
  <c r="DK33" i="2" s="1"/>
  <c r="AI110" i="3" s="1"/>
  <c r="P3480" i="1"/>
  <c r="Q3480" i="1" s="1"/>
  <c r="DE33" i="2" s="1"/>
  <c r="AI104" i="3" s="1"/>
  <c r="P3325" i="1"/>
  <c r="Q3325" i="1" s="1"/>
  <c r="CZ33" i="2" s="1"/>
  <c r="AI99" i="3" s="1"/>
  <c r="J3045" i="1"/>
  <c r="J3046" i="1"/>
  <c r="J1743" i="1"/>
  <c r="J1744" i="1"/>
  <c r="P1341" i="1"/>
  <c r="Q1341" i="1" s="1"/>
  <c r="AN33" i="2" s="1"/>
  <c r="AI47" i="3" s="1"/>
  <c r="J1185" i="1"/>
  <c r="J1186" i="1"/>
  <c r="P1186" i="1" s="1"/>
  <c r="Q1186" i="1" s="1"/>
  <c r="AI33" i="2" s="1"/>
  <c r="AI42" i="3" s="1"/>
  <c r="P845" i="1"/>
  <c r="Q845" i="1" s="1"/>
  <c r="X33" i="2" s="1"/>
  <c r="AI31" i="3" s="1"/>
  <c r="J2487" i="1"/>
  <c r="J2488" i="1"/>
  <c r="P2488" i="1" s="1"/>
  <c r="Q2488" i="1" s="1"/>
  <c r="BY33" i="2" s="1"/>
  <c r="AI80" i="3" s="1"/>
  <c r="P2457" i="1"/>
  <c r="Q2457" i="1" s="1"/>
  <c r="BX33" i="2" s="1"/>
  <c r="AI79" i="3" s="1"/>
  <c r="P2116" i="1"/>
  <c r="P1558" i="1"/>
  <c r="P783" i="1"/>
  <c r="Q783" i="1" s="1"/>
  <c r="V33" i="2" s="1"/>
  <c r="AI29" i="3" s="1"/>
  <c r="P3387" i="1"/>
  <c r="P3108" i="1"/>
  <c r="P2736" i="1"/>
  <c r="P2612" i="1"/>
  <c r="P2395" i="1"/>
  <c r="P2054" i="1"/>
  <c r="P1806" i="1"/>
  <c r="P1620" i="1"/>
  <c r="P1434" i="1"/>
  <c r="P1155" i="1"/>
  <c r="P2178" i="1"/>
  <c r="Q2178" i="1" s="1"/>
  <c r="BO33" i="2" s="1"/>
  <c r="AI70" i="3" s="1"/>
  <c r="P3511" i="1"/>
  <c r="P3232" i="1"/>
  <c r="P2767" i="1"/>
  <c r="P2643" i="1"/>
  <c r="P1496" i="1"/>
  <c r="J3727" i="1"/>
  <c r="J3728" i="1"/>
  <c r="J3417" i="1"/>
  <c r="J3418" i="1"/>
  <c r="J2983" i="1"/>
  <c r="J2984" i="1"/>
  <c r="P2829" i="1"/>
  <c r="Q2829" i="1" s="1"/>
  <c r="CJ33" i="2" s="1"/>
  <c r="J1247" i="1"/>
  <c r="J1248" i="1"/>
  <c r="P938" i="1"/>
  <c r="Q938" i="1" s="1"/>
  <c r="AA33" i="2" s="1"/>
  <c r="AI34" i="3" s="1"/>
  <c r="J3603" i="1"/>
  <c r="J3604" i="1"/>
  <c r="P3604" i="1" s="1"/>
  <c r="Q3604" i="1" s="1"/>
  <c r="DI33" i="2" s="1"/>
  <c r="AI108" i="3" s="1"/>
  <c r="P3201" i="1"/>
  <c r="Q3201" i="1" s="1"/>
  <c r="CV33" i="2" s="1"/>
  <c r="AI95" i="3" s="1"/>
  <c r="J2859" i="1"/>
  <c r="J2860" i="1"/>
  <c r="P2860" i="1" s="1"/>
  <c r="Q2860" i="1" s="1"/>
  <c r="CK33" i="2" s="1"/>
  <c r="J2921" i="1"/>
  <c r="J2922" i="1"/>
  <c r="P2922" i="1" s="1"/>
  <c r="Q2922" i="1" s="1"/>
  <c r="CM33" i="2" s="1"/>
  <c r="J999" i="1"/>
  <c r="J1000" i="1"/>
  <c r="P1000" i="1" s="1"/>
  <c r="Q1000" i="1" s="1"/>
  <c r="AC33" i="2" s="1"/>
  <c r="AI36" i="3" s="1"/>
  <c r="P410" i="1"/>
  <c r="Q410" i="1" s="1"/>
  <c r="J32" i="2" s="1"/>
  <c r="AH17" i="3" s="1"/>
  <c r="AH15" i="23" s="1"/>
  <c r="P627" i="1"/>
  <c r="Q627" i="1" s="1"/>
  <c r="Q32" i="2" s="1"/>
  <c r="AH24" i="3" s="1"/>
  <c r="AH22" i="23" s="1"/>
  <c r="P752" i="1"/>
  <c r="Q752" i="1" s="1"/>
  <c r="U33" i="2" s="1"/>
  <c r="AI28" i="3" s="1"/>
  <c r="P721" i="1"/>
  <c r="Q721" i="1" s="1"/>
  <c r="T33" i="2" s="1"/>
  <c r="AI27" i="3" s="1"/>
  <c r="P690" i="1"/>
  <c r="Q690" i="1" s="1"/>
  <c r="S33" i="2" s="1"/>
  <c r="AI26" i="3" s="1"/>
  <c r="P659" i="1"/>
  <c r="Q659" i="1" s="1"/>
  <c r="R33" i="2" s="1"/>
  <c r="AI25" i="3" s="1"/>
  <c r="P628" i="1"/>
  <c r="Q628" i="1" s="1"/>
  <c r="Q33" i="2" s="1"/>
  <c r="AI24" i="3" s="1"/>
  <c r="AI22" i="23" s="1"/>
  <c r="P535" i="1"/>
  <c r="Q535" i="1" s="1"/>
  <c r="N33" i="2" s="1"/>
  <c r="AI21" i="3" s="1"/>
  <c r="AI19" i="23" s="1"/>
  <c r="P411" i="1"/>
  <c r="Q411" i="1" s="1"/>
  <c r="J33" i="2" s="1"/>
  <c r="AI17" i="3" s="1"/>
  <c r="AI15" i="23" s="1"/>
  <c r="P163" i="1"/>
  <c r="Q163" i="1" s="1"/>
  <c r="B33" i="2" s="1"/>
  <c r="AI9" i="3" s="1"/>
  <c r="AI7" i="23" s="1"/>
  <c r="P597" i="1"/>
  <c r="Q597" i="1" s="1"/>
  <c r="P33" i="2" s="1"/>
  <c r="AI23" i="3" s="1"/>
  <c r="AI21" i="23" s="1"/>
  <c r="P566" i="1"/>
  <c r="Q566" i="1" s="1"/>
  <c r="O33" i="2" s="1"/>
  <c r="AI22" i="3" s="1"/>
  <c r="AI20" i="23" s="1"/>
  <c r="P504" i="1"/>
  <c r="Q504" i="1" s="1"/>
  <c r="M33" i="2" s="1"/>
  <c r="AI20" i="3" s="1"/>
  <c r="AI18" i="23" s="1"/>
  <c r="P473" i="1"/>
  <c r="Q473" i="1" s="1"/>
  <c r="L33" i="2" s="1"/>
  <c r="AI19" i="3" s="1"/>
  <c r="AI17" i="23" s="1"/>
  <c r="P442" i="1"/>
  <c r="Q442" i="1" s="1"/>
  <c r="K33" i="2" s="1"/>
  <c r="AI18" i="3" s="1"/>
  <c r="AI16" i="23" s="1"/>
  <c r="P349" i="1"/>
  <c r="Q349" i="1" s="1"/>
  <c r="H33" i="2" s="1"/>
  <c r="AI15" i="3" s="1"/>
  <c r="AI13" i="23" s="1"/>
  <c r="P287" i="1"/>
  <c r="Q287" i="1" s="1"/>
  <c r="F33" i="2" s="1"/>
  <c r="AI13" i="3" s="1"/>
  <c r="AI11" i="23" s="1"/>
  <c r="J317" i="1"/>
  <c r="J318" i="1"/>
  <c r="P318" i="1" s="1"/>
  <c r="Q318" i="1" s="1"/>
  <c r="G33" i="2" s="1"/>
  <c r="AI14" i="3" s="1"/>
  <c r="AI12" i="23" s="1"/>
  <c r="P380" i="1"/>
  <c r="Q380" i="1" s="1"/>
  <c r="I33" i="2" s="1"/>
  <c r="AI16" i="3" s="1"/>
  <c r="AI14" i="23" s="1"/>
  <c r="J255" i="1"/>
  <c r="J256" i="1"/>
  <c r="P256" i="1" s="1"/>
  <c r="Q256" i="1" s="1"/>
  <c r="E33" i="2" s="1"/>
  <c r="AI12" i="3" s="1"/>
  <c r="AI10" i="23" s="1"/>
  <c r="P225" i="1"/>
  <c r="Q225" i="1" s="1"/>
  <c r="D33" i="2" s="1"/>
  <c r="AI11" i="3" s="1"/>
  <c r="AI9" i="23" s="1"/>
  <c r="P194" i="1"/>
  <c r="Q194" i="1" s="1"/>
  <c r="C33" i="2" s="1"/>
  <c r="AI10" i="3" s="1"/>
  <c r="AI8" i="23" s="1"/>
  <c r="AL48" i="3"/>
  <c r="AK48" i="3"/>
  <c r="AJ48" i="3"/>
  <c r="AL69" i="3"/>
  <c r="AK69" i="3"/>
  <c r="AJ69" i="3"/>
  <c r="AK101" i="3"/>
  <c r="AL101" i="3"/>
  <c r="AJ101" i="3"/>
  <c r="AL45" i="3"/>
  <c r="AK45" i="3"/>
  <c r="AJ45" i="3"/>
  <c r="AL68" i="3"/>
  <c r="AK68" i="3"/>
  <c r="AJ68" i="3"/>
  <c r="AL64" i="3"/>
  <c r="AK64" i="3"/>
  <c r="AJ64" i="3"/>
  <c r="AL41" i="3"/>
  <c r="AK41" i="3"/>
  <c r="AJ41" i="3"/>
  <c r="AL63" i="3"/>
  <c r="AK63" i="3"/>
  <c r="AJ63" i="3"/>
  <c r="AL83" i="3"/>
  <c r="AK83" i="3"/>
  <c r="AJ83" i="3"/>
  <c r="AL92" i="3"/>
  <c r="AK92" i="3"/>
  <c r="AJ92" i="3"/>
  <c r="AL96" i="3"/>
  <c r="AK96" i="3"/>
  <c r="AJ96" i="3"/>
  <c r="AK105" i="3"/>
  <c r="AL105" i="3"/>
  <c r="AJ105" i="3"/>
  <c r="AK97" i="3"/>
  <c r="AL97" i="3"/>
  <c r="AJ97" i="3"/>
  <c r="AK93" i="3"/>
  <c r="AL93" i="3"/>
  <c r="AJ93" i="3"/>
  <c r="AL85" i="3"/>
  <c r="AK85" i="3"/>
  <c r="AJ85" i="3"/>
  <c r="AL77" i="3"/>
  <c r="AK77" i="3"/>
  <c r="AJ77" i="3"/>
  <c r="AL53" i="3"/>
  <c r="AK53" i="3"/>
  <c r="AJ53" i="3"/>
  <c r="AL73" i="3"/>
  <c r="AK73" i="3"/>
  <c r="AJ73" i="3"/>
  <c r="AL62" i="3"/>
  <c r="AK62" i="3"/>
  <c r="AJ62" i="3"/>
  <c r="AL33" i="3"/>
  <c r="AK33" i="3"/>
  <c r="AJ33" i="3"/>
  <c r="AL61" i="3"/>
  <c r="AK61" i="3"/>
  <c r="AJ61" i="3"/>
  <c r="AL81" i="3"/>
  <c r="AK81" i="3"/>
  <c r="AJ81" i="3"/>
  <c r="AL49" i="3"/>
  <c r="AK49" i="3"/>
  <c r="AJ49" i="3"/>
  <c r="AL98" i="3"/>
  <c r="AK98" i="3"/>
  <c r="AJ98" i="3"/>
  <c r="AL84" i="3"/>
  <c r="AK84" i="3"/>
  <c r="AJ84" i="3"/>
  <c r="AL82" i="3"/>
  <c r="AK82" i="3"/>
  <c r="AJ82" i="3"/>
  <c r="AL58" i="3"/>
  <c r="AK58" i="3"/>
  <c r="AJ58" i="3"/>
  <c r="AL56" i="3"/>
  <c r="AK56" i="3"/>
  <c r="AJ56" i="3"/>
  <c r="AL54" i="3"/>
  <c r="AK54" i="3"/>
  <c r="AJ54" i="3"/>
  <c r="AL52" i="3"/>
  <c r="AK52" i="3"/>
  <c r="AJ52" i="3"/>
  <c r="AL50" i="3"/>
  <c r="AK50" i="3"/>
  <c r="AJ50" i="3"/>
  <c r="AK113" i="3"/>
  <c r="AL113" i="3"/>
  <c r="AJ113" i="3"/>
  <c r="AK109" i="3"/>
  <c r="AL109" i="3"/>
  <c r="AJ109" i="3"/>
  <c r="AL65" i="3"/>
  <c r="AK65" i="3"/>
  <c r="AJ65" i="3"/>
  <c r="AL57" i="3"/>
  <c r="AK57" i="3"/>
  <c r="AJ57" i="3"/>
  <c r="AL37" i="3"/>
  <c r="AK37" i="3"/>
  <c r="AJ37" i="3"/>
  <c r="J3850" i="1"/>
  <c r="J3851" i="1"/>
  <c r="J3695" i="1"/>
  <c r="J3696" i="1"/>
  <c r="J3540" i="1"/>
  <c r="J3541" i="1"/>
  <c r="J3354" i="1"/>
  <c r="J3355" i="1"/>
  <c r="J3074" i="1"/>
  <c r="J3076" i="1"/>
  <c r="J2950" i="1"/>
  <c r="J2952" i="1"/>
  <c r="J2330" i="1"/>
  <c r="J2332" i="1"/>
  <c r="J1462" i="1"/>
  <c r="J1464" i="1"/>
  <c r="J1214" i="1"/>
  <c r="J1216" i="1"/>
  <c r="J1059" i="1"/>
  <c r="J1061" i="1"/>
  <c r="J873" i="1"/>
  <c r="J875" i="1"/>
  <c r="J749" i="1"/>
  <c r="J751" i="1"/>
  <c r="J594" i="1"/>
  <c r="J596" i="1"/>
  <c r="J439" i="1"/>
  <c r="J441" i="1"/>
  <c r="J284" i="1"/>
  <c r="J286" i="1"/>
  <c r="J158" i="1"/>
  <c r="J162" i="1"/>
  <c r="J3570" i="1"/>
  <c r="J3572" i="1"/>
  <c r="J2826" i="1"/>
  <c r="J2828" i="1"/>
  <c r="J2206" i="1"/>
  <c r="J2208" i="1"/>
  <c r="J1958" i="1"/>
  <c r="J1960" i="1"/>
  <c r="J1090" i="1"/>
  <c r="J1092" i="1"/>
  <c r="J935" i="1"/>
  <c r="J937" i="1"/>
  <c r="J470" i="1"/>
  <c r="J472" i="1"/>
  <c r="J193" i="1"/>
  <c r="J164" i="1"/>
  <c r="J1710" i="1"/>
  <c r="J1712" i="1"/>
  <c r="J1121" i="1"/>
  <c r="J1123" i="1"/>
  <c r="J966" i="1"/>
  <c r="J968" i="1"/>
  <c r="J687" i="1"/>
  <c r="J689" i="1"/>
  <c r="J501" i="1"/>
  <c r="J503" i="1"/>
  <c r="J346" i="1"/>
  <c r="J348" i="1"/>
  <c r="J222" i="1"/>
  <c r="J224" i="1"/>
  <c r="J2454" i="1"/>
  <c r="J2456" i="1"/>
  <c r="J2082" i="1"/>
  <c r="J2084" i="1"/>
  <c r="J3137" i="1"/>
  <c r="J3138" i="1"/>
  <c r="J3446" i="1"/>
  <c r="J3448" i="1"/>
  <c r="J3198" i="1"/>
  <c r="J3200" i="1"/>
  <c r="J3012" i="1"/>
  <c r="J3014" i="1"/>
  <c r="J3819" i="1"/>
  <c r="J3820" i="1"/>
  <c r="J3664" i="1"/>
  <c r="J3665" i="1"/>
  <c r="J3478" i="1"/>
  <c r="J3479" i="1"/>
  <c r="J3322" i="1"/>
  <c r="J3324" i="1"/>
  <c r="J1338" i="1"/>
  <c r="J1340" i="1"/>
  <c r="J842" i="1"/>
  <c r="J844" i="1"/>
  <c r="J718" i="1"/>
  <c r="J720" i="1"/>
  <c r="J563" i="1"/>
  <c r="J565" i="1"/>
  <c r="J377" i="1"/>
  <c r="J379" i="1"/>
  <c r="P1680" i="1"/>
  <c r="P1773" i="1"/>
  <c r="P1556" i="1"/>
  <c r="P409" i="1"/>
  <c r="Q409" i="1" s="1"/>
  <c r="J31" i="2" s="1"/>
  <c r="AG17" i="3" s="1"/>
  <c r="AG15" i="23" s="1"/>
  <c r="P3633" i="1"/>
  <c r="P2672" i="1"/>
  <c r="P3106" i="1"/>
  <c r="J3075" i="1"/>
  <c r="P1866" i="1"/>
  <c r="P2269" i="1"/>
  <c r="P2393" i="1"/>
  <c r="P781" i="1"/>
  <c r="Q781" i="1" s="1"/>
  <c r="V31" i="2" s="1"/>
  <c r="AG29" i="3" s="1"/>
  <c r="P626" i="1"/>
  <c r="Q626" i="1" s="1"/>
  <c r="Q31" i="2" s="1"/>
  <c r="AG24" i="3" s="1"/>
  <c r="AG22" i="23" s="1"/>
  <c r="P3757" i="1"/>
  <c r="P1401" i="1"/>
  <c r="P2765" i="1"/>
  <c r="P2145" i="1"/>
  <c r="P2021" i="1"/>
  <c r="P905" i="1"/>
  <c r="P2610" i="1"/>
  <c r="P3261" i="1"/>
  <c r="J595" i="1"/>
  <c r="P2703" i="1"/>
  <c r="P2517" i="1"/>
  <c r="P2796" i="1"/>
  <c r="P1649" i="1"/>
  <c r="P3509" i="1"/>
  <c r="P2238" i="1"/>
  <c r="Q2238" i="1" s="1"/>
  <c r="BQ31" i="2" s="1"/>
  <c r="AG72" i="3" s="1"/>
  <c r="P1804" i="1"/>
  <c r="P1370" i="1"/>
  <c r="P2114" i="1"/>
  <c r="P1494" i="1"/>
  <c r="P3385" i="1"/>
  <c r="P2889" i="1"/>
  <c r="P2734" i="1"/>
  <c r="P2641" i="1"/>
  <c r="P2548" i="1"/>
  <c r="J2455" i="1"/>
  <c r="J2207" i="1"/>
  <c r="P1153" i="1"/>
  <c r="J1711" i="1"/>
  <c r="P1618" i="1"/>
  <c r="P1432" i="1"/>
  <c r="J719" i="1"/>
  <c r="J378" i="1"/>
  <c r="P1029" i="1"/>
  <c r="P1277" i="1"/>
  <c r="P2579" i="1"/>
  <c r="P2052" i="1"/>
  <c r="J1339" i="1"/>
  <c r="P533" i="1"/>
  <c r="Q533" i="1" s="1"/>
  <c r="N31" i="2" s="1"/>
  <c r="AG21" i="3" s="1"/>
  <c r="AG19" i="23" s="1"/>
  <c r="J874" i="1"/>
  <c r="J750" i="1"/>
  <c r="J3323" i="1"/>
  <c r="P3230" i="1"/>
  <c r="P3292" i="1"/>
  <c r="P2176" i="1"/>
  <c r="Q2176" i="1" s="1"/>
  <c r="BO31" i="2" s="1"/>
  <c r="AG70" i="3" s="1"/>
  <c r="P1897" i="1"/>
  <c r="P1525" i="1"/>
  <c r="J223" i="1"/>
  <c r="P657" i="1"/>
  <c r="Q657" i="1" s="1"/>
  <c r="R31" i="2" s="1"/>
  <c r="AG25" i="3" s="1"/>
  <c r="J2485" i="1"/>
  <c r="J2486" i="1"/>
  <c r="J3167" i="1"/>
  <c r="J3168" i="1"/>
  <c r="J2361" i="1"/>
  <c r="J2362" i="1"/>
  <c r="J1586" i="1"/>
  <c r="J1587" i="1"/>
  <c r="J191" i="1"/>
  <c r="J192" i="1"/>
  <c r="J2423" i="1"/>
  <c r="J2424" i="1"/>
  <c r="J1307" i="1"/>
  <c r="J1308" i="1"/>
  <c r="J2299" i="1"/>
  <c r="J2300" i="1"/>
  <c r="J3571" i="1"/>
  <c r="J2827" i="1"/>
  <c r="J1183" i="1"/>
  <c r="J1184" i="1"/>
  <c r="J253" i="1"/>
  <c r="J254" i="1"/>
  <c r="J967" i="1"/>
  <c r="J564" i="1"/>
  <c r="J1927" i="1"/>
  <c r="J1928" i="1"/>
  <c r="J3725" i="1"/>
  <c r="J3726" i="1"/>
  <c r="J3415" i="1"/>
  <c r="J3416" i="1"/>
  <c r="J2981" i="1"/>
  <c r="J2982" i="1"/>
  <c r="J1245" i="1"/>
  <c r="J1246" i="1"/>
  <c r="J315" i="1"/>
  <c r="J316" i="1"/>
  <c r="J1989" i="1"/>
  <c r="J1990" i="1"/>
  <c r="J811" i="1"/>
  <c r="J812" i="1"/>
  <c r="J3447" i="1"/>
  <c r="J3199" i="1"/>
  <c r="J2951" i="1"/>
  <c r="J1959" i="1"/>
  <c r="J285" i="1"/>
  <c r="J440" i="1"/>
  <c r="J502" i="1"/>
  <c r="J936" i="1"/>
  <c r="J161" i="1"/>
  <c r="J1060" i="1"/>
  <c r="J688" i="1"/>
  <c r="J3787" i="1"/>
  <c r="J3788" i="1"/>
  <c r="J1834" i="1"/>
  <c r="J1835" i="1"/>
  <c r="J3043" i="1"/>
  <c r="J3044" i="1"/>
  <c r="J1741" i="1"/>
  <c r="J1742" i="1"/>
  <c r="J1091" i="1"/>
  <c r="J3601" i="1"/>
  <c r="J3602" i="1"/>
  <c r="J2857" i="1"/>
  <c r="J2858" i="1"/>
  <c r="J2919" i="1"/>
  <c r="J2920" i="1"/>
  <c r="J997" i="1"/>
  <c r="J998" i="1"/>
  <c r="J3013" i="1"/>
  <c r="J2331" i="1"/>
  <c r="J2083" i="1"/>
  <c r="J1463" i="1"/>
  <c r="J1215" i="1"/>
  <c r="J843" i="1"/>
  <c r="J471" i="1"/>
  <c r="J347" i="1"/>
  <c r="J1122" i="1"/>
  <c r="P1778" i="1"/>
  <c r="P2712" i="1"/>
  <c r="P2658" i="1"/>
  <c r="P1891" i="1"/>
  <c r="P2728" i="1"/>
  <c r="P2526" i="1"/>
  <c r="P2605" i="1"/>
  <c r="P772" i="1"/>
  <c r="Q772" i="1" s="1"/>
  <c r="V22" i="2" s="1"/>
  <c r="X29" i="3" s="1"/>
  <c r="P2637" i="1"/>
  <c r="P753" i="1"/>
  <c r="Q753" i="1" s="1"/>
  <c r="V3" i="2" s="1"/>
  <c r="E29" i="3" s="1"/>
  <c r="P1431" i="1"/>
  <c r="P761" i="1"/>
  <c r="Q761" i="1" s="1"/>
  <c r="V11" i="2" s="1"/>
  <c r="M29" i="3" s="1"/>
  <c r="P1840" i="1"/>
  <c r="P2028" i="1"/>
  <c r="P2596" i="1"/>
  <c r="P1884" i="1"/>
  <c r="P1997" i="1"/>
  <c r="P765" i="1"/>
  <c r="Q765" i="1" s="1"/>
  <c r="V15" i="2" s="1"/>
  <c r="Q29" i="3" s="1"/>
  <c r="P1877" i="1"/>
  <c r="P2768" i="1"/>
  <c r="P773" i="1"/>
  <c r="Q773" i="1" s="1"/>
  <c r="V23" i="2" s="1"/>
  <c r="Y29" i="3" s="1"/>
  <c r="P1885" i="1"/>
  <c r="P1889" i="1"/>
  <c r="P1873" i="1"/>
  <c r="P771" i="1"/>
  <c r="Q771" i="1" s="1"/>
  <c r="V21" i="2" s="1"/>
  <c r="W29" i="3" s="1"/>
  <c r="P2237" i="1"/>
  <c r="Q2237" i="1" s="1"/>
  <c r="BQ30" i="2" s="1"/>
  <c r="AF72" i="3" s="1"/>
  <c r="P656" i="1"/>
  <c r="Q656" i="1" s="1"/>
  <c r="R30" i="2" s="1"/>
  <c r="AF25" i="3" s="1"/>
  <c r="P2702" i="1"/>
  <c r="P2175" i="1"/>
  <c r="Q2175" i="1" s="1"/>
  <c r="BO30" i="2" s="1"/>
  <c r="AF70" i="3" s="1"/>
  <c r="P1555" i="1"/>
  <c r="P1028" i="1"/>
  <c r="P767" i="1"/>
  <c r="Q767" i="1" s="1"/>
  <c r="V17" i="2" s="1"/>
  <c r="S29" i="3" s="1"/>
  <c r="P3100" i="1"/>
  <c r="P2882" i="1"/>
  <c r="P2782" i="1"/>
  <c r="P2757" i="1"/>
  <c r="P2707" i="1"/>
  <c r="P2718" i="1"/>
  <c r="P2696" i="1"/>
  <c r="P2688" i="1"/>
  <c r="P2660" i="1"/>
  <c r="P2646" i="1"/>
  <c r="P2625" i="1"/>
  <c r="P2631" i="1"/>
  <c r="P2594" i="1"/>
  <c r="P2571" i="1"/>
  <c r="P2539" i="1"/>
  <c r="P2503" i="1"/>
  <c r="P2509" i="1"/>
  <c r="P1887" i="1"/>
  <c r="P2528" i="1"/>
  <c r="P758" i="1"/>
  <c r="Q758" i="1" s="1"/>
  <c r="V8" i="2" s="1"/>
  <c r="J29" i="3" s="1"/>
  <c r="P2623" i="1"/>
  <c r="P2522" i="1"/>
  <c r="P2005" i="1"/>
  <c r="P757" i="1"/>
  <c r="Q757" i="1" s="1"/>
  <c r="V7" i="2" s="1"/>
  <c r="I29" i="3" s="1"/>
  <c r="P2627" i="1"/>
  <c r="P2532" i="1"/>
  <c r="P1995" i="1"/>
  <c r="P1881" i="1"/>
  <c r="P1848" i="1"/>
  <c r="P2792" i="1"/>
  <c r="P2615" i="1"/>
  <c r="P1842" i="1"/>
  <c r="P2592" i="1"/>
  <c r="P1871" i="1"/>
  <c r="P2609" i="1"/>
  <c r="P1648" i="1"/>
  <c r="P3384" i="1"/>
  <c r="P2733" i="1"/>
  <c r="P3632" i="1"/>
  <c r="P780" i="1"/>
  <c r="Q780" i="1" s="1"/>
  <c r="V30" i="2" s="1"/>
  <c r="AF29" i="3" s="1"/>
  <c r="P1493" i="1"/>
  <c r="P3508" i="1"/>
  <c r="P2547" i="1"/>
  <c r="P1679" i="1"/>
  <c r="P2051" i="1"/>
  <c r="P766" i="1"/>
  <c r="Q766" i="1" s="1"/>
  <c r="V16" i="2" s="1"/>
  <c r="R29" i="3" s="1"/>
  <c r="P775" i="1"/>
  <c r="Q775" i="1" s="1"/>
  <c r="V25" i="2" s="1"/>
  <c r="AA29" i="3" s="1"/>
  <c r="P2730" i="1"/>
  <c r="P2633" i="1"/>
  <c r="P1893" i="1"/>
  <c r="P2523" i="1"/>
  <c r="P1875" i="1"/>
  <c r="P2530" i="1"/>
  <c r="P755" i="1"/>
  <c r="Q755" i="1" s="1"/>
  <c r="V5" i="2" s="1"/>
  <c r="G29" i="3" s="1"/>
  <c r="P2863" i="1"/>
  <c r="P2268" i="1"/>
  <c r="P1524" i="1"/>
  <c r="P625" i="1"/>
  <c r="Q625" i="1" s="1"/>
  <c r="Q30" i="2" s="1"/>
  <c r="AF24" i="3" s="1"/>
  <c r="AF22" i="23" s="1"/>
  <c r="P2793" i="1"/>
  <c r="P3096" i="1"/>
  <c r="P3095" i="1"/>
  <c r="P2869" i="1"/>
  <c r="P2770" i="1"/>
  <c r="P2759" i="1"/>
  <c r="P2691" i="1"/>
  <c r="P2534" i="1"/>
  <c r="P1862" i="1"/>
  <c r="P2619" i="1"/>
  <c r="P2588" i="1"/>
  <c r="P1854" i="1"/>
  <c r="P2553" i="1"/>
  <c r="P2865" i="1"/>
  <c r="P2779" i="1"/>
  <c r="P2752" i="1"/>
  <c r="P2737" i="1"/>
  <c r="P2520" i="1"/>
  <c r="P1869" i="1"/>
  <c r="P2555" i="1"/>
  <c r="P3105" i="1"/>
  <c r="P2576" i="1"/>
  <c r="P3088" i="1"/>
  <c r="P2879" i="1"/>
  <c r="P2788" i="1"/>
  <c r="P2726" i="1"/>
  <c r="P2677" i="1"/>
  <c r="P2699" i="1"/>
  <c r="P2606" i="1"/>
  <c r="P2544" i="1"/>
  <c r="P2753" i="1"/>
  <c r="P2675" i="1"/>
  <c r="P2554" i="1"/>
  <c r="P2501" i="1"/>
  <c r="P2491" i="1"/>
  <c r="P2001" i="1"/>
  <c r="P1865" i="1"/>
  <c r="P1369" i="1"/>
  <c r="P532" i="1"/>
  <c r="Q532" i="1" s="1"/>
  <c r="N30" i="2" s="1"/>
  <c r="AF21" i="3" s="1"/>
  <c r="AF19" i="23" s="1"/>
  <c r="P763" i="1"/>
  <c r="Q763" i="1" s="1"/>
  <c r="V13" i="2" s="1"/>
  <c r="O29" i="3" s="1"/>
  <c r="P3098" i="1"/>
  <c r="P2747" i="1"/>
  <c r="P2714" i="1"/>
  <c r="P2720" i="1"/>
  <c r="P2697" i="1"/>
  <c r="P2664" i="1"/>
  <c r="P2613" i="1"/>
  <c r="P1844" i="1"/>
  <c r="P759" i="1"/>
  <c r="Q759" i="1" s="1"/>
  <c r="V9" i="2" s="1"/>
  <c r="K29" i="3" s="1"/>
  <c r="P2096" i="1"/>
  <c r="P2666" i="1"/>
  <c r="P2648" i="1"/>
  <c r="P3249" i="1"/>
  <c r="P2162" i="1"/>
  <c r="Q2162" i="1" s="1"/>
  <c r="BO17" i="2" s="1"/>
  <c r="S70" i="3" s="1"/>
  <c r="P3080" i="1"/>
  <c r="P2883" i="1"/>
  <c r="P2775" i="1"/>
  <c r="P2778" i="1"/>
  <c r="P2754" i="1"/>
  <c r="P2743" i="1"/>
  <c r="P2710" i="1"/>
  <c r="P2682" i="1"/>
  <c r="P2685" i="1"/>
  <c r="P2683" i="1"/>
  <c r="P2653" i="1"/>
  <c r="P2668" i="1"/>
  <c r="P2635" i="1"/>
  <c r="P2586" i="1"/>
  <c r="P2598" i="1"/>
  <c r="P2573" i="1"/>
  <c r="P1888" i="1"/>
  <c r="P1852" i="1"/>
  <c r="P1874" i="1"/>
  <c r="P1847" i="1"/>
  <c r="P2489" i="1"/>
  <c r="P2561" i="1"/>
  <c r="P1850" i="1"/>
  <c r="P769" i="1"/>
  <c r="Q769" i="1" s="1"/>
  <c r="V19" i="2" s="1"/>
  <c r="U29" i="3" s="1"/>
  <c r="P1999" i="1"/>
  <c r="P3084" i="1"/>
  <c r="P3102" i="1"/>
  <c r="P2875" i="1"/>
  <c r="P2622" i="1"/>
  <c r="P2585" i="1"/>
  <c r="P2590" i="1"/>
  <c r="P2569" i="1"/>
  <c r="P2604" i="1"/>
  <c r="P1803" i="1"/>
  <c r="P3373" i="1"/>
  <c r="P3094" i="1"/>
  <c r="P2771" i="1"/>
  <c r="P2791" i="1"/>
  <c r="P2772" i="1"/>
  <c r="P2786" i="1"/>
  <c r="P2629" i="1"/>
  <c r="P2603" i="1"/>
  <c r="P2564" i="1"/>
  <c r="P1879" i="1"/>
  <c r="P2716" i="1"/>
  <c r="P2495" i="1"/>
  <c r="P2745" i="1"/>
  <c r="P2652" i="1"/>
  <c r="P2243" i="1"/>
  <c r="P2582" i="1"/>
  <c r="P2113" i="1"/>
  <c r="P3260" i="1"/>
  <c r="P3291" i="1"/>
  <c r="P3229" i="1"/>
  <c r="P2795" i="1"/>
  <c r="P2144" i="1"/>
  <c r="P2392" i="1"/>
  <c r="P1152" i="1"/>
  <c r="P2888" i="1"/>
  <c r="P2516" i="1"/>
  <c r="P2020" i="1"/>
  <c r="P904" i="1"/>
  <c r="P1617" i="1"/>
  <c r="P3090" i="1"/>
  <c r="P2881" i="1"/>
  <c r="P2780" i="1"/>
  <c r="P2784" i="1"/>
  <c r="P2761" i="1"/>
  <c r="P2686" i="1"/>
  <c r="P2687" i="1"/>
  <c r="P2621" i="1"/>
  <c r="P2595" i="1"/>
  <c r="P2565" i="1"/>
  <c r="P2540" i="1"/>
  <c r="P2502" i="1"/>
  <c r="P2511" i="1"/>
  <c r="P1883" i="1"/>
  <c r="P1853" i="1"/>
  <c r="P1859" i="1"/>
  <c r="P1858" i="1"/>
  <c r="P2557" i="1"/>
  <c r="P2524" i="1"/>
  <c r="P2492" i="1"/>
  <c r="P2741" i="1"/>
  <c r="P2497" i="1"/>
  <c r="P2877" i="1"/>
  <c r="P2499" i="1"/>
  <c r="P1276" i="1"/>
  <c r="P3082" i="1"/>
  <c r="P3078" i="1"/>
  <c r="P2873" i="1"/>
  <c r="P2885" i="1"/>
  <c r="P2774" i="1"/>
  <c r="P2755" i="1"/>
  <c r="P2739" i="1"/>
  <c r="P2711" i="1"/>
  <c r="P2706" i="1"/>
  <c r="P2678" i="1"/>
  <c r="P2681" i="1"/>
  <c r="P2679" i="1"/>
  <c r="P2693" i="1"/>
  <c r="P2644" i="1"/>
  <c r="P2650" i="1"/>
  <c r="P2662" i="1"/>
  <c r="P2600" i="1"/>
  <c r="P2602" i="1"/>
  <c r="P2575" i="1"/>
  <c r="P2542" i="1"/>
  <c r="P2507" i="1"/>
  <c r="P2505" i="1"/>
  <c r="P1860" i="1"/>
  <c r="P2749" i="1"/>
  <c r="P2552" i="1"/>
  <c r="P2003" i="1"/>
  <c r="P2867" i="1"/>
  <c r="P1846" i="1"/>
  <c r="P2689" i="1"/>
  <c r="P2584" i="1"/>
  <c r="P1996" i="1"/>
  <c r="P2656" i="1"/>
  <c r="P2536" i="1"/>
  <c r="P2724" i="1"/>
  <c r="P1993" i="1"/>
  <c r="P2640" i="1"/>
  <c r="P1772" i="1"/>
  <c r="P3103" i="1"/>
  <c r="P3086" i="1"/>
  <c r="P3092" i="1"/>
  <c r="P2861" i="1"/>
  <c r="P2776" i="1"/>
  <c r="P2790" i="1"/>
  <c r="P2751" i="1"/>
  <c r="P2708" i="1"/>
  <c r="P2722" i="1"/>
  <c r="P2695" i="1"/>
  <c r="P2654" i="1"/>
  <c r="P2624" i="1"/>
  <c r="P2617" i="1"/>
  <c r="P2597" i="1"/>
  <c r="P2567" i="1"/>
  <c r="P2538" i="1"/>
  <c r="P2512" i="1"/>
  <c r="P2513" i="1"/>
  <c r="P2007" i="1"/>
  <c r="P1856" i="1"/>
  <c r="P2563" i="1"/>
  <c r="P2559" i="1"/>
  <c r="P2000" i="1"/>
  <c r="P1838" i="1"/>
  <c r="P2493" i="1"/>
  <c r="P2098" i="1"/>
  <c r="P2871" i="1"/>
  <c r="P2551" i="1"/>
  <c r="J3135" i="1"/>
  <c r="J3136" i="1"/>
  <c r="J3662" i="1"/>
  <c r="J3663" i="1"/>
  <c r="J3693" i="1"/>
  <c r="J3694" i="1"/>
  <c r="J3352" i="1"/>
  <c r="J3353" i="1"/>
  <c r="P2094" i="1"/>
  <c r="P1896" i="1"/>
  <c r="P1400" i="1"/>
  <c r="P408" i="1"/>
  <c r="Q408" i="1" s="1"/>
  <c r="J30" i="2" s="1"/>
  <c r="AF17" i="3" s="1"/>
  <c r="AF15" i="23" s="1"/>
  <c r="J160" i="1"/>
  <c r="J3817" i="1"/>
  <c r="J3818" i="1"/>
  <c r="J3476" i="1"/>
  <c r="J3477" i="1"/>
  <c r="P3756" i="1"/>
  <c r="P2671" i="1"/>
  <c r="P2764" i="1"/>
  <c r="J3848" i="1"/>
  <c r="J3849" i="1"/>
  <c r="J3538" i="1"/>
  <c r="J3539" i="1"/>
  <c r="P2578" i="1"/>
  <c r="P2731" i="1"/>
  <c r="P2241" i="1"/>
  <c r="P2558" i="1"/>
  <c r="P2494" i="1"/>
  <c r="P2556" i="1"/>
  <c r="P760" i="1"/>
  <c r="Q760" i="1" s="1"/>
  <c r="V10" i="2" s="1"/>
  <c r="L29" i="3" s="1"/>
  <c r="P2531" i="1"/>
  <c r="P2164" i="1"/>
  <c r="Q2164" i="1" s="1"/>
  <c r="BO19" i="2" s="1"/>
  <c r="U70" i="3" s="1"/>
  <c r="P1839" i="1"/>
  <c r="P1841" i="1"/>
  <c r="P2036" i="1"/>
  <c r="P2383" i="1"/>
  <c r="P2030" i="1"/>
  <c r="P2009" i="1"/>
  <c r="P1668" i="1"/>
  <c r="P3089" i="1"/>
  <c r="P2773" i="1"/>
  <c r="P2785" i="1"/>
  <c r="P2655" i="1"/>
  <c r="P2607" i="1"/>
  <c r="P2535" i="1"/>
  <c r="P764" i="1"/>
  <c r="Q764" i="1" s="1"/>
  <c r="V14" i="2" s="1"/>
  <c r="P29" i="3" s="1"/>
  <c r="P2560" i="1"/>
  <c r="P1876" i="1"/>
  <c r="P756" i="1"/>
  <c r="Q756" i="1" s="1"/>
  <c r="V6" i="2" s="1"/>
  <c r="H29" i="3" s="1"/>
  <c r="P2634" i="1"/>
  <c r="P2529" i="1"/>
  <c r="P2371" i="1"/>
  <c r="P2748" i="1"/>
  <c r="P1994" i="1"/>
  <c r="P2369" i="1"/>
  <c r="P2599" i="1"/>
  <c r="P1894" i="1"/>
  <c r="P2034" i="1"/>
  <c r="P2742" i="1"/>
  <c r="P1880" i="1"/>
  <c r="P2521" i="1"/>
  <c r="P1845" i="1"/>
  <c r="P2514" i="1"/>
  <c r="P2647" i="1"/>
  <c r="P1391" i="1"/>
  <c r="P3091" i="1"/>
  <c r="P2874" i="1"/>
  <c r="P2723" i="1"/>
  <c r="P2543" i="1"/>
  <c r="P2375" i="1"/>
  <c r="P2261" i="1"/>
  <c r="P2245" i="1"/>
  <c r="P2168" i="1"/>
  <c r="Q2168" i="1" s="1"/>
  <c r="BO23" i="2" s="1"/>
  <c r="Y70" i="3" s="1"/>
  <c r="P2150" i="1"/>
  <c r="Q2150" i="1" s="1"/>
  <c r="BO5" i="2" s="1"/>
  <c r="G70" i="3" s="1"/>
  <c r="P2129" i="1"/>
  <c r="P2108" i="1"/>
  <c r="P2046" i="1"/>
  <c r="P2868" i="1"/>
  <c r="P2004" i="1"/>
  <c r="P2095" i="1"/>
  <c r="P2525" i="1"/>
  <c r="P2379" i="1"/>
  <c r="P2257" i="1"/>
  <c r="P2125" i="1"/>
  <c r="P1598" i="1"/>
  <c r="P3101" i="1"/>
  <c r="P2866" i="1"/>
  <c r="P2781" i="1"/>
  <c r="P2727" i="1"/>
  <c r="P1998" i="1"/>
  <c r="P2490" i="1"/>
  <c r="P2131" i="1"/>
  <c r="P598" i="1"/>
  <c r="Q598" i="1" s="1"/>
  <c r="Q3" i="2" s="1"/>
  <c r="E24" i="3" s="1"/>
  <c r="E22" i="23" s="1"/>
  <c r="P2876" i="1"/>
  <c r="P2870" i="1"/>
  <c r="P2690" i="1"/>
  <c r="P2649" i="1"/>
  <c r="P2661" i="1"/>
  <c r="P2620" i="1"/>
  <c r="P1849" i="1"/>
  <c r="P754" i="1"/>
  <c r="Q754" i="1" s="1"/>
  <c r="V4" i="2" s="1"/>
  <c r="F29" i="3" s="1"/>
  <c r="P2002" i="1"/>
  <c r="P2715" i="1"/>
  <c r="P387" i="1"/>
  <c r="Q387" i="1" s="1"/>
  <c r="J9" i="2" s="1"/>
  <c r="K17" i="3" s="1"/>
  <c r="K15" i="23" s="1"/>
  <c r="P2527" i="1"/>
  <c r="P2255" i="1"/>
  <c r="P2160" i="1"/>
  <c r="Q2160" i="1" s="1"/>
  <c r="BO15" i="2" s="1"/>
  <c r="Q70" i="3" s="1"/>
  <c r="P2032" i="1"/>
  <c r="P1660" i="1"/>
  <c r="P2878" i="1"/>
  <c r="P2259" i="1"/>
  <c r="P2740" i="1"/>
  <c r="P2744" i="1"/>
  <c r="P2589" i="1"/>
  <c r="P2496" i="1"/>
  <c r="P2729" i="1"/>
  <c r="P2583" i="1"/>
  <c r="P2251" i="1"/>
  <c r="P2381" i="1"/>
  <c r="P2119" i="1"/>
  <c r="P2106" i="1"/>
  <c r="P3266" i="1"/>
  <c r="P3097" i="1"/>
  <c r="P2884" i="1"/>
  <c r="P2787" i="1"/>
  <c r="P2750" i="1"/>
  <c r="P2692" i="1"/>
  <c r="P2645" i="1"/>
  <c r="P2626" i="1"/>
  <c r="P2154" i="1"/>
  <c r="Q2154" i="1" s="1"/>
  <c r="BO9" i="2" s="1"/>
  <c r="K70" i="3" s="1"/>
  <c r="P2117" i="1"/>
  <c r="P2104" i="1"/>
  <c r="P2013" i="1"/>
  <c r="P3272" i="1"/>
  <c r="P3235" i="1"/>
  <c r="P3206" i="1"/>
  <c r="P2222" i="1"/>
  <c r="Q2222" i="1" s="1"/>
  <c r="BQ15" i="2" s="1"/>
  <c r="Q72" i="3" s="1"/>
  <c r="P1753" i="1"/>
  <c r="P1745" i="1"/>
  <c r="P1662" i="1"/>
  <c r="P1654" i="1"/>
  <c r="P1544" i="1"/>
  <c r="P1536" i="1"/>
  <c r="P1528" i="1"/>
  <c r="P1515" i="1"/>
  <c r="P1507" i="1"/>
  <c r="P1499" i="1"/>
  <c r="P1486" i="1"/>
  <c r="P1478" i="1"/>
  <c r="P1470" i="1"/>
  <c r="P1426" i="1"/>
  <c r="P1418" i="1"/>
  <c r="P1410" i="1"/>
  <c r="P1258" i="1"/>
  <c r="P1252" i="1"/>
  <c r="P897" i="1"/>
  <c r="P643" i="1"/>
  <c r="Q643" i="1" s="1"/>
  <c r="R17" i="2" s="1"/>
  <c r="S25" i="3" s="1"/>
  <c r="P388" i="1"/>
  <c r="Q388" i="1" s="1"/>
  <c r="J10" i="2" s="1"/>
  <c r="L17" i="3" s="1"/>
  <c r="L15" i="23" s="1"/>
  <c r="P3085" i="1"/>
  <c r="P2769" i="1"/>
  <c r="P2746" i="1"/>
  <c r="P2758" i="1"/>
  <c r="P2725" i="1"/>
  <c r="P2680" i="1"/>
  <c r="P2614" i="1"/>
  <c r="P2537" i="1"/>
  <c r="P2506" i="1"/>
  <c r="P1855" i="1"/>
  <c r="P1843" i="1"/>
  <c r="P1878" i="1"/>
  <c r="P2253" i="1"/>
  <c r="P2137" i="1"/>
  <c r="P2090" i="1"/>
  <c r="P2038" i="1"/>
  <c r="P3255" i="1"/>
  <c r="P1786" i="1"/>
  <c r="P1600" i="1"/>
  <c r="P1592" i="1"/>
  <c r="P1395" i="1"/>
  <c r="P1387" i="1"/>
  <c r="P2862" i="1"/>
  <c r="P2630" i="1"/>
  <c r="P1397" i="1"/>
  <c r="P615" i="1"/>
  <c r="Q615" i="1" s="1"/>
  <c r="Q20" i="2" s="1"/>
  <c r="V24" i="3" s="1"/>
  <c r="V22" i="23" s="1"/>
  <c r="P511" i="1"/>
  <c r="Q511" i="1" s="1"/>
  <c r="N9" i="2" s="1"/>
  <c r="K21" i="3" s="1"/>
  <c r="K19" i="23" s="1"/>
  <c r="P391" i="1"/>
  <c r="Q391" i="1" s="1"/>
  <c r="J13" i="2" s="1"/>
  <c r="O17" i="3" s="1"/>
  <c r="O15" i="23" s="1"/>
  <c r="P2148" i="1"/>
  <c r="Q2148" i="1" s="1"/>
  <c r="BO3" i="2" s="1"/>
  <c r="E70" i="3" s="1"/>
  <c r="P774" i="1"/>
  <c r="Q774" i="1" s="1"/>
  <c r="V24" i="2" s="1"/>
  <c r="Z29" i="3" s="1"/>
  <c r="P3083" i="1"/>
  <c r="P2880" i="1"/>
  <c r="P2756" i="1"/>
  <c r="P2533" i="1"/>
  <c r="P1892" i="1"/>
  <c r="P2006" i="1"/>
  <c r="P2886" i="1"/>
  <c r="P2500" i="1"/>
  <c r="P2638" i="1"/>
  <c r="P2389" i="1"/>
  <c r="P2385" i="1"/>
  <c r="P2377" i="1"/>
  <c r="P2247" i="1"/>
  <c r="P2152" i="1"/>
  <c r="Q2152" i="1" s="1"/>
  <c r="BO7" i="2" s="1"/>
  <c r="I70" i="3" s="1"/>
  <c r="P2092" i="1"/>
  <c r="P2040" i="1"/>
  <c r="P2024" i="1"/>
  <c r="P602" i="1"/>
  <c r="Q602" i="1" s="1"/>
  <c r="Q7" i="2" s="1"/>
  <c r="I24" i="3" s="1"/>
  <c r="I22" i="23" s="1"/>
  <c r="P599" i="1"/>
  <c r="Q599" i="1" s="1"/>
  <c r="Q4" i="2" s="1"/>
  <c r="F24" i="3" s="1"/>
  <c r="F22" i="23" s="1"/>
  <c r="P2156" i="1"/>
  <c r="Q2156" i="1" s="1"/>
  <c r="BO11" i="2" s="1"/>
  <c r="M70" i="3" s="1"/>
  <c r="P3081" i="1"/>
  <c r="P2676" i="1"/>
  <c r="P2669" i="1"/>
  <c r="P2572" i="1"/>
  <c r="P2587" i="1"/>
  <c r="P2618" i="1"/>
  <c r="P2373" i="1"/>
  <c r="P1886" i="1"/>
  <c r="P2562" i="1"/>
  <c r="P2097" i="1"/>
  <c r="P1851" i="1"/>
  <c r="P2265" i="1"/>
  <c r="P2141" i="1"/>
  <c r="P2133" i="1"/>
  <c r="P2086" i="1"/>
  <c r="P2042" i="1"/>
  <c r="P2026" i="1"/>
  <c r="P1265" i="1"/>
  <c r="P1143" i="1"/>
  <c r="P899" i="1"/>
  <c r="P883" i="1"/>
  <c r="P645" i="1"/>
  <c r="Q645" i="1" s="1"/>
  <c r="R19" i="2" s="1"/>
  <c r="U25" i="3" s="1"/>
  <c r="P2762" i="1"/>
  <c r="P2717" i="1"/>
  <c r="P2616" i="1"/>
  <c r="P2628" i="1"/>
  <c r="P2591" i="1"/>
  <c r="P2510" i="1"/>
  <c r="P1882" i="1"/>
  <c r="P1857" i="1"/>
  <c r="P762" i="1"/>
  <c r="Q762" i="1" s="1"/>
  <c r="V12" i="2" s="1"/>
  <c r="N29" i="3" s="1"/>
  <c r="P2367" i="1"/>
  <c r="P2121" i="1"/>
  <c r="P2100" i="1"/>
  <c r="P2017" i="1"/>
  <c r="P776" i="1"/>
  <c r="Q776" i="1" s="1"/>
  <c r="V26" i="2" s="1"/>
  <c r="AB29" i="3" s="1"/>
  <c r="P2365" i="1"/>
  <c r="P2127" i="1"/>
  <c r="P618" i="1"/>
  <c r="Q618" i="1" s="1"/>
  <c r="Q23" i="2" s="1"/>
  <c r="Y24" i="3" s="1"/>
  <c r="Y22" i="23" s="1"/>
  <c r="P610" i="1"/>
  <c r="Q610" i="1" s="1"/>
  <c r="Q15" i="2" s="1"/>
  <c r="Q24" i="3" s="1"/>
  <c r="Q22" i="23" s="1"/>
  <c r="P527" i="1"/>
  <c r="Q527" i="1" s="1"/>
  <c r="N25" i="2" s="1"/>
  <c r="AA21" i="3" s="1"/>
  <c r="AA19" i="23" s="1"/>
  <c r="P519" i="1"/>
  <c r="Q519" i="1" s="1"/>
  <c r="N17" i="2" s="1"/>
  <c r="S21" i="3" s="1"/>
  <c r="S19" i="23" s="1"/>
  <c r="P406" i="1"/>
  <c r="Q406" i="1" s="1"/>
  <c r="J28" i="2" s="1"/>
  <c r="AD17" i="3" s="1"/>
  <c r="AD15" i="23" s="1"/>
  <c r="P3079" i="1"/>
  <c r="P2760" i="1"/>
  <c r="P2659" i="1"/>
  <c r="P2566" i="1"/>
  <c r="P2574" i="1"/>
  <c r="P2388" i="1"/>
  <c r="P1890" i="1"/>
  <c r="P607" i="1"/>
  <c r="Q607" i="1" s="1"/>
  <c r="Q12" i="2" s="1"/>
  <c r="N24" i="3" s="1"/>
  <c r="N22" i="23" s="1"/>
  <c r="P524" i="1"/>
  <c r="Q524" i="1" s="1"/>
  <c r="N22" i="2" s="1"/>
  <c r="X21" i="3" s="1"/>
  <c r="X19" i="23" s="1"/>
  <c r="P516" i="1"/>
  <c r="Q516" i="1" s="1"/>
  <c r="N14" i="2" s="1"/>
  <c r="P21" i="3" s="1"/>
  <c r="P19" i="23" s="1"/>
  <c r="P508" i="1"/>
  <c r="Q508" i="1" s="1"/>
  <c r="N6" i="2" s="1"/>
  <c r="H21" i="3" s="1"/>
  <c r="H19" i="23" s="1"/>
  <c r="P405" i="1"/>
  <c r="Q405" i="1" s="1"/>
  <c r="J27" i="2" s="1"/>
  <c r="AC17" i="3" s="1"/>
  <c r="AC15" i="23" s="1"/>
  <c r="P402" i="1"/>
  <c r="Q402" i="1" s="1"/>
  <c r="J24" i="2" s="1"/>
  <c r="Z17" i="3" s="1"/>
  <c r="Z15" i="23" s="1"/>
  <c r="P397" i="1"/>
  <c r="Q397" i="1" s="1"/>
  <c r="J19" i="2" s="1"/>
  <c r="U17" i="3" s="1"/>
  <c r="U15" i="23" s="1"/>
  <c r="P394" i="1"/>
  <c r="Q394" i="1" s="1"/>
  <c r="J16" i="2" s="1"/>
  <c r="R17" i="3" s="1"/>
  <c r="R15" i="23" s="1"/>
  <c r="P389" i="1"/>
  <c r="Q389" i="1" s="1"/>
  <c r="J11" i="2" s="1"/>
  <c r="M17" i="3" s="1"/>
  <c r="M15" i="23" s="1"/>
  <c r="P386" i="1"/>
  <c r="Q386" i="1" s="1"/>
  <c r="J8" i="2" s="1"/>
  <c r="J17" i="3" s="1"/>
  <c r="J15" i="23" s="1"/>
  <c r="P381" i="1"/>
  <c r="Q381" i="1" s="1"/>
  <c r="J3" i="2" s="1"/>
  <c r="E17" i="3" s="1"/>
  <c r="E15" i="23" s="1"/>
  <c r="P768" i="1"/>
  <c r="Q768" i="1" s="1"/>
  <c r="V18" i="2" s="1"/>
  <c r="T29" i="3" s="1"/>
  <c r="P3087" i="1"/>
  <c r="P2721" i="1"/>
  <c r="P2719" i="1"/>
  <c r="P2667" i="1"/>
  <c r="P2632" i="1"/>
  <c r="P3374" i="1"/>
  <c r="P1392" i="1"/>
  <c r="P2665" i="1"/>
  <c r="P2570" i="1"/>
  <c r="P2545" i="1"/>
  <c r="P392" i="1"/>
  <c r="Q392" i="1" s="1"/>
  <c r="J14" i="2" s="1"/>
  <c r="P17" i="3" s="1"/>
  <c r="P15" i="23" s="1"/>
  <c r="P513" i="1"/>
  <c r="Q513" i="1" s="1"/>
  <c r="N11" i="2" s="1"/>
  <c r="M21" i="3" s="1"/>
  <c r="M19" i="23" s="1"/>
  <c r="P2777" i="1"/>
  <c r="P1861" i="1"/>
  <c r="P3747" i="1"/>
  <c r="P1656" i="1"/>
  <c r="P1363" i="1"/>
  <c r="P1261" i="1"/>
  <c r="P1020" i="1"/>
  <c r="P644" i="1"/>
  <c r="Q644" i="1" s="1"/>
  <c r="R18" i="2" s="1"/>
  <c r="T25" i="3" s="1"/>
  <c r="P620" i="1"/>
  <c r="Q620" i="1" s="1"/>
  <c r="Q25" i="2" s="1"/>
  <c r="AA24" i="3" s="1"/>
  <c r="AA22" i="23" s="1"/>
  <c r="P612" i="1"/>
  <c r="Q612" i="1" s="1"/>
  <c r="Q17" i="2" s="1"/>
  <c r="S24" i="3" s="1"/>
  <c r="S22" i="23" s="1"/>
  <c r="P604" i="1"/>
  <c r="Q604" i="1" s="1"/>
  <c r="Q9" i="2" s="1"/>
  <c r="K24" i="3" s="1"/>
  <c r="K22" i="23" s="1"/>
  <c r="P529" i="1"/>
  <c r="Q529" i="1" s="1"/>
  <c r="N27" i="2" s="1"/>
  <c r="AC21" i="3" s="1"/>
  <c r="AC19" i="23" s="1"/>
  <c r="P521" i="1"/>
  <c r="Q521" i="1" s="1"/>
  <c r="N19" i="2" s="1"/>
  <c r="U21" i="3" s="1"/>
  <c r="U19" i="23" s="1"/>
  <c r="P518" i="1"/>
  <c r="Q518" i="1" s="1"/>
  <c r="N16" i="2" s="1"/>
  <c r="R21" i="3" s="1"/>
  <c r="R19" i="23" s="1"/>
  <c r="P515" i="1"/>
  <c r="Q515" i="1" s="1"/>
  <c r="N13" i="2" s="1"/>
  <c r="O21" i="3" s="1"/>
  <c r="O19" i="23" s="1"/>
  <c r="P510" i="1"/>
  <c r="Q510" i="1" s="1"/>
  <c r="N8" i="2" s="1"/>
  <c r="J21" i="3" s="1"/>
  <c r="J19" i="23" s="1"/>
  <c r="P505" i="1"/>
  <c r="Q505" i="1" s="1"/>
  <c r="N3" i="2" s="1"/>
  <c r="E21" i="3" s="1"/>
  <c r="E19" i="23" s="1"/>
  <c r="P404" i="1"/>
  <c r="Q404" i="1" s="1"/>
  <c r="J26" i="2" s="1"/>
  <c r="AB17" i="3" s="1"/>
  <c r="AB15" i="23" s="1"/>
  <c r="P399" i="1"/>
  <c r="Q399" i="1" s="1"/>
  <c r="J21" i="2" s="1"/>
  <c r="W17" i="3" s="1"/>
  <c r="W15" i="23" s="1"/>
  <c r="P396" i="1"/>
  <c r="Q396" i="1" s="1"/>
  <c r="J18" i="2" s="1"/>
  <c r="T17" i="3" s="1"/>
  <c r="T15" i="23" s="1"/>
  <c r="P383" i="1"/>
  <c r="Q383" i="1" s="1"/>
  <c r="J5" i="2" s="1"/>
  <c r="G17" i="3" s="1"/>
  <c r="G15" i="23" s="1"/>
  <c r="P2593" i="1"/>
  <c r="P2864" i="1"/>
  <c r="P770" i="1"/>
  <c r="Q770" i="1" s="1"/>
  <c r="V20" i="2" s="1"/>
  <c r="V29" i="3" s="1"/>
  <c r="P2498" i="1"/>
  <c r="P2244" i="1"/>
  <c r="P1870" i="1"/>
  <c r="P2161" i="1"/>
  <c r="Q2161" i="1" s="1"/>
  <c r="BO16" i="2" s="1"/>
  <c r="R70" i="3" s="1"/>
  <c r="P2651" i="1"/>
  <c r="P2601" i="1"/>
  <c r="P1872" i="1"/>
  <c r="P3099" i="1"/>
  <c r="P2783" i="1"/>
  <c r="P2700" i="1"/>
  <c r="P2636" i="1"/>
  <c r="P2541" i="1"/>
  <c r="P2123" i="1"/>
  <c r="P2011" i="1"/>
  <c r="P1126" i="1"/>
  <c r="P1004" i="1"/>
  <c r="P652" i="1"/>
  <c r="Q652" i="1" s="1"/>
  <c r="R26" i="2" s="1"/>
  <c r="AB25" i="3" s="1"/>
  <c r="P642" i="1"/>
  <c r="Q642" i="1" s="1"/>
  <c r="R16" i="2" s="1"/>
  <c r="R25" i="3" s="1"/>
  <c r="P522" i="1"/>
  <c r="Q522" i="1" s="1"/>
  <c r="N20" i="2" s="1"/>
  <c r="V21" i="3" s="1"/>
  <c r="V19" i="23" s="1"/>
  <c r="P1863" i="1"/>
  <c r="P514" i="1"/>
  <c r="Q514" i="1" s="1"/>
  <c r="N12" i="2" s="1"/>
  <c r="N21" i="3" s="1"/>
  <c r="N19" i="23" s="1"/>
  <c r="P506" i="1"/>
  <c r="Q506" i="1" s="1"/>
  <c r="N4" i="2" s="1"/>
  <c r="F21" i="3" s="1"/>
  <c r="F19" i="23" s="1"/>
  <c r="P400" i="1"/>
  <c r="Q400" i="1" s="1"/>
  <c r="J22" i="2" s="1"/>
  <c r="X17" i="3" s="1"/>
  <c r="X15" i="23" s="1"/>
  <c r="P384" i="1"/>
  <c r="Q384" i="1" s="1"/>
  <c r="J6" i="2" s="1"/>
  <c r="H17" i="3" s="1"/>
  <c r="H15" i="23" s="1"/>
  <c r="P3093" i="1"/>
  <c r="P2872" i="1"/>
  <c r="P2789" i="1"/>
  <c r="P2738" i="1"/>
  <c r="P2713" i="1"/>
  <c r="P2709" i="1"/>
  <c r="P2694" i="1"/>
  <c r="P2684" i="1"/>
  <c r="P2698" i="1"/>
  <c r="P2657" i="1"/>
  <c r="P2663" i="1"/>
  <c r="P2508" i="1"/>
  <c r="P2166" i="1"/>
  <c r="Q2166" i="1" s="1"/>
  <c r="BO21" i="2" s="1"/>
  <c r="W70" i="3" s="1"/>
  <c r="P2135" i="1"/>
  <c r="P2088" i="1"/>
  <c r="P2044" i="1"/>
  <c r="P2387" i="1"/>
  <c r="P2249" i="1"/>
  <c r="P517" i="1"/>
  <c r="Q517" i="1" s="1"/>
  <c r="N15" i="2" s="1"/>
  <c r="Q21" i="3" s="1"/>
  <c r="Q19" i="23" s="1"/>
  <c r="P512" i="1"/>
  <c r="Q512" i="1" s="1"/>
  <c r="N10" i="2" s="1"/>
  <c r="L21" i="3" s="1"/>
  <c r="L19" i="23" s="1"/>
  <c r="P509" i="1"/>
  <c r="Q509" i="1" s="1"/>
  <c r="N7" i="2" s="1"/>
  <c r="I21" i="3" s="1"/>
  <c r="I19" i="23" s="1"/>
  <c r="P403" i="1"/>
  <c r="Q403" i="1" s="1"/>
  <c r="J25" i="2" s="1"/>
  <c r="AA17" i="3" s="1"/>
  <c r="AA15" i="23" s="1"/>
  <c r="P395" i="1"/>
  <c r="Q395" i="1" s="1"/>
  <c r="J17" i="2" s="1"/>
  <c r="S17" i="3" s="1"/>
  <c r="S15" i="23" s="1"/>
  <c r="P2568" i="1"/>
  <c r="P2504" i="1"/>
  <c r="P507" i="1"/>
  <c r="Q507" i="1" s="1"/>
  <c r="N5" i="2" s="1"/>
  <c r="G21" i="3" s="1"/>
  <c r="G19" i="23" s="1"/>
  <c r="P401" i="1"/>
  <c r="Q401" i="1" s="1"/>
  <c r="J23" i="2" s="1"/>
  <c r="Y17" i="3" s="1"/>
  <c r="Y15" i="23" s="1"/>
  <c r="P398" i="1"/>
  <c r="Q398" i="1" s="1"/>
  <c r="J20" i="2" s="1"/>
  <c r="V17" i="3" s="1"/>
  <c r="V15" i="23" s="1"/>
  <c r="P393" i="1"/>
  <c r="Q393" i="1" s="1"/>
  <c r="J15" i="2" s="1"/>
  <c r="Q17" i="3" s="1"/>
  <c r="Q15" i="23" s="1"/>
  <c r="P390" i="1"/>
  <c r="Q390" i="1" s="1"/>
  <c r="J12" i="2" s="1"/>
  <c r="N17" i="3" s="1"/>
  <c r="N15" i="23" s="1"/>
  <c r="P385" i="1"/>
  <c r="Q385" i="1" s="1"/>
  <c r="J7" i="2" s="1"/>
  <c r="I17" i="3" s="1"/>
  <c r="I15" i="23" s="1"/>
  <c r="P382" i="1"/>
  <c r="Q382" i="1" s="1"/>
  <c r="J4" i="2" s="1"/>
  <c r="F17" i="3" s="1"/>
  <c r="F15" i="23" s="1"/>
  <c r="P1534" i="1"/>
  <c r="P1424" i="1"/>
  <c r="P1383" i="1"/>
  <c r="P1381" i="1"/>
  <c r="P1365" i="1"/>
  <c r="P1357" i="1"/>
  <c r="P1346" i="1"/>
  <c r="P1271" i="1"/>
  <c r="P1141" i="1"/>
  <c r="P1139" i="1"/>
  <c r="P1011" i="1"/>
  <c r="P1009" i="1"/>
  <c r="P892" i="1"/>
  <c r="P641" i="1"/>
  <c r="Q641" i="1" s="1"/>
  <c r="R15" i="2" s="1"/>
  <c r="Q25" i="3" s="1"/>
  <c r="P635" i="1"/>
  <c r="Q635" i="1" s="1"/>
  <c r="R9" i="2" s="1"/>
  <c r="K25" i="3" s="1"/>
  <c r="P622" i="1"/>
  <c r="Q622" i="1" s="1"/>
  <c r="Q27" i="2" s="1"/>
  <c r="AC24" i="3" s="1"/>
  <c r="AC22" i="23" s="1"/>
  <c r="P523" i="1"/>
  <c r="Q523" i="1" s="1"/>
  <c r="N21" i="2" s="1"/>
  <c r="W21" i="3" s="1"/>
  <c r="W19" i="23" s="1"/>
  <c r="P777" i="1"/>
  <c r="Q777" i="1" s="1"/>
  <c r="V27" i="2" s="1"/>
  <c r="AC29" i="3" s="1"/>
  <c r="P2015" i="1"/>
  <c r="P2225" i="1"/>
  <c r="Q2225" i="1" s="1"/>
  <c r="BQ18" i="2" s="1"/>
  <c r="T72" i="3" s="1"/>
  <c r="P1756" i="1"/>
  <c r="P1405" i="1"/>
  <c r="P1394" i="1"/>
  <c r="P1386" i="1"/>
  <c r="P617" i="1"/>
  <c r="Q617" i="1" s="1"/>
  <c r="Q22" i="2" s="1"/>
  <c r="X24" i="3" s="1"/>
  <c r="X22" i="23" s="1"/>
  <c r="P609" i="1"/>
  <c r="Q609" i="1" s="1"/>
  <c r="Q14" i="2" s="1"/>
  <c r="P24" i="3" s="1"/>
  <c r="P22" i="23" s="1"/>
  <c r="P601" i="1"/>
  <c r="Q601" i="1" s="1"/>
  <c r="Q6" i="2" s="1"/>
  <c r="H24" i="3" s="1"/>
  <c r="H22" i="23" s="1"/>
  <c r="P526" i="1"/>
  <c r="Q526" i="1" s="1"/>
  <c r="N24" i="2" s="1"/>
  <c r="Z21" i="3" s="1"/>
  <c r="Z19" i="23" s="1"/>
  <c r="P2158" i="1"/>
  <c r="Q2158" i="1" s="1"/>
  <c r="BO13" i="2" s="1"/>
  <c r="O70" i="3" s="1"/>
  <c r="P3735" i="1"/>
  <c r="P3605" i="1"/>
  <c r="P3483" i="1"/>
  <c r="P3212" i="1"/>
  <c r="P1378" i="1"/>
  <c r="P1375" i="1"/>
  <c r="P1362" i="1"/>
  <c r="P1354" i="1"/>
  <c r="P1349" i="1"/>
  <c r="P1274" i="1"/>
  <c r="P1266" i="1"/>
  <c r="P1263" i="1"/>
  <c r="P1255" i="1"/>
  <c r="P1250" i="1"/>
  <c r="P1149" i="1"/>
  <c r="P1144" i="1"/>
  <c r="P1136" i="1"/>
  <c r="P1133" i="1"/>
  <c r="P1128" i="1"/>
  <c r="P1125" i="1"/>
  <c r="P1022" i="1"/>
  <c r="P1019" i="1"/>
  <c r="P1014" i="1"/>
  <c r="P1006" i="1"/>
  <c r="P1003" i="1"/>
  <c r="P900" i="1"/>
  <c r="P889" i="1"/>
  <c r="P884" i="1"/>
  <c r="P881" i="1"/>
  <c r="P654" i="1"/>
  <c r="Q654" i="1" s="1"/>
  <c r="R28" i="2" s="1"/>
  <c r="AD25" i="3" s="1"/>
  <c r="P651" i="1"/>
  <c r="Q651" i="1" s="1"/>
  <c r="R25" i="2" s="1"/>
  <c r="AA25" i="3" s="1"/>
  <c r="P646" i="1"/>
  <c r="Q646" i="1" s="1"/>
  <c r="R20" i="2" s="1"/>
  <c r="V25" i="3" s="1"/>
  <c r="P638" i="1"/>
  <c r="Q638" i="1" s="1"/>
  <c r="R12" i="2" s="1"/>
  <c r="N25" i="3" s="1"/>
  <c r="P630" i="1"/>
  <c r="Q630" i="1" s="1"/>
  <c r="R4" i="2" s="1"/>
  <c r="F25" i="3" s="1"/>
  <c r="P614" i="1"/>
  <c r="Q614" i="1" s="1"/>
  <c r="Q19" i="2" s="1"/>
  <c r="U24" i="3" s="1"/>
  <c r="U22" i="23" s="1"/>
  <c r="P606" i="1"/>
  <c r="Q606" i="1" s="1"/>
  <c r="Q11" i="2" s="1"/>
  <c r="M24" i="3" s="1"/>
  <c r="M22" i="23" s="1"/>
  <c r="P1767" i="1"/>
  <c r="P1759" i="1"/>
  <c r="P1751" i="1"/>
  <c r="P1652" i="1"/>
  <c r="P1542" i="1"/>
  <c r="P1521" i="1"/>
  <c r="P1513" i="1"/>
  <c r="P1505" i="1"/>
  <c r="P1497" i="1"/>
  <c r="P1484" i="1"/>
  <c r="P1476" i="1"/>
  <c r="P1468" i="1"/>
  <c r="P1416" i="1"/>
  <c r="P1408" i="1"/>
  <c r="P2263" i="1"/>
  <c r="P2170" i="1"/>
  <c r="Q2170" i="1" s="1"/>
  <c r="BO25" i="2" s="1"/>
  <c r="AA70" i="3" s="1"/>
  <c r="P2139" i="1"/>
  <c r="P2110" i="1"/>
  <c r="P2102" i="1"/>
  <c r="P2048" i="1"/>
  <c r="P778" i="1"/>
  <c r="Q778" i="1" s="1"/>
  <c r="V28" i="2" s="1"/>
  <c r="AD29" i="3" s="1"/>
  <c r="P3729" i="1"/>
  <c r="P2224" i="1"/>
  <c r="Q2224" i="1" s="1"/>
  <c r="BQ17" i="2" s="1"/>
  <c r="S72" i="3" s="1"/>
  <c r="P1627" i="1"/>
  <c r="P1393" i="1"/>
  <c r="P1254" i="1"/>
  <c r="P1132" i="1"/>
  <c r="P1026" i="1"/>
  <c r="P880" i="1"/>
  <c r="P634" i="1"/>
  <c r="Q634" i="1" s="1"/>
  <c r="R8" i="2" s="1"/>
  <c r="J25" i="3" s="1"/>
  <c r="P621" i="1"/>
  <c r="Q621" i="1" s="1"/>
  <c r="Q26" i="2" s="1"/>
  <c r="AB24" i="3" s="1"/>
  <c r="AB22" i="23" s="1"/>
  <c r="P616" i="1"/>
  <c r="Q616" i="1" s="1"/>
  <c r="Q21" i="2" s="1"/>
  <c r="W24" i="3" s="1"/>
  <c r="W22" i="23" s="1"/>
  <c r="P613" i="1"/>
  <c r="Q613" i="1" s="1"/>
  <c r="Q18" i="2" s="1"/>
  <c r="T24" i="3" s="1"/>
  <c r="T22" i="23" s="1"/>
  <c r="P608" i="1"/>
  <c r="Q608" i="1" s="1"/>
  <c r="Q13" i="2" s="1"/>
  <c r="O24" i="3" s="1"/>
  <c r="O22" i="23" s="1"/>
  <c r="P605" i="1"/>
  <c r="Q605" i="1" s="1"/>
  <c r="Q10" i="2" s="1"/>
  <c r="L24" i="3" s="1"/>
  <c r="L22" i="23" s="1"/>
  <c r="P600" i="1"/>
  <c r="Q600" i="1" s="1"/>
  <c r="Q5" i="2" s="1"/>
  <c r="G24" i="3" s="1"/>
  <c r="G22" i="23" s="1"/>
  <c r="P530" i="1"/>
  <c r="Q530" i="1" s="1"/>
  <c r="N28" i="2" s="1"/>
  <c r="AD21" i="3" s="1"/>
  <c r="AD19" i="23" s="1"/>
  <c r="P525" i="1"/>
  <c r="Q525" i="1" s="1"/>
  <c r="N23" i="2" s="1"/>
  <c r="Y21" i="3" s="1"/>
  <c r="Y19" i="23" s="1"/>
  <c r="P619" i="1"/>
  <c r="Q619" i="1" s="1"/>
  <c r="Q24" i="2" s="1"/>
  <c r="Z24" i="3" s="1"/>
  <c r="Z22" i="23" s="1"/>
  <c r="P1390" i="1"/>
  <c r="P1382" i="1"/>
  <c r="P1367" i="1"/>
  <c r="P1270" i="1"/>
  <c r="P1138" i="1"/>
  <c r="P2211" i="1"/>
  <c r="Q2211" i="1" s="1"/>
  <c r="BQ4" i="2" s="1"/>
  <c r="F72" i="3" s="1"/>
  <c r="P3615" i="1"/>
  <c r="P3493" i="1"/>
  <c r="P3371" i="1"/>
  <c r="P3222" i="1"/>
  <c r="P1606" i="1"/>
  <c r="P1504" i="1"/>
  <c r="P1343" i="1"/>
  <c r="P1776" i="1"/>
  <c r="P1406" i="1"/>
  <c r="P1384" i="1"/>
  <c r="P1379" i="1"/>
  <c r="P1376" i="1"/>
  <c r="P1373" i="1"/>
  <c r="P1360" i="1"/>
  <c r="P1355" i="1"/>
  <c r="P1352" i="1"/>
  <c r="P1347" i="1"/>
  <c r="P1344" i="1"/>
  <c r="P1272" i="1"/>
  <c r="P1269" i="1"/>
  <c r="P1267" i="1"/>
  <c r="P1264" i="1"/>
  <c r="P1256" i="1"/>
  <c r="P1253" i="1"/>
  <c r="P1150" i="1"/>
  <c r="P1147" i="1"/>
  <c r="P1142" i="1"/>
  <c r="P1134" i="1"/>
  <c r="P1131" i="1"/>
  <c r="P1025" i="1"/>
  <c r="P1017" i="1"/>
  <c r="P1012" i="1"/>
  <c r="P1007" i="1"/>
  <c r="P1001" i="1"/>
  <c r="P898" i="1"/>
  <c r="P895" i="1"/>
  <c r="P893" i="1"/>
  <c r="P890" i="1"/>
  <c r="P887" i="1"/>
  <c r="P885" i="1"/>
  <c r="P882" i="1"/>
  <c r="P879" i="1"/>
  <c r="P649" i="1"/>
  <c r="Q649" i="1" s="1"/>
  <c r="R23" i="2" s="1"/>
  <c r="Y25" i="3" s="1"/>
  <c r="P636" i="1"/>
  <c r="Q636" i="1" s="1"/>
  <c r="R10" i="2" s="1"/>
  <c r="L25" i="3" s="1"/>
  <c r="P633" i="1"/>
  <c r="Q633" i="1" s="1"/>
  <c r="R7" i="2" s="1"/>
  <c r="I25" i="3" s="1"/>
  <c r="P623" i="1"/>
  <c r="Q623" i="1" s="1"/>
  <c r="Q28" i="2" s="1"/>
  <c r="AD24" i="3" s="1"/>
  <c r="AD22" i="23" s="1"/>
  <c r="P1510" i="1"/>
  <c r="P1413" i="1"/>
  <c r="P3739" i="1"/>
  <c r="P3609" i="1"/>
  <c r="P3487" i="1"/>
  <c r="P3216" i="1"/>
  <c r="P1765" i="1"/>
  <c r="P1757" i="1"/>
  <c r="P1749" i="1"/>
  <c r="P1658" i="1"/>
  <c r="P1540" i="1"/>
  <c r="P1532" i="1"/>
  <c r="P1519" i="1"/>
  <c r="P1511" i="1"/>
  <c r="P1503" i="1"/>
  <c r="P1490" i="1"/>
  <c r="P1482" i="1"/>
  <c r="P1474" i="1"/>
  <c r="P1466" i="1"/>
  <c r="P1422" i="1"/>
  <c r="P1414" i="1"/>
  <c r="P1761" i="1"/>
  <c r="P1633" i="1"/>
  <c r="P1625" i="1"/>
  <c r="P1596" i="1"/>
  <c r="P1407" i="1"/>
  <c r="P1396" i="1"/>
  <c r="P1388" i="1"/>
  <c r="P1380" i="1"/>
  <c r="P1359" i="1"/>
  <c r="P1351" i="1"/>
  <c r="P1268" i="1"/>
  <c r="P1260" i="1"/>
  <c r="P1146" i="1"/>
  <c r="P1130" i="1"/>
  <c r="P1024" i="1"/>
  <c r="P1016" i="1"/>
  <c r="P1008" i="1"/>
  <c r="P902" i="1"/>
  <c r="P894" i="1"/>
  <c r="P886" i="1"/>
  <c r="P878" i="1"/>
  <c r="P648" i="1"/>
  <c r="Q648" i="1" s="1"/>
  <c r="R22" i="2" s="1"/>
  <c r="X25" i="3" s="1"/>
  <c r="P640" i="1"/>
  <c r="Q640" i="1" s="1"/>
  <c r="R14" i="2" s="1"/>
  <c r="P25" i="3" s="1"/>
  <c r="P632" i="1"/>
  <c r="Q632" i="1" s="1"/>
  <c r="R6" i="2" s="1"/>
  <c r="H25" i="3" s="1"/>
  <c r="P611" i="1"/>
  <c r="Q611" i="1" s="1"/>
  <c r="Q16" i="2" s="1"/>
  <c r="R24" i="3" s="1"/>
  <c r="R22" i="23" s="1"/>
  <c r="P603" i="1"/>
  <c r="Q603" i="1" s="1"/>
  <c r="Q8" i="2" s="1"/>
  <c r="J24" i="3" s="1"/>
  <c r="J22" i="23" s="1"/>
  <c r="P528" i="1"/>
  <c r="Q528" i="1" s="1"/>
  <c r="N26" i="2" s="1"/>
  <c r="AB21" i="3" s="1"/>
  <c r="AB19" i="23" s="1"/>
  <c r="P520" i="1"/>
  <c r="Q520" i="1" s="1"/>
  <c r="N18" i="2" s="1"/>
  <c r="T21" i="3" s="1"/>
  <c r="T19" i="23" s="1"/>
  <c r="P3204" i="1"/>
  <c r="P1755" i="1"/>
  <c r="P1664" i="1"/>
  <c r="P1594" i="1"/>
  <c r="P1590" i="1"/>
  <c r="P1538" i="1"/>
  <c r="P1509" i="1"/>
  <c r="P1480" i="1"/>
  <c r="P1472" i="1"/>
  <c r="P1404" i="1"/>
  <c r="P1389" i="1"/>
  <c r="P1385" i="1"/>
  <c r="P1377" i="1"/>
  <c r="P1374" i="1"/>
  <c r="P1366" i="1"/>
  <c r="P1364" i="1"/>
  <c r="P1361" i="1"/>
  <c r="P1358" i="1"/>
  <c r="P1356" i="1"/>
  <c r="P1353" i="1"/>
  <c r="P1350" i="1"/>
  <c r="P1348" i="1"/>
  <c r="P1345" i="1"/>
  <c r="P1342" i="1"/>
  <c r="P1273" i="1"/>
  <c r="P1262" i="1"/>
  <c r="P1259" i="1"/>
  <c r="P1257" i="1"/>
  <c r="P1251" i="1"/>
  <c r="P1249" i="1"/>
  <c r="P1148" i="1"/>
  <c r="P1145" i="1"/>
  <c r="P1140" i="1"/>
  <c r="P1137" i="1"/>
  <c r="P1135" i="1"/>
  <c r="P1129" i="1"/>
  <c r="P1127" i="1"/>
  <c r="P1023" i="1"/>
  <c r="P1021" i="1"/>
  <c r="P1018" i="1"/>
  <c r="P1015" i="1"/>
  <c r="P1013" i="1"/>
  <c r="P1010" i="1"/>
  <c r="P1005" i="1"/>
  <c r="P1002" i="1"/>
  <c r="P901" i="1"/>
  <c r="P896" i="1"/>
  <c r="P891" i="1"/>
  <c r="P888" i="1"/>
  <c r="P877" i="1"/>
  <c r="P650" i="1"/>
  <c r="Q650" i="1" s="1"/>
  <c r="R24" i="2" s="1"/>
  <c r="Z25" i="3" s="1"/>
  <c r="P647" i="1"/>
  <c r="Q647" i="1" s="1"/>
  <c r="R21" i="2" s="1"/>
  <c r="W25" i="3" s="1"/>
  <c r="P639" i="1"/>
  <c r="Q639" i="1" s="1"/>
  <c r="R13" i="2" s="1"/>
  <c r="O25" i="3" s="1"/>
  <c r="P637" i="1"/>
  <c r="Q637" i="1" s="1"/>
  <c r="R11" i="2" s="1"/>
  <c r="M25" i="3" s="1"/>
  <c r="P631" i="1"/>
  <c r="Q631" i="1" s="1"/>
  <c r="R5" i="2" s="1"/>
  <c r="G25" i="3" s="1"/>
  <c r="P629" i="1"/>
  <c r="Q629" i="1" s="1"/>
  <c r="R3" i="2" s="1"/>
  <c r="E25" i="3" s="1"/>
  <c r="P653" i="1"/>
  <c r="Q653" i="1" s="1"/>
  <c r="R27" i="2" s="1"/>
  <c r="AC25" i="3" s="1"/>
  <c r="P1747" i="1"/>
  <c r="P1546" i="1"/>
  <c r="P1530" i="1"/>
  <c r="P1517" i="1"/>
  <c r="P1501" i="1"/>
  <c r="P1488" i="1"/>
  <c r="P1428" i="1"/>
  <c r="P1420" i="1"/>
  <c r="P1412" i="1"/>
  <c r="P1788" i="1"/>
  <c r="P1631" i="1"/>
  <c r="P1623" i="1"/>
  <c r="P1602" i="1"/>
  <c r="P3284" i="1"/>
  <c r="P3276" i="1"/>
  <c r="P3239" i="1"/>
  <c r="P3233" i="1"/>
  <c r="P1629" i="1"/>
  <c r="P1621" i="1"/>
  <c r="P1398" i="1"/>
  <c r="P1795" i="1"/>
  <c r="P1675" i="1"/>
  <c r="P1659" i="1"/>
  <c r="P1630" i="1"/>
  <c r="P1549" i="1"/>
  <c r="P1593" i="1"/>
  <c r="P1541" i="1"/>
  <c r="P1533" i="1"/>
  <c r="P1512" i="1"/>
  <c r="P1491" i="1"/>
  <c r="P1483" i="1"/>
  <c r="P1467" i="1"/>
  <c r="P1423" i="1"/>
  <c r="P1415" i="1"/>
  <c r="P2235" i="1"/>
  <c r="Q2235" i="1" s="1"/>
  <c r="BQ28" i="2" s="1"/>
  <c r="AD72" i="3" s="1"/>
  <c r="P3741" i="1"/>
  <c r="P3623" i="1"/>
  <c r="P3357" i="1"/>
  <c r="P1667" i="1"/>
  <c r="P1790" i="1"/>
  <c r="P2014" i="1"/>
  <c r="P2214" i="1"/>
  <c r="Q2214" i="1" s="1"/>
  <c r="BQ7" i="2" s="1"/>
  <c r="I72" i="3" s="1"/>
  <c r="P1766" i="1"/>
  <c r="P2172" i="1"/>
  <c r="Q2172" i="1" s="1"/>
  <c r="BO27" i="2" s="1"/>
  <c r="AC70" i="3" s="1"/>
  <c r="P2138" i="1"/>
  <c r="P3611" i="1"/>
  <c r="P3489" i="1"/>
  <c r="P3286" i="1"/>
  <c r="P3278" i="1"/>
  <c r="P3257" i="1"/>
  <c r="P3241" i="1"/>
  <c r="P3218" i="1"/>
  <c r="P3225" i="1"/>
  <c r="P1785" i="1"/>
  <c r="P1777" i="1"/>
  <c r="P1748" i="1"/>
  <c r="P1676" i="1"/>
  <c r="P1673" i="1"/>
  <c r="P1665" i="1"/>
  <c r="P1657" i="1"/>
  <c r="P1628" i="1"/>
  <c r="P1610" i="1"/>
  <c r="P1604" i="1"/>
  <c r="P2390" i="1"/>
  <c r="P2256" i="1"/>
  <c r="P2248" i="1"/>
  <c r="P2103" i="1"/>
  <c r="P3748" i="1"/>
  <c r="P3503" i="1"/>
  <c r="P3495" i="1"/>
  <c r="P3381" i="1"/>
  <c r="P3377" i="1"/>
  <c r="P3361" i="1"/>
  <c r="P3247" i="1"/>
  <c r="P3224" i="1"/>
  <c r="P1797" i="1"/>
  <c r="P1794" i="1"/>
  <c r="P1669" i="1"/>
  <c r="P1661" i="1"/>
  <c r="P1645" i="1"/>
  <c r="P1637" i="1"/>
  <c r="P2227" i="1"/>
  <c r="Q2227" i="1" s="1"/>
  <c r="BQ20" i="2" s="1"/>
  <c r="V72" i="3" s="1"/>
  <c r="P2219" i="1"/>
  <c r="Q2219" i="1" s="1"/>
  <c r="BQ12" i="2" s="1"/>
  <c r="N72" i="3" s="1"/>
  <c r="P1787" i="1"/>
  <c r="P1779" i="1"/>
  <c r="P1758" i="1"/>
  <c r="P1750" i="1"/>
  <c r="P1622" i="1"/>
  <c r="P1601" i="1"/>
  <c r="P3734" i="1"/>
  <c r="P2221" i="1"/>
  <c r="Q2221" i="1" s="1"/>
  <c r="BQ14" i="2" s="1"/>
  <c r="P72" i="3" s="1"/>
  <c r="P1611" i="1"/>
  <c r="P3282" i="1"/>
  <c r="P1609" i="1"/>
  <c r="P1655" i="1"/>
  <c r="P3375" i="1"/>
  <c r="P2230" i="1"/>
  <c r="Q2230" i="1" s="1"/>
  <c r="BQ23" i="2" s="1"/>
  <c r="Y72" i="3" s="1"/>
  <c r="P2220" i="1"/>
  <c r="Q2220" i="1" s="1"/>
  <c r="BQ13" i="2" s="1"/>
  <c r="O72" i="3" s="1"/>
  <c r="P1551" i="1"/>
  <c r="P1498" i="1"/>
  <c r="P1477" i="1"/>
  <c r="P1552" i="1"/>
  <c r="P1607" i="1"/>
  <c r="P1599" i="1"/>
  <c r="P1591" i="1"/>
  <c r="P1547" i="1"/>
  <c r="P1539" i="1"/>
  <c r="P1531" i="1"/>
  <c r="P1518" i="1"/>
  <c r="P1502" i="1"/>
  <c r="P1489" i="1"/>
  <c r="P1481" i="1"/>
  <c r="P1473" i="1"/>
  <c r="P1429" i="1"/>
  <c r="P1421" i="1"/>
  <c r="P3214" i="1"/>
  <c r="P1792" i="1"/>
  <c r="P3360" i="1"/>
  <c r="P2228" i="1"/>
  <c r="Q2228" i="1" s="1"/>
  <c r="BQ21" i="2" s="1"/>
  <c r="W72" i="3" s="1"/>
  <c r="P2217" i="1"/>
  <c r="Q2217" i="1" s="1"/>
  <c r="BQ10" i="2" s="1"/>
  <c r="L72" i="3" s="1"/>
  <c r="P2215" i="1"/>
  <c r="Q2215" i="1" s="1"/>
  <c r="BQ8" i="2" s="1"/>
  <c r="J72" i="3" s="1"/>
  <c r="P1780" i="1"/>
  <c r="P1770" i="1"/>
  <c r="P1746" i="1"/>
  <c r="P1642" i="1"/>
  <c r="P1636" i="1"/>
  <c r="P3737" i="1"/>
  <c r="P3731" i="1"/>
  <c r="P3497" i="1"/>
  <c r="P3378" i="1"/>
  <c r="P3367" i="1"/>
  <c r="P3359" i="1"/>
  <c r="P3226" i="1"/>
  <c r="P2232" i="1"/>
  <c r="Q2232" i="1" s="1"/>
  <c r="BQ25" i="2" s="1"/>
  <c r="AA72" i="3" s="1"/>
  <c r="P1782" i="1"/>
  <c r="P1763" i="1"/>
  <c r="P1674" i="1"/>
  <c r="P1643" i="1"/>
  <c r="P1638" i="1"/>
  <c r="P1597" i="1"/>
  <c r="P1553" i="1"/>
  <c r="P1537" i="1"/>
  <c r="P1487" i="1"/>
  <c r="P1411" i="1"/>
  <c r="P3629" i="1"/>
  <c r="P3280" i="1"/>
  <c r="P2386" i="1"/>
  <c r="P2378" i="1"/>
  <c r="P2370" i="1"/>
  <c r="P2266" i="1"/>
  <c r="P2264" i="1"/>
  <c r="P2250" i="1"/>
  <c r="P2171" i="1"/>
  <c r="Q2171" i="1" s="1"/>
  <c r="BO26" i="2" s="1"/>
  <c r="AB70" i="3" s="1"/>
  <c r="P2163" i="1"/>
  <c r="Q2163" i="1" s="1"/>
  <c r="BO18" i="2" s="1"/>
  <c r="T70" i="3" s="1"/>
  <c r="P2155" i="1"/>
  <c r="Q2155" i="1" s="1"/>
  <c r="BO10" i="2" s="1"/>
  <c r="L70" i="3" s="1"/>
  <c r="P2153" i="1"/>
  <c r="Q2153" i="1" s="1"/>
  <c r="BO8" i="2" s="1"/>
  <c r="J70" i="3" s="1"/>
  <c r="P2140" i="1"/>
  <c r="P2132" i="1"/>
  <c r="P2124" i="1"/>
  <c r="P2111" i="1"/>
  <c r="P2105" i="1"/>
  <c r="P2093" i="1"/>
  <c r="P2049" i="1"/>
  <c r="P2041" i="1"/>
  <c r="P2033" i="1"/>
  <c r="P2025" i="1"/>
  <c r="P2012" i="1"/>
  <c r="P3753" i="1"/>
  <c r="P3750" i="1"/>
  <c r="P3742" i="1"/>
  <c r="P3628" i="1"/>
  <c r="P3622" i="1"/>
  <c r="P3620" i="1"/>
  <c r="P3617" i="1"/>
  <c r="P3612" i="1"/>
  <c r="P3606" i="1"/>
  <c r="P3506" i="1"/>
  <c r="P3498" i="1"/>
  <c r="P3490" i="1"/>
  <c r="P3484" i="1"/>
  <c r="P3482" i="1"/>
  <c r="P3372" i="1"/>
  <c r="P3364" i="1"/>
  <c r="P3287" i="1"/>
  <c r="P3279" i="1"/>
  <c r="P3273" i="1"/>
  <c r="P3271" i="1"/>
  <c r="P3268" i="1"/>
  <c r="P3265" i="1"/>
  <c r="P3258" i="1"/>
  <c r="P3250" i="1"/>
  <c r="P3242" i="1"/>
  <c r="P3234" i="1"/>
  <c r="P3219" i="1"/>
  <c r="P3213" i="1"/>
  <c r="P3208" i="1"/>
  <c r="P3205" i="1"/>
  <c r="P3203" i="1"/>
  <c r="P2229" i="1"/>
  <c r="Q2229" i="1" s="1"/>
  <c r="BQ22" i="2" s="1"/>
  <c r="X72" i="3" s="1"/>
  <c r="P2226" i="1"/>
  <c r="Q2226" i="1" s="1"/>
  <c r="BQ19" i="2" s="1"/>
  <c r="U72" i="3" s="1"/>
  <c r="P2218" i="1"/>
  <c r="Q2218" i="1" s="1"/>
  <c r="BQ11" i="2" s="1"/>
  <c r="M72" i="3" s="1"/>
  <c r="P2213" i="1"/>
  <c r="Q2213" i="1" s="1"/>
  <c r="BQ6" i="2" s="1"/>
  <c r="H72" i="3" s="1"/>
  <c r="P1791" i="1"/>
  <c r="P1789" i="1"/>
  <c r="P1783" i="1"/>
  <c r="P1781" i="1"/>
  <c r="P1768" i="1"/>
  <c r="P1762" i="1"/>
  <c r="P1760" i="1"/>
  <c r="P1754" i="1"/>
  <c r="P1752" i="1"/>
  <c r="P1677" i="1"/>
  <c r="P1671" i="1"/>
  <c r="P1663" i="1"/>
  <c r="P1653" i="1"/>
  <c r="P1640" i="1"/>
  <c r="P1634" i="1"/>
  <c r="P1632" i="1"/>
  <c r="P1626" i="1"/>
  <c r="P1613" i="1"/>
  <c r="P1605" i="1"/>
  <c r="P1550" i="1"/>
  <c r="P1595" i="1"/>
  <c r="P1545" i="1"/>
  <c r="P1543" i="1"/>
  <c r="P1535" i="1"/>
  <c r="P1522" i="1"/>
  <c r="P1514" i="1"/>
  <c r="P1485" i="1"/>
  <c r="P1469" i="1"/>
  <c r="P3607" i="1"/>
  <c r="P3485" i="1"/>
  <c r="P3274" i="1"/>
  <c r="P3253" i="1"/>
  <c r="P3237" i="1"/>
  <c r="P1800" i="1"/>
  <c r="P1646" i="1"/>
  <c r="P1506" i="1"/>
  <c r="P1425" i="1"/>
  <c r="P1624" i="1"/>
  <c r="P1417" i="1"/>
  <c r="P3211" i="1"/>
  <c r="P2234" i="1"/>
  <c r="Q2234" i="1" s="1"/>
  <c r="BQ27" i="2" s="1"/>
  <c r="AC72" i="3" s="1"/>
  <c r="P3743" i="1"/>
  <c r="P3625" i="1"/>
  <c r="P3608" i="1"/>
  <c r="P3379" i="1"/>
  <c r="P3369" i="1"/>
  <c r="P2223" i="1"/>
  <c r="Q2223" i="1" s="1"/>
  <c r="BQ16" i="2" s="1"/>
  <c r="R72" i="3" s="1"/>
  <c r="P2216" i="1"/>
  <c r="Q2216" i="1" s="1"/>
  <c r="BQ9" i="2" s="1"/>
  <c r="K72" i="3" s="1"/>
  <c r="P2212" i="1"/>
  <c r="Q2212" i="1" s="1"/>
  <c r="BQ5" i="2" s="1"/>
  <c r="G72" i="3" s="1"/>
  <c r="P1801" i="1"/>
  <c r="P1798" i="1"/>
  <c r="P1796" i="1"/>
  <c r="P1784" i="1"/>
  <c r="P1764" i="1"/>
  <c r="P1672" i="1"/>
  <c r="P1666" i="1"/>
  <c r="P1644" i="1"/>
  <c r="P1641" i="1"/>
  <c r="P1639" i="1"/>
  <c r="P1635" i="1"/>
  <c r="P1614" i="1"/>
  <c r="P1612" i="1"/>
  <c r="P1608" i="1"/>
  <c r="P1603" i="1"/>
  <c r="P1548" i="1"/>
  <c r="P1529" i="1"/>
  <c r="P1516" i="1"/>
  <c r="P1508" i="1"/>
  <c r="P1500" i="1"/>
  <c r="P1479" i="1"/>
  <c r="P1471" i="1"/>
  <c r="P1427" i="1"/>
  <c r="P1419" i="1"/>
  <c r="P1409" i="1"/>
  <c r="P1368" i="1"/>
  <c r="P3751" i="1"/>
  <c r="P3745" i="1"/>
  <c r="P3501" i="1"/>
  <c r="P3245" i="1"/>
  <c r="P3210" i="1"/>
  <c r="P2231" i="1"/>
  <c r="Q2231" i="1" s="1"/>
  <c r="BQ24" i="2" s="1"/>
  <c r="Z72" i="3" s="1"/>
  <c r="P2210" i="1"/>
  <c r="Q2210" i="1" s="1"/>
  <c r="BQ3" i="2" s="1"/>
  <c r="E72" i="3" s="1"/>
  <c r="P1799" i="1"/>
  <c r="P1793" i="1"/>
  <c r="P1769" i="1"/>
  <c r="P1670" i="1"/>
  <c r="P1615" i="1"/>
  <c r="P1520" i="1"/>
  <c r="P1475" i="1"/>
  <c r="P1151" i="1"/>
  <c r="P2384" i="1"/>
  <c r="P2376" i="1"/>
  <c r="P2368" i="1"/>
  <c r="P2262" i="1"/>
  <c r="P2254" i="1"/>
  <c r="P2246" i="1"/>
  <c r="P2169" i="1"/>
  <c r="Q2169" i="1" s="1"/>
  <c r="BO24" i="2" s="1"/>
  <c r="Z70" i="3" s="1"/>
  <c r="P2159" i="1"/>
  <c r="Q2159" i="1" s="1"/>
  <c r="BO14" i="2" s="1"/>
  <c r="P70" i="3" s="1"/>
  <c r="P2151" i="1"/>
  <c r="Q2151" i="1" s="1"/>
  <c r="BO6" i="2" s="1"/>
  <c r="H70" i="3" s="1"/>
  <c r="P2130" i="1"/>
  <c r="P2122" i="1"/>
  <c r="P2109" i="1"/>
  <c r="P2101" i="1"/>
  <c r="P2091" i="1"/>
  <c r="P2047" i="1"/>
  <c r="P2039" i="1"/>
  <c r="P2031" i="1"/>
  <c r="P2018" i="1"/>
  <c r="P2010" i="1"/>
  <c r="P3746" i="1"/>
  <c r="P3740" i="1"/>
  <c r="P3732" i="1"/>
  <c r="P3626" i="1"/>
  <c r="P3621" i="1"/>
  <c r="P3618" i="1"/>
  <c r="P3610" i="1"/>
  <c r="P3504" i="1"/>
  <c r="P3496" i="1"/>
  <c r="P3488" i="1"/>
  <c r="P3382" i="1"/>
  <c r="P3370" i="1"/>
  <c r="P3365" i="1"/>
  <c r="P3362" i="1"/>
  <c r="P3285" i="1"/>
  <c r="P3277" i="1"/>
  <c r="P3269" i="1"/>
  <c r="P3256" i="1"/>
  <c r="P3251" i="1"/>
  <c r="P3248" i="1"/>
  <c r="P3240" i="1"/>
  <c r="P3217" i="1"/>
  <c r="P3627" i="1"/>
  <c r="P2233" i="1"/>
  <c r="Q2233" i="1" s="1"/>
  <c r="BQ26" i="2" s="1"/>
  <c r="AB72" i="3" s="1"/>
  <c r="P3754" i="1"/>
  <c r="P3749" i="1"/>
  <c r="P3613" i="1"/>
  <c r="P3499" i="1"/>
  <c r="P3491" i="1"/>
  <c r="P3288" i="1"/>
  <c r="P3264" i="1"/>
  <c r="P3243" i="1"/>
  <c r="P3220" i="1"/>
  <c r="P3209" i="1"/>
  <c r="P2380" i="1"/>
  <c r="P2372" i="1"/>
  <c r="P2258" i="1"/>
  <c r="P2242" i="1"/>
  <c r="P2173" i="1"/>
  <c r="Q2173" i="1" s="1"/>
  <c r="BO28" i="2" s="1"/>
  <c r="AD70" i="3" s="1"/>
  <c r="P2165" i="1"/>
  <c r="Q2165" i="1" s="1"/>
  <c r="BO20" i="2" s="1"/>
  <c r="V70" i="3" s="1"/>
  <c r="P2142" i="1"/>
  <c r="P2134" i="1"/>
  <c r="P2126" i="1"/>
  <c r="P2118" i="1"/>
  <c r="P2087" i="1"/>
  <c r="P2043" i="1"/>
  <c r="P2035" i="1"/>
  <c r="P2027" i="1"/>
  <c r="P3736" i="1"/>
  <c r="P3733" i="1"/>
  <c r="P3630" i="1"/>
  <c r="P3619" i="1"/>
  <c r="P3614" i="1"/>
  <c r="P3505" i="1"/>
  <c r="P3500" i="1"/>
  <c r="P3492" i="1"/>
  <c r="P3481" i="1"/>
  <c r="P3366" i="1"/>
  <c r="P3363" i="1"/>
  <c r="P3289" i="1"/>
  <c r="P3281" i="1"/>
  <c r="P3270" i="1"/>
  <c r="P3252" i="1"/>
  <c r="P3246" i="1"/>
  <c r="P3244" i="1"/>
  <c r="P3236" i="1"/>
  <c r="P3221" i="1"/>
  <c r="P3207" i="1"/>
  <c r="P3202" i="1"/>
  <c r="P2515" i="1"/>
  <c r="P2382" i="1"/>
  <c r="P2374" i="1"/>
  <c r="P2366" i="1"/>
  <c r="P2260" i="1"/>
  <c r="P2252" i="1"/>
  <c r="P2167" i="1"/>
  <c r="Q2167" i="1" s="1"/>
  <c r="BO22" i="2" s="1"/>
  <c r="X70" i="3" s="1"/>
  <c r="P2157" i="1"/>
  <c r="Q2157" i="1" s="1"/>
  <c r="BO12" i="2" s="1"/>
  <c r="N70" i="3" s="1"/>
  <c r="P2149" i="1"/>
  <c r="Q2149" i="1" s="1"/>
  <c r="BO4" i="2" s="1"/>
  <c r="F70" i="3" s="1"/>
  <c r="P2136" i="1"/>
  <c r="P2128" i="1"/>
  <c r="P2120" i="1"/>
  <c r="P2107" i="1"/>
  <c r="P2099" i="1"/>
  <c r="P2089" i="1"/>
  <c r="P2045" i="1"/>
  <c r="P3744" i="1"/>
  <c r="P3624" i="1"/>
  <c r="P1895" i="1"/>
  <c r="P3254" i="1"/>
  <c r="P3223" i="1"/>
  <c r="P3104" i="1"/>
  <c r="P2763" i="1"/>
  <c r="P1771" i="1"/>
  <c r="P2037" i="1"/>
  <c r="P2029" i="1"/>
  <c r="P2016" i="1"/>
  <c r="P2008" i="1"/>
  <c r="P3752" i="1"/>
  <c r="P3738" i="1"/>
  <c r="P3730" i="1"/>
  <c r="P3616" i="1"/>
  <c r="P3502" i="1"/>
  <c r="P3494" i="1"/>
  <c r="P3486" i="1"/>
  <c r="P3380" i="1"/>
  <c r="P3376" i="1"/>
  <c r="P3368" i="1"/>
  <c r="P3358" i="1"/>
  <c r="P3283" i="1"/>
  <c r="P3275" i="1"/>
  <c r="P3267" i="1"/>
  <c r="P3238" i="1"/>
  <c r="P3227" i="1"/>
  <c r="P3215" i="1"/>
  <c r="P3228" i="1"/>
  <c r="P1802" i="1"/>
  <c r="P2050" i="1"/>
  <c r="P1864" i="1"/>
  <c r="P2639" i="1"/>
  <c r="P2887" i="1"/>
  <c r="P531" i="1"/>
  <c r="Q531" i="1" s="1"/>
  <c r="N29" i="2" s="1"/>
  <c r="AE21" i="3" s="1"/>
  <c r="AE19" i="23" s="1"/>
  <c r="P2670" i="1"/>
  <c r="P3631" i="1"/>
  <c r="P1430" i="1"/>
  <c r="P2732" i="1"/>
  <c r="P1027" i="1"/>
  <c r="P1647" i="1"/>
  <c r="P3755" i="1"/>
  <c r="P2546" i="1"/>
  <c r="P2143" i="1"/>
  <c r="P1616" i="1"/>
  <c r="P1554" i="1"/>
  <c r="P1399" i="1"/>
  <c r="P2391" i="1"/>
  <c r="P1523" i="1"/>
  <c r="P1275" i="1"/>
  <c r="P3507" i="1"/>
  <c r="P2577" i="1"/>
  <c r="P655" i="1"/>
  <c r="Q655" i="1" s="1"/>
  <c r="R29" i="2" s="1"/>
  <c r="AE25" i="3" s="1"/>
  <c r="P2019" i="1"/>
  <c r="P779" i="1"/>
  <c r="Q779" i="1" s="1"/>
  <c r="V29" i="2" s="1"/>
  <c r="AE29" i="3" s="1"/>
  <c r="P624" i="1"/>
  <c r="Q624" i="1" s="1"/>
  <c r="Q29" i="2" s="1"/>
  <c r="AE24" i="3" s="1"/>
  <c r="AE22" i="23" s="1"/>
  <c r="P3290" i="1"/>
  <c r="P903" i="1"/>
  <c r="P2112" i="1"/>
  <c r="P1492" i="1"/>
  <c r="P407" i="1"/>
  <c r="Q407" i="1" s="1"/>
  <c r="J29" i="2" s="1"/>
  <c r="AE17" i="3" s="1"/>
  <c r="AE15" i="23" s="1"/>
  <c r="P2701" i="1"/>
  <c r="P2267" i="1"/>
  <c r="P2174" i="1"/>
  <c r="Q2174" i="1" s="1"/>
  <c r="BO29" i="2" s="1"/>
  <c r="AE70" i="3" s="1"/>
  <c r="P2236" i="1"/>
  <c r="Q2236" i="1" s="1"/>
  <c r="BQ29" i="2" s="1"/>
  <c r="AE72" i="3" s="1"/>
  <c r="P3259" i="1"/>
  <c r="P2608" i="1"/>
  <c r="P1678" i="1"/>
  <c r="P3383" i="1"/>
  <c r="P2794" i="1"/>
  <c r="J748" i="1"/>
  <c r="J746" i="1"/>
  <c r="J745" i="1"/>
  <c r="J747" i="1"/>
  <c r="J743" i="1"/>
  <c r="J744" i="1"/>
  <c r="J742" i="1"/>
  <c r="J740" i="1"/>
  <c r="J741" i="1"/>
  <c r="J739" i="1"/>
  <c r="J722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283" i="1"/>
  <c r="J281" i="1"/>
  <c r="J280" i="1"/>
  <c r="J279" i="1"/>
  <c r="J282" i="1"/>
  <c r="J278" i="1"/>
  <c r="J277" i="1"/>
  <c r="J275" i="1"/>
  <c r="J276" i="1"/>
  <c r="J274" i="1"/>
  <c r="J257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825" i="1"/>
  <c r="J2823" i="1"/>
  <c r="J2822" i="1"/>
  <c r="J2824" i="1"/>
  <c r="J2820" i="1"/>
  <c r="J2819" i="1"/>
  <c r="J2821" i="1"/>
  <c r="J2817" i="1"/>
  <c r="J2818" i="1"/>
  <c r="J2816" i="1"/>
  <c r="J2799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360" i="1"/>
  <c r="J2359" i="1"/>
  <c r="J2357" i="1"/>
  <c r="J2358" i="1"/>
  <c r="J2356" i="1"/>
  <c r="J2354" i="1"/>
  <c r="J2355" i="1"/>
  <c r="J2352" i="1"/>
  <c r="J2353" i="1"/>
  <c r="J2351" i="1"/>
  <c r="J2334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314" i="1"/>
  <c r="J313" i="1"/>
  <c r="J310" i="1"/>
  <c r="J312" i="1"/>
  <c r="J311" i="1"/>
  <c r="J309" i="1"/>
  <c r="J308" i="1"/>
  <c r="J306" i="1"/>
  <c r="J307" i="1"/>
  <c r="J305" i="1"/>
  <c r="J288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3600" i="1"/>
  <c r="J3598" i="1"/>
  <c r="J3599" i="1"/>
  <c r="J3597" i="1"/>
  <c r="J3594" i="1"/>
  <c r="J3596" i="1"/>
  <c r="J3595" i="1"/>
  <c r="J3592" i="1"/>
  <c r="J3593" i="1"/>
  <c r="J3591" i="1"/>
  <c r="J3574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197" i="1"/>
  <c r="J3195" i="1"/>
  <c r="J3194" i="1"/>
  <c r="J3196" i="1"/>
  <c r="J3193" i="1"/>
  <c r="J3191" i="1"/>
  <c r="J3192" i="1"/>
  <c r="J3189" i="1"/>
  <c r="J3190" i="1"/>
  <c r="J3188" i="1"/>
  <c r="J3171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2856" i="1"/>
  <c r="J2854" i="1"/>
  <c r="J2853" i="1"/>
  <c r="J2855" i="1"/>
  <c r="J2850" i="1"/>
  <c r="J2852" i="1"/>
  <c r="J2851" i="1"/>
  <c r="J2848" i="1"/>
  <c r="J2849" i="1"/>
  <c r="J2847" i="1"/>
  <c r="J2830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1709" i="1"/>
  <c r="J1708" i="1"/>
  <c r="J1707" i="1"/>
  <c r="J1706" i="1"/>
  <c r="J1705" i="1"/>
  <c r="J1704" i="1"/>
  <c r="J1703" i="1"/>
  <c r="J1701" i="1"/>
  <c r="J1702" i="1"/>
  <c r="J1700" i="1"/>
  <c r="J1683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120" i="1"/>
  <c r="J1119" i="1"/>
  <c r="J1118" i="1"/>
  <c r="J1117" i="1"/>
  <c r="J1116" i="1"/>
  <c r="J1115" i="1"/>
  <c r="J1114" i="1"/>
  <c r="J1112" i="1"/>
  <c r="J1113" i="1"/>
  <c r="J1111" i="1"/>
  <c r="J1094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810" i="1"/>
  <c r="J809" i="1"/>
  <c r="J808" i="1"/>
  <c r="J807" i="1"/>
  <c r="J805" i="1"/>
  <c r="J806" i="1"/>
  <c r="J804" i="1"/>
  <c r="J802" i="1"/>
  <c r="J803" i="1"/>
  <c r="J801" i="1"/>
  <c r="J784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500" i="1"/>
  <c r="J499" i="1"/>
  <c r="J498" i="1"/>
  <c r="J497" i="1"/>
  <c r="J496" i="1"/>
  <c r="J495" i="1"/>
  <c r="J494" i="1"/>
  <c r="J492" i="1"/>
  <c r="J493" i="1"/>
  <c r="J491" i="1"/>
  <c r="J474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3846" i="1"/>
  <c r="J3845" i="1"/>
  <c r="J3847" i="1"/>
  <c r="J3843" i="1"/>
  <c r="J3842" i="1"/>
  <c r="J3844" i="1"/>
  <c r="J3840" i="1"/>
  <c r="J3841" i="1"/>
  <c r="J3839" i="1"/>
  <c r="J3822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536" i="1"/>
  <c r="J3537" i="1"/>
  <c r="J3535" i="1"/>
  <c r="J3532" i="1"/>
  <c r="J3534" i="1"/>
  <c r="J3533" i="1"/>
  <c r="J3530" i="1"/>
  <c r="J3531" i="1"/>
  <c r="J3529" i="1"/>
  <c r="J3512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2949" i="1"/>
  <c r="J2948" i="1"/>
  <c r="J2946" i="1"/>
  <c r="J2947" i="1"/>
  <c r="J2943" i="1"/>
  <c r="J2944" i="1"/>
  <c r="J2945" i="1"/>
  <c r="J2941" i="1"/>
  <c r="J2942" i="1"/>
  <c r="J2940" i="1"/>
  <c r="J2923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484" i="1"/>
  <c r="J2482" i="1"/>
  <c r="J2481" i="1"/>
  <c r="J2483" i="1"/>
  <c r="J2479" i="1"/>
  <c r="J2478" i="1"/>
  <c r="J2480" i="1"/>
  <c r="J2476" i="1"/>
  <c r="J2477" i="1"/>
  <c r="J2475" i="1"/>
  <c r="J2474" i="1"/>
  <c r="J2472" i="1"/>
  <c r="J2470" i="1"/>
  <c r="J2468" i="1"/>
  <c r="J2466" i="1"/>
  <c r="J2464" i="1"/>
  <c r="J2462" i="1"/>
  <c r="J2460" i="1"/>
  <c r="J2458" i="1"/>
  <c r="J2473" i="1"/>
  <c r="J2471" i="1"/>
  <c r="J2469" i="1"/>
  <c r="J2467" i="1"/>
  <c r="J2465" i="1"/>
  <c r="J2463" i="1"/>
  <c r="J2461" i="1"/>
  <c r="J2459" i="1"/>
  <c r="J1926" i="1"/>
  <c r="J1923" i="1"/>
  <c r="J1925" i="1"/>
  <c r="J1924" i="1"/>
  <c r="J1920" i="1"/>
  <c r="J1922" i="1"/>
  <c r="J1921" i="1"/>
  <c r="J1918" i="1"/>
  <c r="J1919" i="1"/>
  <c r="J1917" i="1"/>
  <c r="J1900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213" i="1"/>
  <c r="J1211" i="1"/>
  <c r="J1210" i="1"/>
  <c r="J1212" i="1"/>
  <c r="J1208" i="1"/>
  <c r="J1209" i="1"/>
  <c r="J1207" i="1"/>
  <c r="J1205" i="1"/>
  <c r="J1206" i="1"/>
  <c r="J1204" i="1"/>
  <c r="J1187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872" i="1"/>
  <c r="J870" i="1"/>
  <c r="J869" i="1"/>
  <c r="J871" i="1"/>
  <c r="J867" i="1"/>
  <c r="J868" i="1"/>
  <c r="J866" i="1"/>
  <c r="J864" i="1"/>
  <c r="J865" i="1"/>
  <c r="J863" i="1"/>
  <c r="J846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593" i="1"/>
  <c r="J591" i="1"/>
  <c r="J590" i="1"/>
  <c r="J592" i="1"/>
  <c r="J588" i="1"/>
  <c r="J589" i="1"/>
  <c r="J587" i="1"/>
  <c r="J585" i="1"/>
  <c r="J586" i="1"/>
  <c r="J584" i="1"/>
  <c r="J567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159" i="1"/>
  <c r="J157" i="1"/>
  <c r="J155" i="1"/>
  <c r="J154" i="1"/>
  <c r="J133" i="1"/>
  <c r="J152" i="1"/>
  <c r="J150" i="1"/>
  <c r="J149" i="1"/>
  <c r="J148" i="1"/>
  <c r="J147" i="1"/>
  <c r="J146" i="1"/>
  <c r="J145" i="1"/>
  <c r="J144" i="1"/>
  <c r="J143" i="1"/>
  <c r="J142" i="1"/>
  <c r="J141" i="1"/>
  <c r="J139" i="1"/>
  <c r="J138" i="1"/>
  <c r="J137" i="1"/>
  <c r="J136" i="1"/>
  <c r="J135" i="1"/>
  <c r="J134" i="1"/>
  <c r="J3724" i="1"/>
  <c r="J3723" i="1"/>
  <c r="J3721" i="1"/>
  <c r="J3722" i="1"/>
  <c r="J3720" i="1"/>
  <c r="J3718" i="1"/>
  <c r="J3719" i="1"/>
  <c r="J3716" i="1"/>
  <c r="J3717" i="1"/>
  <c r="J3715" i="1"/>
  <c r="J3698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414" i="1"/>
  <c r="J3413" i="1"/>
  <c r="J3412" i="1"/>
  <c r="J3411" i="1"/>
  <c r="J3408" i="1"/>
  <c r="J3409" i="1"/>
  <c r="J3410" i="1"/>
  <c r="J3406" i="1"/>
  <c r="J3407" i="1"/>
  <c r="J3405" i="1"/>
  <c r="J3388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2980" i="1"/>
  <c r="J2979" i="1"/>
  <c r="J2978" i="1"/>
  <c r="J2977" i="1"/>
  <c r="J2976" i="1"/>
  <c r="J2974" i="1"/>
  <c r="J2975" i="1"/>
  <c r="J2972" i="1"/>
  <c r="J2973" i="1"/>
  <c r="J2971" i="1"/>
  <c r="J2954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1244" i="1"/>
  <c r="J1243" i="1"/>
  <c r="J1242" i="1"/>
  <c r="J1241" i="1"/>
  <c r="J1240" i="1"/>
  <c r="J1239" i="1"/>
  <c r="J1238" i="1"/>
  <c r="J1236" i="1"/>
  <c r="J1237" i="1"/>
  <c r="J1235" i="1"/>
  <c r="J1218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934" i="1"/>
  <c r="J933" i="1"/>
  <c r="J932" i="1"/>
  <c r="J931" i="1"/>
  <c r="J929" i="1"/>
  <c r="J930" i="1"/>
  <c r="J928" i="1"/>
  <c r="J926" i="1"/>
  <c r="J927" i="1"/>
  <c r="J925" i="1"/>
  <c r="J908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190" i="1"/>
  <c r="J189" i="1"/>
  <c r="J186" i="1"/>
  <c r="J188" i="1"/>
  <c r="J187" i="1"/>
  <c r="J185" i="1"/>
  <c r="J184" i="1"/>
  <c r="J182" i="1"/>
  <c r="J183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988" i="1"/>
  <c r="J1987" i="1"/>
  <c r="J1986" i="1"/>
  <c r="J1985" i="1"/>
  <c r="J1982" i="1"/>
  <c r="J1984" i="1"/>
  <c r="J1983" i="1"/>
  <c r="J1980" i="1"/>
  <c r="J1981" i="1"/>
  <c r="J1979" i="1"/>
  <c r="J1962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833" i="1"/>
  <c r="J1832" i="1"/>
  <c r="J1831" i="1"/>
  <c r="J1829" i="1"/>
  <c r="J1830" i="1"/>
  <c r="J1828" i="1"/>
  <c r="J1825" i="1"/>
  <c r="J1826" i="1"/>
  <c r="J1824" i="1"/>
  <c r="J1827" i="1"/>
  <c r="J1809" i="1"/>
  <c r="J1813" i="1"/>
  <c r="J1817" i="1"/>
  <c r="J1822" i="1"/>
  <c r="J1820" i="1"/>
  <c r="J1810" i="1"/>
  <c r="J1814" i="1"/>
  <c r="J1818" i="1"/>
  <c r="J1811" i="1"/>
  <c r="J1815" i="1"/>
  <c r="J1819" i="1"/>
  <c r="J1823" i="1"/>
  <c r="J1821" i="1"/>
  <c r="J1808" i="1"/>
  <c r="J1812" i="1"/>
  <c r="J1816" i="1"/>
  <c r="J1807" i="1"/>
  <c r="J3660" i="1"/>
  <c r="J3659" i="1"/>
  <c r="J3661" i="1"/>
  <c r="J3658" i="1"/>
  <c r="J3656" i="1"/>
  <c r="J3657" i="1"/>
  <c r="J3654" i="1"/>
  <c r="J3655" i="1"/>
  <c r="J3653" i="1"/>
  <c r="J3636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321" i="1"/>
  <c r="J3319" i="1"/>
  <c r="J3318" i="1"/>
  <c r="J3320" i="1"/>
  <c r="J3315" i="1"/>
  <c r="J3317" i="1"/>
  <c r="J3316" i="1"/>
  <c r="J3313" i="1"/>
  <c r="J3314" i="1"/>
  <c r="J3312" i="1"/>
  <c r="J3295" i="1"/>
  <c r="J3310" i="1"/>
  <c r="J3308" i="1"/>
  <c r="J3306" i="1"/>
  <c r="J3304" i="1"/>
  <c r="J3302" i="1"/>
  <c r="J3300" i="1"/>
  <c r="J3298" i="1"/>
  <c r="J3296" i="1"/>
  <c r="J3311" i="1"/>
  <c r="J3309" i="1"/>
  <c r="J3307" i="1"/>
  <c r="J3305" i="1"/>
  <c r="J3303" i="1"/>
  <c r="J3301" i="1"/>
  <c r="J3299" i="1"/>
  <c r="J3297" i="1"/>
  <c r="J2918" i="1"/>
  <c r="J2916" i="1"/>
  <c r="J2915" i="1"/>
  <c r="J2917" i="1"/>
  <c r="J2914" i="1"/>
  <c r="J2912" i="1"/>
  <c r="J2913" i="1"/>
  <c r="J2910" i="1"/>
  <c r="J2911" i="1"/>
  <c r="J2909" i="1"/>
  <c r="J2892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453" i="1"/>
  <c r="J2451" i="1"/>
  <c r="J2450" i="1"/>
  <c r="J2452" i="1"/>
  <c r="J2447" i="1"/>
  <c r="J2449" i="1"/>
  <c r="J2448" i="1"/>
  <c r="J2445" i="1"/>
  <c r="J2446" i="1"/>
  <c r="J2444" i="1"/>
  <c r="J2427" i="1"/>
  <c r="J2442" i="1"/>
  <c r="J2440" i="1"/>
  <c r="J2438" i="1"/>
  <c r="J2436" i="1"/>
  <c r="J2435" i="1"/>
  <c r="J2434" i="1"/>
  <c r="J2433" i="1"/>
  <c r="J2432" i="1"/>
  <c r="J2431" i="1"/>
  <c r="J2430" i="1"/>
  <c r="J2429" i="1"/>
  <c r="J2428" i="1"/>
  <c r="J2443" i="1"/>
  <c r="J2441" i="1"/>
  <c r="J2439" i="1"/>
  <c r="J2437" i="1"/>
  <c r="J2081" i="1"/>
  <c r="J2080" i="1"/>
  <c r="J2079" i="1"/>
  <c r="J2078" i="1"/>
  <c r="J2075" i="1"/>
  <c r="J2077" i="1"/>
  <c r="J2076" i="1"/>
  <c r="J2073" i="1"/>
  <c r="J2074" i="1"/>
  <c r="J2072" i="1"/>
  <c r="J2055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1337" i="1"/>
  <c r="J1335" i="1"/>
  <c r="J1334" i="1"/>
  <c r="J1336" i="1"/>
  <c r="J1333" i="1"/>
  <c r="J1332" i="1"/>
  <c r="J1331" i="1"/>
  <c r="J1329" i="1"/>
  <c r="J1330" i="1"/>
  <c r="J1328" i="1"/>
  <c r="J1311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996" i="1"/>
  <c r="J994" i="1"/>
  <c r="J993" i="1"/>
  <c r="J995" i="1"/>
  <c r="J991" i="1"/>
  <c r="J992" i="1"/>
  <c r="J990" i="1"/>
  <c r="J988" i="1"/>
  <c r="J989" i="1"/>
  <c r="J987" i="1"/>
  <c r="J970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717" i="1"/>
  <c r="J715" i="1"/>
  <c r="J714" i="1"/>
  <c r="J716" i="1"/>
  <c r="J713" i="1"/>
  <c r="J712" i="1"/>
  <c r="J711" i="1"/>
  <c r="J709" i="1"/>
  <c r="J710" i="1"/>
  <c r="J708" i="1"/>
  <c r="J691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376" i="1"/>
  <c r="J374" i="1"/>
  <c r="J373" i="1"/>
  <c r="J375" i="1"/>
  <c r="J372" i="1"/>
  <c r="J371" i="1"/>
  <c r="J370" i="1"/>
  <c r="J368" i="1"/>
  <c r="J369" i="1"/>
  <c r="J367" i="1"/>
  <c r="J350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140" i="1"/>
  <c r="J151" i="1"/>
  <c r="J3134" i="1"/>
  <c r="J3130" i="1"/>
  <c r="J3132" i="1"/>
  <c r="J3133" i="1"/>
  <c r="J3131" i="1"/>
  <c r="J3129" i="1"/>
  <c r="J3127" i="1"/>
  <c r="J3128" i="1"/>
  <c r="J3126" i="1"/>
  <c r="J3124" i="1"/>
  <c r="J3122" i="1"/>
  <c r="J3112" i="1"/>
  <c r="J3116" i="1"/>
  <c r="J3120" i="1"/>
  <c r="J3113" i="1"/>
  <c r="J3117" i="1"/>
  <c r="J3121" i="1"/>
  <c r="J3125" i="1"/>
  <c r="J3123" i="1"/>
  <c r="J3110" i="1"/>
  <c r="J3114" i="1"/>
  <c r="J3118" i="1"/>
  <c r="J3109" i="1"/>
  <c r="J3111" i="1"/>
  <c r="J3115" i="1"/>
  <c r="J3119" i="1"/>
  <c r="J2205" i="1"/>
  <c r="J2203" i="1"/>
  <c r="J2202" i="1"/>
  <c r="J2204" i="1"/>
  <c r="J2200" i="1"/>
  <c r="J2199" i="1"/>
  <c r="J2201" i="1"/>
  <c r="J2197" i="1"/>
  <c r="J2198" i="1"/>
  <c r="J2196" i="1"/>
  <c r="J2179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3786" i="1"/>
  <c r="J3783" i="1"/>
  <c r="J3784" i="1"/>
  <c r="J3785" i="1"/>
  <c r="J3781" i="1"/>
  <c r="J3780" i="1"/>
  <c r="J3782" i="1"/>
  <c r="J3778" i="1"/>
  <c r="J3779" i="1"/>
  <c r="J3777" i="1"/>
  <c r="J3760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445" i="1"/>
  <c r="J3443" i="1"/>
  <c r="J3442" i="1"/>
  <c r="J3444" i="1"/>
  <c r="J3441" i="1"/>
  <c r="J3439" i="1"/>
  <c r="J3440" i="1"/>
  <c r="J3437" i="1"/>
  <c r="J3438" i="1"/>
  <c r="J3436" i="1"/>
  <c r="J3419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011" i="1"/>
  <c r="J3009" i="1"/>
  <c r="J3008" i="1"/>
  <c r="J3010" i="1"/>
  <c r="J3005" i="1"/>
  <c r="J3006" i="1"/>
  <c r="J3007" i="1"/>
  <c r="J3003" i="1"/>
  <c r="J3004" i="1"/>
  <c r="J3002" i="1"/>
  <c r="J2985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1306" i="1"/>
  <c r="J1305" i="1"/>
  <c r="J1304" i="1"/>
  <c r="J1303" i="1"/>
  <c r="J1301" i="1"/>
  <c r="J1302" i="1"/>
  <c r="J1300" i="1"/>
  <c r="J1298" i="1"/>
  <c r="J1299" i="1"/>
  <c r="J1297" i="1"/>
  <c r="J1280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965" i="1"/>
  <c r="J964" i="1"/>
  <c r="J963" i="1"/>
  <c r="J962" i="1"/>
  <c r="J961" i="1"/>
  <c r="J960" i="1"/>
  <c r="J959" i="1"/>
  <c r="J957" i="1"/>
  <c r="J958" i="1"/>
  <c r="J956" i="1"/>
  <c r="J939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686" i="1"/>
  <c r="J685" i="1"/>
  <c r="J684" i="1"/>
  <c r="J683" i="1"/>
  <c r="J681" i="1"/>
  <c r="J682" i="1"/>
  <c r="J680" i="1"/>
  <c r="J678" i="1"/>
  <c r="J679" i="1"/>
  <c r="J677" i="1"/>
  <c r="J660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345" i="1"/>
  <c r="J344" i="1"/>
  <c r="J341" i="1"/>
  <c r="J343" i="1"/>
  <c r="J342" i="1"/>
  <c r="J340" i="1"/>
  <c r="J339" i="1"/>
  <c r="J337" i="1"/>
  <c r="J338" i="1"/>
  <c r="J336" i="1"/>
  <c r="J319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252" i="1"/>
  <c r="J250" i="1"/>
  <c r="J249" i="1"/>
  <c r="J248" i="1"/>
  <c r="J251" i="1"/>
  <c r="J247" i="1"/>
  <c r="J246" i="1"/>
  <c r="J244" i="1"/>
  <c r="J245" i="1"/>
  <c r="J243" i="1"/>
  <c r="J226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156" i="1"/>
  <c r="J153" i="1"/>
  <c r="J3691" i="1"/>
  <c r="J3692" i="1"/>
  <c r="J3690" i="1"/>
  <c r="J3687" i="1"/>
  <c r="J3688" i="1"/>
  <c r="J3689" i="1"/>
  <c r="J3685" i="1"/>
  <c r="J3686" i="1"/>
  <c r="J3684" i="1"/>
  <c r="J3667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351" i="1"/>
  <c r="J3350" i="1"/>
  <c r="J3349" i="1"/>
  <c r="J3347" i="1"/>
  <c r="J3346" i="1"/>
  <c r="J3348" i="1"/>
  <c r="J3344" i="1"/>
  <c r="J3345" i="1"/>
  <c r="J3343" i="1"/>
  <c r="J3342" i="1"/>
  <c r="J3340" i="1"/>
  <c r="J3338" i="1"/>
  <c r="J3336" i="1"/>
  <c r="J3334" i="1"/>
  <c r="J3332" i="1"/>
  <c r="J3330" i="1"/>
  <c r="J3328" i="1"/>
  <c r="J3326" i="1"/>
  <c r="J3341" i="1"/>
  <c r="J3339" i="1"/>
  <c r="J3337" i="1"/>
  <c r="J3335" i="1"/>
  <c r="J3333" i="1"/>
  <c r="J3331" i="1"/>
  <c r="J3329" i="1"/>
  <c r="J3327" i="1"/>
  <c r="J3073" i="1"/>
  <c r="J3072" i="1"/>
  <c r="J3071" i="1"/>
  <c r="J3070" i="1"/>
  <c r="J3067" i="1"/>
  <c r="J3068" i="1"/>
  <c r="J3069" i="1"/>
  <c r="J3065" i="1"/>
  <c r="J3066" i="1"/>
  <c r="J3064" i="1"/>
  <c r="J3047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2329" i="1"/>
  <c r="J2327" i="1"/>
  <c r="J2328" i="1"/>
  <c r="J2326" i="1"/>
  <c r="J2323" i="1"/>
  <c r="J2324" i="1"/>
  <c r="J2325" i="1"/>
  <c r="J2321" i="1"/>
  <c r="J2322" i="1"/>
  <c r="J2320" i="1"/>
  <c r="J2303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1461" i="1"/>
  <c r="J1459" i="1"/>
  <c r="J1458" i="1"/>
  <c r="J1460" i="1"/>
  <c r="J1456" i="1"/>
  <c r="J1457" i="1"/>
  <c r="J1455" i="1"/>
  <c r="J1453" i="1"/>
  <c r="J1454" i="1"/>
  <c r="J1452" i="1"/>
  <c r="J1435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058" i="1"/>
  <c r="J1056" i="1"/>
  <c r="J1055" i="1"/>
  <c r="J1057" i="1"/>
  <c r="J1054" i="1"/>
  <c r="J1053" i="1"/>
  <c r="J1052" i="1"/>
  <c r="J1050" i="1"/>
  <c r="J1051" i="1"/>
  <c r="J1049" i="1"/>
  <c r="J1032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438" i="1"/>
  <c r="J436" i="1"/>
  <c r="J435" i="1"/>
  <c r="J437" i="1"/>
  <c r="J433" i="1"/>
  <c r="J434" i="1"/>
  <c r="J432" i="1"/>
  <c r="J430" i="1"/>
  <c r="J431" i="1"/>
  <c r="J429" i="1"/>
  <c r="J412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3569" i="1"/>
  <c r="J3568" i="1"/>
  <c r="J3566" i="1"/>
  <c r="J3567" i="1"/>
  <c r="J3564" i="1"/>
  <c r="J3563" i="1"/>
  <c r="J3565" i="1"/>
  <c r="J3561" i="1"/>
  <c r="J3562" i="1"/>
  <c r="J3560" i="1"/>
  <c r="J3543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166" i="1"/>
  <c r="J3165" i="1"/>
  <c r="J3164" i="1"/>
  <c r="J3163" i="1"/>
  <c r="J3160" i="1"/>
  <c r="J3161" i="1"/>
  <c r="J3162" i="1"/>
  <c r="J3158" i="1"/>
  <c r="J3159" i="1"/>
  <c r="J3157" i="1"/>
  <c r="J3140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1957" i="1"/>
  <c r="J1954" i="1"/>
  <c r="J1955" i="1"/>
  <c r="J1956" i="1"/>
  <c r="J1952" i="1"/>
  <c r="J1951" i="1"/>
  <c r="J1953" i="1"/>
  <c r="J1949" i="1"/>
  <c r="J1950" i="1"/>
  <c r="J1948" i="1"/>
  <c r="J1931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585" i="1"/>
  <c r="J1584" i="1"/>
  <c r="J1583" i="1"/>
  <c r="J1582" i="1"/>
  <c r="J1580" i="1"/>
  <c r="J1581" i="1"/>
  <c r="J1579" i="1"/>
  <c r="J1577" i="1"/>
  <c r="J1578" i="1"/>
  <c r="J1576" i="1"/>
  <c r="J1559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089" i="1"/>
  <c r="J1088" i="1"/>
  <c r="J1087" i="1"/>
  <c r="J1086" i="1"/>
  <c r="J1084" i="1"/>
  <c r="J1085" i="1"/>
  <c r="J1083" i="1"/>
  <c r="J1081" i="1"/>
  <c r="J1082" i="1"/>
  <c r="J1080" i="1"/>
  <c r="J1063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469" i="1"/>
  <c r="J468" i="1"/>
  <c r="J467" i="1"/>
  <c r="J466" i="1"/>
  <c r="J465" i="1"/>
  <c r="J464" i="1"/>
  <c r="J463" i="1"/>
  <c r="J461" i="1"/>
  <c r="J462" i="1"/>
  <c r="J460" i="1"/>
  <c r="J443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2422" i="1"/>
  <c r="J2421" i="1"/>
  <c r="J2420" i="1"/>
  <c r="J2419" i="1"/>
  <c r="J2417" i="1"/>
  <c r="J2416" i="1"/>
  <c r="J2418" i="1"/>
  <c r="J2414" i="1"/>
  <c r="J2415" i="1"/>
  <c r="J2413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412" i="1"/>
  <c r="J2411" i="1"/>
  <c r="J2410" i="1"/>
  <c r="J221" i="1"/>
  <c r="J220" i="1"/>
  <c r="J217" i="1"/>
  <c r="J219" i="1"/>
  <c r="J218" i="1"/>
  <c r="J216" i="1"/>
  <c r="J215" i="1"/>
  <c r="J213" i="1"/>
  <c r="J214" i="1"/>
  <c r="J212" i="1"/>
  <c r="J195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3815" i="1"/>
  <c r="J3814" i="1"/>
  <c r="J3816" i="1"/>
  <c r="J3811" i="1"/>
  <c r="J3813" i="1"/>
  <c r="J3812" i="1"/>
  <c r="J3809" i="1"/>
  <c r="J3810" i="1"/>
  <c r="J3808" i="1"/>
  <c r="J3791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474" i="1"/>
  <c r="J3473" i="1"/>
  <c r="J3475" i="1"/>
  <c r="J3470" i="1"/>
  <c r="J3471" i="1"/>
  <c r="J3472" i="1"/>
  <c r="J3468" i="1"/>
  <c r="J3469" i="1"/>
  <c r="J3467" i="1"/>
  <c r="J3450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042" i="1"/>
  <c r="J3040" i="1"/>
  <c r="J3039" i="1"/>
  <c r="J3041" i="1"/>
  <c r="J3038" i="1"/>
  <c r="J3036" i="1"/>
  <c r="J3037" i="1"/>
  <c r="J3034" i="1"/>
  <c r="J3035" i="1"/>
  <c r="J3033" i="1"/>
  <c r="J3016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2298" i="1"/>
  <c r="J2297" i="1"/>
  <c r="J2296" i="1"/>
  <c r="J2295" i="1"/>
  <c r="J2294" i="1"/>
  <c r="J2292" i="1"/>
  <c r="J2293" i="1"/>
  <c r="J2290" i="1"/>
  <c r="J2291" i="1"/>
  <c r="J2289" i="1"/>
  <c r="J2272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1740" i="1"/>
  <c r="J1738" i="1"/>
  <c r="J1737" i="1"/>
  <c r="J1739" i="1"/>
  <c r="J1735" i="1"/>
  <c r="J1736" i="1"/>
  <c r="J1734" i="1"/>
  <c r="J1732" i="1"/>
  <c r="J1733" i="1"/>
  <c r="J1731" i="1"/>
  <c r="J1714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182" i="1"/>
  <c r="J1180" i="1"/>
  <c r="J1179" i="1"/>
  <c r="J1181" i="1"/>
  <c r="J1178" i="1"/>
  <c r="J1177" i="1"/>
  <c r="J1176" i="1"/>
  <c r="J1174" i="1"/>
  <c r="J1175" i="1"/>
  <c r="J1173" i="1"/>
  <c r="J1156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841" i="1"/>
  <c r="J839" i="1"/>
  <c r="J838" i="1"/>
  <c r="J840" i="1"/>
  <c r="J837" i="1"/>
  <c r="J836" i="1"/>
  <c r="J835" i="1"/>
  <c r="J833" i="1"/>
  <c r="J834" i="1"/>
  <c r="J832" i="1"/>
  <c r="J815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562" i="1"/>
  <c r="J560" i="1"/>
  <c r="J559" i="1"/>
  <c r="J561" i="1"/>
  <c r="J558" i="1"/>
  <c r="J557" i="1"/>
  <c r="J556" i="1"/>
  <c r="J554" i="1"/>
  <c r="J555" i="1"/>
  <c r="J553" i="1"/>
  <c r="J536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P1248" i="1" l="1"/>
  <c r="Q1248" i="1" s="1"/>
  <c r="AK33" i="2" s="1"/>
  <c r="AI44" i="3" s="1"/>
  <c r="P563" i="1"/>
  <c r="Q563" i="1" s="1"/>
  <c r="O30" i="2" s="1"/>
  <c r="AF22" i="3" s="1"/>
  <c r="AF20" i="23" s="1"/>
  <c r="P3821" i="1"/>
  <c r="Q3821" i="1" s="1"/>
  <c r="DP33" i="2" s="1"/>
  <c r="AI115" i="3" s="1"/>
  <c r="P3418" i="1"/>
  <c r="Q3418" i="1" s="1"/>
  <c r="DC33" i="2" s="1"/>
  <c r="AI102" i="3" s="1"/>
  <c r="P3790" i="1"/>
  <c r="Q3790" i="1" s="1"/>
  <c r="DO33" i="2" s="1"/>
  <c r="AI114" i="3" s="1"/>
  <c r="P1310" i="1"/>
  <c r="Q1310" i="1" s="1"/>
  <c r="AM33" i="2" s="1"/>
  <c r="AI46" i="3" s="1"/>
  <c r="P2333" i="1"/>
  <c r="Q2333" i="1" s="1"/>
  <c r="BT33" i="2" s="1"/>
  <c r="AI75" i="3" s="1"/>
  <c r="AK21" i="3"/>
  <c r="AK19" i="23" s="1"/>
  <c r="P1589" i="1"/>
  <c r="Q1589" i="1" s="1"/>
  <c r="AV33" i="2" s="1"/>
  <c r="AI55" i="3" s="1"/>
  <c r="P3170" i="1"/>
  <c r="Q3170" i="1" s="1"/>
  <c r="CU33" i="2" s="1"/>
  <c r="AI94" i="3" s="1"/>
  <c r="P2302" i="1"/>
  <c r="Q2302" i="1" s="1"/>
  <c r="BS33" i="2" s="1"/>
  <c r="AI74" i="3" s="1"/>
  <c r="P814" i="1"/>
  <c r="Q814" i="1" s="1"/>
  <c r="W33" i="2" s="1"/>
  <c r="AI30" i="3" s="1"/>
  <c r="P1744" i="1"/>
  <c r="Q1744" i="1" s="1"/>
  <c r="BA33" i="2" s="1"/>
  <c r="AI60" i="3" s="1"/>
  <c r="P1930" i="1"/>
  <c r="Q1930" i="1" s="1"/>
  <c r="BG33" i="2" s="1"/>
  <c r="AI66" i="3" s="1"/>
  <c r="P3478" i="1"/>
  <c r="Q3478" i="1" s="1"/>
  <c r="DE31" i="2" s="1"/>
  <c r="AG104" i="3" s="1"/>
  <c r="AL17" i="3"/>
  <c r="AL15" i="23" s="1"/>
  <c r="P2984" i="1"/>
  <c r="Q2984" i="1" s="1"/>
  <c r="CO33" i="2" s="1"/>
  <c r="AI88" i="3" s="1"/>
  <c r="P3728" i="1"/>
  <c r="Q3728" i="1" s="1"/>
  <c r="DM33" i="2" s="1"/>
  <c r="AI112" i="3" s="1"/>
  <c r="P3046" i="1"/>
  <c r="Q3046" i="1" s="1"/>
  <c r="CQ33" i="2" s="1"/>
  <c r="AI90" i="3" s="1"/>
  <c r="P2364" i="1"/>
  <c r="Q2364" i="1" s="1"/>
  <c r="BU33" i="2" s="1"/>
  <c r="AI76" i="3" s="1"/>
  <c r="P2426" i="1"/>
  <c r="Q2426" i="1" s="1"/>
  <c r="BW33" i="2" s="1"/>
  <c r="AI78" i="3" s="1"/>
  <c r="AJ24" i="3"/>
  <c r="AJ22" i="23" s="1"/>
  <c r="AK24" i="3"/>
  <c r="AK22" i="23" s="1"/>
  <c r="AL24" i="3"/>
  <c r="AL22" i="23" s="1"/>
  <c r="AL21" i="3"/>
  <c r="AL19" i="23" s="1"/>
  <c r="AJ21" i="3"/>
  <c r="AJ19" i="23" s="1"/>
  <c r="AJ17" i="3"/>
  <c r="AJ15" i="23" s="1"/>
  <c r="AK17" i="3"/>
  <c r="AK15" i="23" s="1"/>
  <c r="P1214" i="1"/>
  <c r="Q1214" i="1" s="1"/>
  <c r="AJ30" i="2" s="1"/>
  <c r="AF43" i="3" s="1"/>
  <c r="P501" i="1"/>
  <c r="Q501" i="1" s="1"/>
  <c r="M30" i="2" s="1"/>
  <c r="AF20" i="3" s="1"/>
  <c r="AF18" i="23" s="1"/>
  <c r="P1183" i="1"/>
  <c r="Q1183" i="1" s="1"/>
  <c r="AI30" i="2" s="1"/>
  <c r="AF42" i="3" s="1"/>
  <c r="P346" i="1"/>
  <c r="Q346" i="1" s="1"/>
  <c r="H30" i="2" s="1"/>
  <c r="AF15" i="3" s="1"/>
  <c r="AF13" i="23" s="1"/>
  <c r="P284" i="1"/>
  <c r="Q284" i="1" s="1"/>
  <c r="F30" i="2" s="1"/>
  <c r="AF13" i="3" s="1"/>
  <c r="AF11" i="23" s="1"/>
  <c r="AL25" i="3"/>
  <c r="AK25" i="3"/>
  <c r="AJ25" i="3"/>
  <c r="AL70" i="3"/>
  <c r="AK70" i="3"/>
  <c r="AJ70" i="3"/>
  <c r="AL29" i="3"/>
  <c r="AK29" i="3"/>
  <c r="AJ29" i="3"/>
  <c r="AL72" i="3"/>
  <c r="AK72" i="3"/>
  <c r="AJ72" i="3"/>
  <c r="P935" i="1"/>
  <c r="Q935" i="1" s="1"/>
  <c r="AA30" i="2" s="1"/>
  <c r="AF34" i="3" s="1"/>
  <c r="P1338" i="1"/>
  <c r="Q1338" i="1" s="1"/>
  <c r="AN30" i="2" s="1"/>
  <c r="AF47" i="3" s="1"/>
  <c r="P2826" i="1"/>
  <c r="Q2826" i="1" s="1"/>
  <c r="CJ30" i="2" s="1"/>
  <c r="P1834" i="1"/>
  <c r="P966" i="1"/>
  <c r="Q966" i="1" s="1"/>
  <c r="AB30" i="2" s="1"/>
  <c r="AF35" i="3" s="1"/>
  <c r="P1121" i="1"/>
  <c r="Q1121" i="1" s="1"/>
  <c r="AG30" i="2" s="1"/>
  <c r="AF40" i="3" s="1"/>
  <c r="P2082" i="1"/>
  <c r="Q2082" i="1" s="1"/>
  <c r="BL30" i="2" s="1"/>
  <c r="AF67" i="3" s="1"/>
  <c r="P1958" i="1"/>
  <c r="Q1958" i="1" s="1"/>
  <c r="BH30" i="2" s="1"/>
  <c r="P255" i="1"/>
  <c r="Q255" i="1" s="1"/>
  <c r="E32" i="2" s="1"/>
  <c r="AH12" i="3" s="1"/>
  <c r="AH10" i="23" s="1"/>
  <c r="P999" i="1"/>
  <c r="Q999" i="1" s="1"/>
  <c r="AC32" i="2" s="1"/>
  <c r="AH36" i="3" s="1"/>
  <c r="P1743" i="1"/>
  <c r="Q1743" i="1" s="1"/>
  <c r="BA32" i="2" s="1"/>
  <c r="AH60" i="3" s="1"/>
  <c r="P2301" i="1"/>
  <c r="Q2301" i="1" s="1"/>
  <c r="BS32" i="2" s="1"/>
  <c r="AH74" i="3" s="1"/>
  <c r="P3045" i="1"/>
  <c r="Q3045" i="1" s="1"/>
  <c r="CQ32" i="2" s="1"/>
  <c r="AH90" i="3" s="1"/>
  <c r="P3820" i="1"/>
  <c r="Q3820" i="1" s="1"/>
  <c r="DP32" i="2" s="1"/>
  <c r="AH115" i="3" s="1"/>
  <c r="P813" i="1"/>
  <c r="Q813" i="1" s="1"/>
  <c r="W32" i="2" s="1"/>
  <c r="AH30" i="3" s="1"/>
  <c r="P2859" i="1"/>
  <c r="Q2859" i="1" s="1"/>
  <c r="CK32" i="2" s="1"/>
  <c r="P3200" i="1"/>
  <c r="Q3200" i="1" s="1"/>
  <c r="CV32" i="2" s="1"/>
  <c r="AH95" i="3" s="1"/>
  <c r="P3603" i="1"/>
  <c r="Q3603" i="1" s="1"/>
  <c r="DI32" i="2" s="1"/>
  <c r="AH108" i="3" s="1"/>
  <c r="P3789" i="1"/>
  <c r="Q3789" i="1" s="1"/>
  <c r="DO32" i="2" s="1"/>
  <c r="AH114" i="3" s="1"/>
  <c r="P1247" i="1"/>
  <c r="Q1247" i="1" s="1"/>
  <c r="AK32" i="2" s="1"/>
  <c r="AH44" i="3" s="1"/>
  <c r="P3169" i="1"/>
  <c r="Q3169" i="1" s="1"/>
  <c r="CU32" i="2" s="1"/>
  <c r="AH94" i="3" s="1"/>
  <c r="P3417" i="1"/>
  <c r="Q3417" i="1" s="1"/>
  <c r="DC32" i="2" s="1"/>
  <c r="AH102" i="3" s="1"/>
  <c r="P3138" i="1"/>
  <c r="P3448" i="1"/>
  <c r="Q3448" i="1" s="1"/>
  <c r="DD32" i="2" s="1"/>
  <c r="AH103" i="3" s="1"/>
  <c r="P2921" i="1"/>
  <c r="Q2921" i="1" s="1"/>
  <c r="CM32" i="2" s="1"/>
  <c r="AH86" i="3" s="1"/>
  <c r="P1309" i="1"/>
  <c r="Q1309" i="1" s="1"/>
  <c r="AM32" i="2" s="1"/>
  <c r="AH46" i="3" s="1"/>
  <c r="P3014" i="1"/>
  <c r="Q3014" i="1" s="1"/>
  <c r="CP32" i="2" s="1"/>
  <c r="AH89" i="3" s="1"/>
  <c r="P1991" i="1"/>
  <c r="Q1991" i="1" s="1"/>
  <c r="BI32" i="2" s="1"/>
  <c r="P2425" i="1"/>
  <c r="Q2425" i="1" s="1"/>
  <c r="BW32" i="2" s="1"/>
  <c r="AH78" i="3" s="1"/>
  <c r="P317" i="1"/>
  <c r="Q317" i="1" s="1"/>
  <c r="G32" i="2" s="1"/>
  <c r="AH14" i="3" s="1"/>
  <c r="AH12" i="23" s="1"/>
  <c r="P1588" i="1"/>
  <c r="Q1588" i="1" s="1"/>
  <c r="AV32" i="2" s="1"/>
  <c r="AH55" i="3" s="1"/>
  <c r="P2363" i="1"/>
  <c r="Q2363" i="1" s="1"/>
  <c r="BU32" i="2" s="1"/>
  <c r="AH76" i="3" s="1"/>
  <c r="P2983" i="1"/>
  <c r="Q2983" i="1" s="1"/>
  <c r="CO32" i="2" s="1"/>
  <c r="AH88" i="3" s="1"/>
  <c r="P1929" i="1"/>
  <c r="Q1929" i="1" s="1"/>
  <c r="BG32" i="2" s="1"/>
  <c r="P3727" i="1"/>
  <c r="Q3727" i="1" s="1"/>
  <c r="DM32" i="2" s="1"/>
  <c r="AH112" i="3" s="1"/>
  <c r="P2487" i="1"/>
  <c r="Q2487" i="1" s="1"/>
  <c r="BY32" i="2" s="1"/>
  <c r="AH80" i="3" s="1"/>
  <c r="P1185" i="1"/>
  <c r="Q1185" i="1" s="1"/>
  <c r="AI32" i="2" s="1"/>
  <c r="AH42" i="3" s="1"/>
  <c r="P1340" i="1"/>
  <c r="Q1340" i="1" s="1"/>
  <c r="AN32" i="2" s="1"/>
  <c r="AH47" i="3" s="1"/>
  <c r="P1836" i="1"/>
  <c r="P2456" i="1"/>
  <c r="Q2456" i="1" s="1"/>
  <c r="BX32" i="2" s="1"/>
  <c r="AH79" i="3" s="1"/>
  <c r="P224" i="1"/>
  <c r="Q224" i="1" s="1"/>
  <c r="D32" i="2" s="1"/>
  <c r="AH11" i="3" s="1"/>
  <c r="AH9" i="23" s="1"/>
  <c r="P348" i="1"/>
  <c r="Q348" i="1" s="1"/>
  <c r="H32" i="2" s="1"/>
  <c r="AH15" i="3" s="1"/>
  <c r="AH13" i="23" s="1"/>
  <c r="P503" i="1"/>
  <c r="Q503" i="1" s="1"/>
  <c r="M32" i="2" s="1"/>
  <c r="AH20" i="3" s="1"/>
  <c r="AH18" i="23" s="1"/>
  <c r="P689" i="1"/>
  <c r="Q689" i="1" s="1"/>
  <c r="S32" i="2" s="1"/>
  <c r="AH26" i="3" s="1"/>
  <c r="P1712" i="1"/>
  <c r="Q1712" i="1" s="1"/>
  <c r="AZ32" i="2" s="1"/>
  <c r="AH59" i="3" s="1"/>
  <c r="P2828" i="1"/>
  <c r="Q2828" i="1" s="1"/>
  <c r="CJ32" i="2" s="1"/>
  <c r="P162" i="1"/>
  <c r="Q162" i="1" s="1"/>
  <c r="B32" i="2" s="1"/>
  <c r="AH9" i="3" s="1"/>
  <c r="AH7" i="23" s="1"/>
  <c r="P286" i="1"/>
  <c r="Q286" i="1" s="1"/>
  <c r="F32" i="2" s="1"/>
  <c r="AH13" i="3" s="1"/>
  <c r="AH11" i="23" s="1"/>
  <c r="P441" i="1"/>
  <c r="Q441" i="1" s="1"/>
  <c r="K32" i="2" s="1"/>
  <c r="AH18" i="3" s="1"/>
  <c r="AH16" i="23" s="1"/>
  <c r="P596" i="1"/>
  <c r="Q596" i="1" s="1"/>
  <c r="P32" i="2" s="1"/>
  <c r="AH23" i="3" s="1"/>
  <c r="AH21" i="23" s="1"/>
  <c r="P751" i="1"/>
  <c r="Q751" i="1" s="1"/>
  <c r="U32" i="2" s="1"/>
  <c r="AH28" i="3" s="1"/>
  <c r="P875" i="1"/>
  <c r="Q875" i="1" s="1"/>
  <c r="Y32" i="2" s="1"/>
  <c r="AH32" i="3" s="1"/>
  <c r="P1061" i="1"/>
  <c r="Q1061" i="1" s="1"/>
  <c r="AE32" i="2" s="1"/>
  <c r="AH38" i="3" s="1"/>
  <c r="P1216" i="1"/>
  <c r="Q1216" i="1" s="1"/>
  <c r="AJ32" i="2" s="1"/>
  <c r="AH43" i="3" s="1"/>
  <c r="P1464" i="1"/>
  <c r="Q1464" i="1" s="1"/>
  <c r="AR32" i="2" s="1"/>
  <c r="AH51" i="3" s="1"/>
  <c r="P2952" i="1"/>
  <c r="Q2952" i="1" s="1"/>
  <c r="CN32" i="2" s="1"/>
  <c r="AH87" i="3" s="1"/>
  <c r="P3076" i="1"/>
  <c r="Q3076" i="1" s="1"/>
  <c r="CR32" i="2" s="1"/>
  <c r="AH91" i="3" s="1"/>
  <c r="P3355" i="1"/>
  <c r="Q3355" i="1" s="1"/>
  <c r="DA32" i="2" s="1"/>
  <c r="AH100" i="3" s="1"/>
  <c r="P3541" i="1"/>
  <c r="Q3541" i="1" s="1"/>
  <c r="DG32" i="2" s="1"/>
  <c r="AH106" i="3" s="1"/>
  <c r="P3696" i="1"/>
  <c r="Q3696" i="1" s="1"/>
  <c r="DL32" i="2" s="1"/>
  <c r="AH111" i="3" s="1"/>
  <c r="P3851" i="1"/>
  <c r="Q3851" i="1" s="1"/>
  <c r="DQ32" i="2" s="1"/>
  <c r="AH116" i="3" s="1"/>
  <c r="P379" i="1"/>
  <c r="Q379" i="1" s="1"/>
  <c r="I32" i="2" s="1"/>
  <c r="AH16" i="3" s="1"/>
  <c r="AH14" i="23" s="1"/>
  <c r="P565" i="1"/>
  <c r="Q565" i="1" s="1"/>
  <c r="O32" i="2" s="1"/>
  <c r="AH22" i="3" s="1"/>
  <c r="AH20" i="23" s="1"/>
  <c r="P720" i="1"/>
  <c r="Q720" i="1" s="1"/>
  <c r="T32" i="2" s="1"/>
  <c r="AH27" i="3" s="1"/>
  <c r="P844" i="1"/>
  <c r="Q844" i="1" s="1"/>
  <c r="X32" i="2" s="1"/>
  <c r="AH31" i="3" s="1"/>
  <c r="P3324" i="1"/>
  <c r="Q3324" i="1" s="1"/>
  <c r="CZ32" i="2" s="1"/>
  <c r="AH99" i="3" s="1"/>
  <c r="P3479" i="1"/>
  <c r="Q3479" i="1" s="1"/>
  <c r="DE32" i="2" s="1"/>
  <c r="AH104" i="3" s="1"/>
  <c r="P3665" i="1"/>
  <c r="Q3665" i="1" s="1"/>
  <c r="DK32" i="2" s="1"/>
  <c r="AH110" i="3" s="1"/>
  <c r="P2084" i="1"/>
  <c r="Q2084" i="1" s="1"/>
  <c r="BL32" i="2" s="1"/>
  <c r="AH67" i="3" s="1"/>
  <c r="P968" i="1"/>
  <c r="Q968" i="1" s="1"/>
  <c r="AB32" i="2" s="1"/>
  <c r="AH35" i="3" s="1"/>
  <c r="P1123" i="1"/>
  <c r="Q1123" i="1" s="1"/>
  <c r="AG32" i="2" s="1"/>
  <c r="AH40" i="3" s="1"/>
  <c r="P193" i="1"/>
  <c r="Q193" i="1" s="1"/>
  <c r="C32" i="2" s="1"/>
  <c r="AH10" i="3" s="1"/>
  <c r="AH8" i="23" s="1"/>
  <c r="P472" i="1"/>
  <c r="Q472" i="1" s="1"/>
  <c r="L32" i="2" s="1"/>
  <c r="AH19" i="3" s="1"/>
  <c r="AH17" i="23" s="1"/>
  <c r="P937" i="1"/>
  <c r="Q937" i="1" s="1"/>
  <c r="AA32" i="2" s="1"/>
  <c r="AH34" i="3" s="1"/>
  <c r="P1092" i="1"/>
  <c r="Q1092" i="1" s="1"/>
  <c r="AF32" i="2" s="1"/>
  <c r="AH39" i="3" s="1"/>
  <c r="P1960" i="1"/>
  <c r="Q1960" i="1" s="1"/>
  <c r="BH32" i="2" s="1"/>
  <c r="P2208" i="1"/>
  <c r="Q2208" i="1" s="1"/>
  <c r="BP32" i="2" s="1"/>
  <c r="AH71" i="3" s="1"/>
  <c r="P3572" i="1"/>
  <c r="Q3572" i="1" s="1"/>
  <c r="DH32" i="2" s="1"/>
  <c r="AH107" i="3" s="1"/>
  <c r="P2332" i="1"/>
  <c r="Q2332" i="1" s="1"/>
  <c r="BT32" i="2" s="1"/>
  <c r="AH75" i="3" s="1"/>
  <c r="P470" i="1"/>
  <c r="Q470" i="1" s="1"/>
  <c r="L30" i="2" s="1"/>
  <c r="AF19" i="3" s="1"/>
  <c r="AF17" i="23" s="1"/>
  <c r="P191" i="1"/>
  <c r="Q191" i="1" s="1"/>
  <c r="C30" i="2" s="1"/>
  <c r="AF10" i="3" s="1"/>
  <c r="AF8" i="23" s="1"/>
  <c r="P3013" i="1"/>
  <c r="Q3013" i="1" s="1"/>
  <c r="CP31" i="2" s="1"/>
  <c r="AG89" i="3" s="1"/>
  <c r="P2330" i="1"/>
  <c r="Q2330" i="1" s="1"/>
  <c r="BT30" i="2" s="1"/>
  <c r="AF75" i="3" s="1"/>
  <c r="P1245" i="1"/>
  <c r="Q1245" i="1" s="1"/>
  <c r="AK30" i="2" s="1"/>
  <c r="AF44" i="3" s="1"/>
  <c r="P3012" i="1"/>
  <c r="Q3012" i="1" s="1"/>
  <c r="CP30" i="2" s="1"/>
  <c r="AF89" i="3" s="1"/>
  <c r="P253" i="1"/>
  <c r="Q253" i="1" s="1"/>
  <c r="E30" i="2" s="1"/>
  <c r="AF12" i="3" s="1"/>
  <c r="AF10" i="23" s="1"/>
  <c r="P2950" i="1"/>
  <c r="Q2950" i="1" s="1"/>
  <c r="CN30" i="2" s="1"/>
  <c r="AF87" i="3" s="1"/>
  <c r="P2454" i="1"/>
  <c r="Q2454" i="1" s="1"/>
  <c r="BX30" i="2" s="1"/>
  <c r="AF79" i="3" s="1"/>
  <c r="P315" i="1"/>
  <c r="Q315" i="1" s="1"/>
  <c r="G30" i="2" s="1"/>
  <c r="AF14" i="3" s="1"/>
  <c r="AF12" i="23" s="1"/>
  <c r="P1462" i="1"/>
  <c r="Q1462" i="1" s="1"/>
  <c r="AR30" i="2" s="1"/>
  <c r="AF51" i="3" s="1"/>
  <c r="P2857" i="1"/>
  <c r="Q2857" i="1" s="1"/>
  <c r="CK30" i="2" s="1"/>
  <c r="P3540" i="1"/>
  <c r="Q3540" i="1" s="1"/>
  <c r="DG31" i="2" s="1"/>
  <c r="AG106" i="3" s="1"/>
  <c r="P2207" i="1"/>
  <c r="Q2207" i="1" s="1"/>
  <c r="BP31" i="2" s="1"/>
  <c r="AG71" i="3" s="1"/>
  <c r="P594" i="1"/>
  <c r="Q594" i="1" s="1"/>
  <c r="P30" i="2" s="1"/>
  <c r="AF23" i="3" s="1"/>
  <c r="AF21" i="23" s="1"/>
  <c r="P3850" i="1"/>
  <c r="Q3850" i="1" s="1"/>
  <c r="DQ31" i="2" s="1"/>
  <c r="AG116" i="3" s="1"/>
  <c r="P1090" i="1"/>
  <c r="Q1090" i="1" s="1"/>
  <c r="AF30" i="2" s="1"/>
  <c r="AF39" i="3" s="1"/>
  <c r="P3819" i="1"/>
  <c r="Q3819" i="1" s="1"/>
  <c r="DP31" i="2" s="1"/>
  <c r="AG115" i="3" s="1"/>
  <c r="P440" i="1"/>
  <c r="Q440" i="1" s="1"/>
  <c r="K31" i="2" s="1"/>
  <c r="AG18" i="3" s="1"/>
  <c r="AG16" i="23" s="1"/>
  <c r="P1711" i="1"/>
  <c r="Q1711" i="1" s="1"/>
  <c r="AZ31" i="2" s="1"/>
  <c r="AG59" i="3" s="1"/>
  <c r="P2981" i="1"/>
  <c r="Q2981" i="1" s="1"/>
  <c r="CO30" i="2" s="1"/>
  <c r="AF88" i="3" s="1"/>
  <c r="P1184" i="1"/>
  <c r="Q1184" i="1" s="1"/>
  <c r="AI31" i="2" s="1"/>
  <c r="AG42" i="3" s="1"/>
  <c r="P1586" i="1"/>
  <c r="Q1586" i="1" s="1"/>
  <c r="AV30" i="2" s="1"/>
  <c r="AF55" i="3" s="1"/>
  <c r="P3136" i="1"/>
  <c r="P1339" i="1"/>
  <c r="Q1339" i="1" s="1"/>
  <c r="AN31" i="2" s="1"/>
  <c r="AG47" i="3" s="1"/>
  <c r="P719" i="1"/>
  <c r="Q719" i="1" s="1"/>
  <c r="T31" i="2" s="1"/>
  <c r="AG27" i="3" s="1"/>
  <c r="P3137" i="1"/>
  <c r="P2919" i="1"/>
  <c r="Q2919" i="1" s="1"/>
  <c r="CM30" i="2" s="1"/>
  <c r="AF86" i="3" s="1"/>
  <c r="P2361" i="1"/>
  <c r="Q2361" i="1" s="1"/>
  <c r="BU30" i="2" s="1"/>
  <c r="AF76" i="3" s="1"/>
  <c r="P471" i="1"/>
  <c r="Q471" i="1" s="1"/>
  <c r="L31" i="2" s="1"/>
  <c r="AG19" i="3" s="1"/>
  <c r="AG17" i="23" s="1"/>
  <c r="P1215" i="1"/>
  <c r="Q1215" i="1" s="1"/>
  <c r="AJ31" i="2" s="1"/>
  <c r="AG43" i="3" s="1"/>
  <c r="P2083" i="1"/>
  <c r="Q2083" i="1" s="1"/>
  <c r="BL31" i="2" s="1"/>
  <c r="AG67" i="3" s="1"/>
  <c r="P2455" i="1"/>
  <c r="Q2455" i="1" s="1"/>
  <c r="BX31" i="2" s="1"/>
  <c r="AG79" i="3" s="1"/>
  <c r="P1742" i="1"/>
  <c r="Q1742" i="1" s="1"/>
  <c r="BA31" i="2" s="1"/>
  <c r="AG60" i="3" s="1"/>
  <c r="P3664" i="1"/>
  <c r="Q3664" i="1" s="1"/>
  <c r="DK31" i="2" s="1"/>
  <c r="AG110" i="3" s="1"/>
  <c r="P1060" i="1"/>
  <c r="Q1060" i="1" s="1"/>
  <c r="AE31" i="2" s="1"/>
  <c r="AG38" i="3" s="1"/>
  <c r="P595" i="1"/>
  <c r="Q595" i="1" s="1"/>
  <c r="P31" i="2" s="1"/>
  <c r="AG23" i="3" s="1"/>
  <c r="AG21" i="23" s="1"/>
  <c r="P874" i="1"/>
  <c r="Q874" i="1" s="1"/>
  <c r="Y31" i="2" s="1"/>
  <c r="AG32" i="3" s="1"/>
  <c r="P3199" i="1"/>
  <c r="Q3199" i="1" s="1"/>
  <c r="CV31" i="2" s="1"/>
  <c r="AG95" i="3" s="1"/>
  <c r="P3726" i="1"/>
  <c r="Q3726" i="1" s="1"/>
  <c r="DM31" i="2" s="1"/>
  <c r="AG112" i="3" s="1"/>
  <c r="P1928" i="1"/>
  <c r="Q1928" i="1" s="1"/>
  <c r="BG31" i="2" s="1"/>
  <c r="P3695" i="1"/>
  <c r="Q3695" i="1" s="1"/>
  <c r="DL31" i="2" s="1"/>
  <c r="AG111" i="3" s="1"/>
  <c r="P378" i="1"/>
  <c r="Q378" i="1" s="1"/>
  <c r="I31" i="2" s="1"/>
  <c r="AG16" i="3" s="1"/>
  <c r="AG14" i="23" s="1"/>
  <c r="P3354" i="1"/>
  <c r="Q3354" i="1" s="1"/>
  <c r="DA31" i="2" s="1"/>
  <c r="AG100" i="3" s="1"/>
  <c r="P2827" i="1"/>
  <c r="Q2827" i="1" s="1"/>
  <c r="CJ31" i="2" s="1"/>
  <c r="P2300" i="1"/>
  <c r="Q2300" i="1" s="1"/>
  <c r="BS31" i="2" s="1"/>
  <c r="AG74" i="3" s="1"/>
  <c r="P3168" i="1"/>
  <c r="Q3168" i="1" s="1"/>
  <c r="CU31" i="2" s="1"/>
  <c r="AG94" i="3" s="1"/>
  <c r="P750" i="1"/>
  <c r="Q750" i="1" s="1"/>
  <c r="U31" i="2" s="1"/>
  <c r="AG28" i="3" s="1"/>
  <c r="P2486" i="1"/>
  <c r="Q2486" i="1" s="1"/>
  <c r="BY31" i="2" s="1"/>
  <c r="AG80" i="3" s="1"/>
  <c r="P285" i="1"/>
  <c r="Q285" i="1" s="1"/>
  <c r="F31" i="2" s="1"/>
  <c r="AG13" i="3" s="1"/>
  <c r="AG11" i="23" s="1"/>
  <c r="P812" i="1"/>
  <c r="Q812" i="1" s="1"/>
  <c r="W31" i="2" s="1"/>
  <c r="AG30" i="3" s="1"/>
  <c r="P2982" i="1"/>
  <c r="Q2982" i="1" s="1"/>
  <c r="CO31" i="2" s="1"/>
  <c r="AG88" i="3" s="1"/>
  <c r="P1308" i="1"/>
  <c r="Q1308" i="1" s="1"/>
  <c r="AM31" i="2" s="1"/>
  <c r="AG46" i="3" s="1"/>
  <c r="P1587" i="1"/>
  <c r="Q1587" i="1" s="1"/>
  <c r="AV31" i="2" s="1"/>
  <c r="AG55" i="3" s="1"/>
  <c r="P2299" i="1"/>
  <c r="Q2299" i="1" s="1"/>
  <c r="BS30" i="2" s="1"/>
  <c r="AF74" i="3" s="1"/>
  <c r="P998" i="1"/>
  <c r="Q998" i="1" s="1"/>
  <c r="AC31" i="2" s="1"/>
  <c r="AG36" i="3" s="1"/>
  <c r="P564" i="1"/>
  <c r="Q564" i="1" s="1"/>
  <c r="O31" i="2" s="1"/>
  <c r="AG22" i="3" s="1"/>
  <c r="AG20" i="23" s="1"/>
  <c r="P967" i="1"/>
  <c r="Q967" i="1" s="1"/>
  <c r="AB31" i="2" s="1"/>
  <c r="AG35" i="3" s="1"/>
  <c r="P3571" i="1"/>
  <c r="Q3571" i="1" s="1"/>
  <c r="DH31" i="2" s="1"/>
  <c r="AG107" i="3" s="1"/>
  <c r="P377" i="1"/>
  <c r="Q377" i="1" s="1"/>
  <c r="I30" i="2" s="1"/>
  <c r="AF16" i="3" s="1"/>
  <c r="AF14" i="23" s="1"/>
  <c r="P1927" i="1"/>
  <c r="Q1927" i="1" s="1"/>
  <c r="BG30" i="2" s="1"/>
  <c r="P811" i="1"/>
  <c r="Q811" i="1" s="1"/>
  <c r="W30" i="2" s="1"/>
  <c r="AF30" i="3" s="1"/>
  <c r="P843" i="1"/>
  <c r="Q843" i="1" s="1"/>
  <c r="X31" i="2" s="1"/>
  <c r="AG31" i="3" s="1"/>
  <c r="P3044" i="1"/>
  <c r="Q3044" i="1" s="1"/>
  <c r="CQ31" i="2" s="1"/>
  <c r="AG90" i="3" s="1"/>
  <c r="P1835" i="1"/>
  <c r="P3788" i="1"/>
  <c r="Q3788" i="1" s="1"/>
  <c r="DO31" i="2" s="1"/>
  <c r="AG114" i="3" s="1"/>
  <c r="P161" i="1"/>
  <c r="Q161" i="1" s="1"/>
  <c r="B31" i="2" s="1"/>
  <c r="AG9" i="3" s="1"/>
  <c r="AG7" i="23" s="1"/>
  <c r="P936" i="1"/>
  <c r="Q936" i="1" s="1"/>
  <c r="AA31" i="2" s="1"/>
  <c r="AG34" i="3" s="1"/>
  <c r="P1959" i="1"/>
  <c r="Q1959" i="1" s="1"/>
  <c r="BH31" i="2" s="1"/>
  <c r="P2951" i="1"/>
  <c r="Q2951" i="1" s="1"/>
  <c r="CN31" i="2" s="1"/>
  <c r="AG87" i="3" s="1"/>
  <c r="P3447" i="1"/>
  <c r="Q3447" i="1" s="1"/>
  <c r="DD31" i="2" s="1"/>
  <c r="AG103" i="3" s="1"/>
  <c r="P1990" i="1"/>
  <c r="Q1990" i="1" s="1"/>
  <c r="BI31" i="2" s="1"/>
  <c r="P1246" i="1"/>
  <c r="Q1246" i="1" s="1"/>
  <c r="AK31" i="2" s="1"/>
  <c r="AG44" i="3" s="1"/>
  <c r="P3416" i="1"/>
  <c r="Q3416" i="1" s="1"/>
  <c r="DC31" i="2" s="1"/>
  <c r="AG102" i="3" s="1"/>
  <c r="P2424" i="1"/>
  <c r="Q2424" i="1" s="1"/>
  <c r="BW31" i="2" s="1"/>
  <c r="AG78" i="3" s="1"/>
  <c r="P192" i="1"/>
  <c r="Q192" i="1" s="1"/>
  <c r="C31" i="2" s="1"/>
  <c r="AG10" i="3" s="1"/>
  <c r="AG8" i="23" s="1"/>
  <c r="P2362" i="1"/>
  <c r="Q2362" i="1" s="1"/>
  <c r="BU31" i="2" s="1"/>
  <c r="AG76" i="3" s="1"/>
  <c r="P316" i="1"/>
  <c r="Q316" i="1" s="1"/>
  <c r="G31" i="2" s="1"/>
  <c r="AG14" i="3" s="1"/>
  <c r="AG12" i="23" s="1"/>
  <c r="P1122" i="1"/>
  <c r="Q1122" i="1" s="1"/>
  <c r="AG31" i="2" s="1"/>
  <c r="AG40" i="3" s="1"/>
  <c r="P1463" i="1"/>
  <c r="Q1463" i="1" s="1"/>
  <c r="AR31" i="2" s="1"/>
  <c r="AG51" i="3" s="1"/>
  <c r="P2331" i="1"/>
  <c r="Q2331" i="1" s="1"/>
  <c r="BT31" i="2" s="1"/>
  <c r="AG75" i="3" s="1"/>
  <c r="P2920" i="1"/>
  <c r="Q2920" i="1" s="1"/>
  <c r="CM31" i="2" s="1"/>
  <c r="AG86" i="3" s="1"/>
  <c r="P997" i="1"/>
  <c r="Q997" i="1" s="1"/>
  <c r="AC30" i="2" s="1"/>
  <c r="AF36" i="3" s="1"/>
  <c r="P1307" i="1"/>
  <c r="Q1307" i="1" s="1"/>
  <c r="AM30" i="2" s="1"/>
  <c r="AF46" i="3" s="1"/>
  <c r="P1989" i="1"/>
  <c r="Q1989" i="1" s="1"/>
  <c r="BI30" i="2" s="1"/>
  <c r="P2206" i="1"/>
  <c r="Q2206" i="1" s="1"/>
  <c r="BP30" i="2" s="1"/>
  <c r="AF71" i="3" s="1"/>
  <c r="P347" i="1"/>
  <c r="Q347" i="1" s="1"/>
  <c r="H31" i="2" s="1"/>
  <c r="AG15" i="3" s="1"/>
  <c r="AG13" i="23" s="1"/>
  <c r="P2858" i="1"/>
  <c r="Q2858" i="1" s="1"/>
  <c r="CK31" i="2" s="1"/>
  <c r="P3602" i="1"/>
  <c r="Q3602" i="1" s="1"/>
  <c r="DI31" i="2" s="1"/>
  <c r="AG108" i="3" s="1"/>
  <c r="P1091" i="1"/>
  <c r="Q1091" i="1" s="1"/>
  <c r="AF31" i="2" s="1"/>
  <c r="AG39" i="3" s="1"/>
  <c r="P688" i="1"/>
  <c r="Q688" i="1" s="1"/>
  <c r="S31" i="2" s="1"/>
  <c r="AG26" i="3" s="1"/>
  <c r="P502" i="1"/>
  <c r="Q502" i="1" s="1"/>
  <c r="M31" i="2" s="1"/>
  <c r="AG20" i="3" s="1"/>
  <c r="AG18" i="23" s="1"/>
  <c r="P223" i="1"/>
  <c r="Q223" i="1" s="1"/>
  <c r="D31" i="2" s="1"/>
  <c r="AG11" i="3" s="1"/>
  <c r="AG9" i="23" s="1"/>
  <c r="P254" i="1"/>
  <c r="Q254" i="1" s="1"/>
  <c r="E31" i="2" s="1"/>
  <c r="AG12" i="3" s="1"/>
  <c r="AG10" i="23" s="1"/>
  <c r="P3323" i="1"/>
  <c r="Q3323" i="1" s="1"/>
  <c r="CZ31" i="2" s="1"/>
  <c r="AG99" i="3" s="1"/>
  <c r="P3075" i="1"/>
  <c r="Q3075" i="1" s="1"/>
  <c r="CR31" i="2" s="1"/>
  <c r="AG91" i="3" s="1"/>
  <c r="P3415" i="1"/>
  <c r="Q3415" i="1" s="1"/>
  <c r="DC30" i="2" s="1"/>
  <c r="AF102" i="3" s="1"/>
  <c r="P3167" i="1"/>
  <c r="Q3167" i="1" s="1"/>
  <c r="CU30" i="2" s="1"/>
  <c r="AF94" i="3" s="1"/>
  <c r="P222" i="1"/>
  <c r="Q222" i="1" s="1"/>
  <c r="D30" i="2" s="1"/>
  <c r="AF11" i="3" s="1"/>
  <c r="AF9" i="23" s="1"/>
  <c r="P3198" i="1"/>
  <c r="Q3198" i="1" s="1"/>
  <c r="CV30" i="2" s="1"/>
  <c r="AF95" i="3" s="1"/>
  <c r="P3074" i="1"/>
  <c r="Q3074" i="1" s="1"/>
  <c r="CR30" i="2" s="1"/>
  <c r="AF91" i="3" s="1"/>
  <c r="P842" i="1"/>
  <c r="Q842" i="1" s="1"/>
  <c r="X30" i="2" s="1"/>
  <c r="AF31" i="3" s="1"/>
  <c r="P1741" i="1"/>
  <c r="Q1741" i="1" s="1"/>
  <c r="BA30" i="2" s="1"/>
  <c r="AF60" i="3" s="1"/>
  <c r="P3725" i="1"/>
  <c r="Q3725" i="1" s="1"/>
  <c r="DM30" i="2" s="1"/>
  <c r="AF112" i="3" s="1"/>
  <c r="P3539" i="1"/>
  <c r="Q3539" i="1" s="1"/>
  <c r="DG30" i="2" s="1"/>
  <c r="AF106" i="3" s="1"/>
  <c r="P3849" i="1"/>
  <c r="Q3849" i="1" s="1"/>
  <c r="DQ30" i="2" s="1"/>
  <c r="AF116" i="3" s="1"/>
  <c r="P873" i="1"/>
  <c r="Q873" i="1" s="1"/>
  <c r="Y30" i="2" s="1"/>
  <c r="AF32" i="3" s="1"/>
  <c r="P718" i="1"/>
  <c r="Q718" i="1" s="1"/>
  <c r="T30" i="2" s="1"/>
  <c r="AF27" i="3" s="1"/>
  <c r="P3570" i="1"/>
  <c r="Q3570" i="1" s="1"/>
  <c r="DH30" i="2" s="1"/>
  <c r="AF107" i="3" s="1"/>
  <c r="P2485" i="1"/>
  <c r="Q2485" i="1" s="1"/>
  <c r="BY30" i="2" s="1"/>
  <c r="AF80" i="3" s="1"/>
  <c r="P439" i="1"/>
  <c r="Q439" i="1" s="1"/>
  <c r="K30" i="2" s="1"/>
  <c r="AF18" i="3" s="1"/>
  <c r="AF16" i="23" s="1"/>
  <c r="P2423" i="1"/>
  <c r="Q2423" i="1" s="1"/>
  <c r="BW30" i="2" s="1"/>
  <c r="AF78" i="3" s="1"/>
  <c r="P3446" i="1"/>
  <c r="Q3446" i="1" s="1"/>
  <c r="DD30" i="2" s="1"/>
  <c r="AF103" i="3" s="1"/>
  <c r="P3322" i="1"/>
  <c r="Q3322" i="1" s="1"/>
  <c r="CZ30" i="2" s="1"/>
  <c r="AF99" i="3" s="1"/>
  <c r="P1059" i="1"/>
  <c r="Q1059" i="1" s="1"/>
  <c r="AE30" i="2" s="1"/>
  <c r="AF38" i="3" s="1"/>
  <c r="P749" i="1"/>
  <c r="Q749" i="1" s="1"/>
  <c r="U30" i="2" s="1"/>
  <c r="AF28" i="3" s="1"/>
  <c r="P687" i="1"/>
  <c r="Q687" i="1" s="1"/>
  <c r="S30" i="2" s="1"/>
  <c r="AF26" i="3" s="1"/>
  <c r="P1710" i="1"/>
  <c r="Q1710" i="1" s="1"/>
  <c r="AZ30" i="2" s="1"/>
  <c r="AF59" i="3" s="1"/>
  <c r="P3787" i="1"/>
  <c r="Q3787" i="1" s="1"/>
  <c r="DO30" i="2" s="1"/>
  <c r="AF114" i="3" s="1"/>
  <c r="P3477" i="1"/>
  <c r="Q3477" i="1" s="1"/>
  <c r="DE30" i="2" s="1"/>
  <c r="AF104" i="3" s="1"/>
  <c r="P3663" i="1"/>
  <c r="Q3663" i="1" s="1"/>
  <c r="DK30" i="2" s="1"/>
  <c r="AF110" i="3" s="1"/>
  <c r="P3818" i="1"/>
  <c r="Q3818" i="1" s="1"/>
  <c r="DP30" i="2" s="1"/>
  <c r="AF115" i="3" s="1"/>
  <c r="P3043" i="1"/>
  <c r="Q3043" i="1" s="1"/>
  <c r="CQ30" i="2" s="1"/>
  <c r="AF90" i="3" s="1"/>
  <c r="P3601" i="1"/>
  <c r="Q3601" i="1" s="1"/>
  <c r="DI30" i="2" s="1"/>
  <c r="AF108" i="3" s="1"/>
  <c r="P160" i="1"/>
  <c r="Q160" i="1" s="1"/>
  <c r="B30" i="2" s="1"/>
  <c r="AF9" i="3" s="1"/>
  <c r="AF7" i="23" s="1"/>
  <c r="P3353" i="1"/>
  <c r="Q3353" i="1" s="1"/>
  <c r="DA30" i="2" s="1"/>
  <c r="AF100" i="3" s="1"/>
  <c r="P3694" i="1"/>
  <c r="Q3694" i="1" s="1"/>
  <c r="DL30" i="2" s="1"/>
  <c r="AF111" i="3" s="1"/>
  <c r="P1950" i="1"/>
  <c r="Q1950" i="1" s="1"/>
  <c r="BH22" i="2" s="1"/>
  <c r="X63" i="3" s="1"/>
  <c r="P2422" i="1"/>
  <c r="Q2422" i="1" s="1"/>
  <c r="BW29" i="2" s="1"/>
  <c r="AE78" i="3" s="1"/>
  <c r="P3693" i="1"/>
  <c r="Q3693" i="1" s="1"/>
  <c r="DL29" i="2" s="1"/>
  <c r="AE111" i="3" s="1"/>
  <c r="P3017" i="1"/>
  <c r="Q3017" i="1" s="1"/>
  <c r="CQ4" i="2" s="1"/>
  <c r="F90" i="3" s="1"/>
  <c r="P3021" i="1"/>
  <c r="Q3021" i="1" s="1"/>
  <c r="CQ8" i="2" s="1"/>
  <c r="J90" i="3" s="1"/>
  <c r="P3029" i="1"/>
  <c r="Q3029" i="1" s="1"/>
  <c r="CQ16" i="2" s="1"/>
  <c r="R90" i="3" s="1"/>
  <c r="P3025" i="1"/>
  <c r="Q3025" i="1" s="1"/>
  <c r="CQ12" i="2" s="1"/>
  <c r="N90" i="3" s="1"/>
  <c r="P3037" i="1"/>
  <c r="Q3037" i="1" s="1"/>
  <c r="CQ24" i="2" s="1"/>
  <c r="Z90" i="3" s="1"/>
  <c r="P3016" i="1"/>
  <c r="Q3016" i="1" s="1"/>
  <c r="CQ3" i="2" s="1"/>
  <c r="E90" i="3" s="1"/>
  <c r="P2399" i="1"/>
  <c r="Q2399" i="1" s="1"/>
  <c r="BW6" i="2" s="1"/>
  <c r="H78" i="3" s="1"/>
  <c r="P2403" i="1"/>
  <c r="Q2403" i="1" s="1"/>
  <c r="BW10" i="2" s="1"/>
  <c r="L78" i="3" s="1"/>
  <c r="P2407" i="1"/>
  <c r="Q2407" i="1" s="1"/>
  <c r="BW14" i="2" s="1"/>
  <c r="P78" i="3" s="1"/>
  <c r="P1087" i="1"/>
  <c r="Q1087" i="1" s="1"/>
  <c r="AF27" i="2" s="1"/>
  <c r="AC39" i="3" s="1"/>
  <c r="P1948" i="1"/>
  <c r="Q1948" i="1" s="1"/>
  <c r="BH20" i="2" s="1"/>
  <c r="V63" i="3" s="1"/>
  <c r="P3538" i="1"/>
  <c r="Q3538" i="1" s="1"/>
  <c r="DG29" i="2" s="1"/>
  <c r="AE106" i="3" s="1"/>
  <c r="P3476" i="1"/>
  <c r="Q3476" i="1" s="1"/>
  <c r="DE29" i="2" s="1"/>
  <c r="AE104" i="3" s="1"/>
  <c r="P3042" i="1"/>
  <c r="Q3042" i="1" s="1"/>
  <c r="CQ29" i="2" s="1"/>
  <c r="AE90" i="3" s="1"/>
  <c r="P2401" i="1"/>
  <c r="Q2401" i="1" s="1"/>
  <c r="BW8" i="2" s="1"/>
  <c r="J78" i="3" s="1"/>
  <c r="P2405" i="1"/>
  <c r="Q2405" i="1" s="1"/>
  <c r="BW12" i="2" s="1"/>
  <c r="N78" i="3" s="1"/>
  <c r="P2418" i="1"/>
  <c r="Q2418" i="1" s="1"/>
  <c r="BW25" i="2" s="1"/>
  <c r="AA78" i="3" s="1"/>
  <c r="P1085" i="1"/>
  <c r="Q1085" i="1" s="1"/>
  <c r="AF25" i="2" s="1"/>
  <c r="AA39" i="3" s="1"/>
  <c r="P197" i="1"/>
  <c r="Q197" i="1" s="1"/>
  <c r="D5" i="2" s="1"/>
  <c r="G11" i="3" s="1"/>
  <c r="G9" i="23" s="1"/>
  <c r="P201" i="1"/>
  <c r="Q201" i="1" s="1"/>
  <c r="D9" i="2" s="1"/>
  <c r="K11" i="3" s="1"/>
  <c r="K9" i="23" s="1"/>
  <c r="P205" i="1"/>
  <c r="Q205" i="1" s="1"/>
  <c r="D13" i="2" s="1"/>
  <c r="O11" i="3" s="1"/>
  <c r="O9" i="23" s="1"/>
  <c r="P209" i="1"/>
  <c r="Q209" i="1" s="1"/>
  <c r="D17" i="2" s="1"/>
  <c r="S11" i="3" s="1"/>
  <c r="S9" i="23" s="1"/>
  <c r="P216" i="1"/>
  <c r="Q216" i="1" s="1"/>
  <c r="D24" i="2" s="1"/>
  <c r="Z11" i="3" s="1"/>
  <c r="Z9" i="23" s="1"/>
  <c r="P220" i="1"/>
  <c r="Q220" i="1" s="1"/>
  <c r="D28" i="2" s="1"/>
  <c r="AD11" i="3" s="1"/>
  <c r="AD9" i="23" s="1"/>
  <c r="P2419" i="1"/>
  <c r="Q2419" i="1" s="1"/>
  <c r="BW26" i="2" s="1"/>
  <c r="AB78" i="3" s="1"/>
  <c r="P1064" i="1"/>
  <c r="Q1064" i="1" s="1"/>
  <c r="AF4" i="2" s="1"/>
  <c r="F39" i="3" s="1"/>
  <c r="P1068" i="1"/>
  <c r="Q1068" i="1" s="1"/>
  <c r="AF8" i="2" s="1"/>
  <c r="J39" i="3" s="1"/>
  <c r="P1072" i="1"/>
  <c r="Q1072" i="1" s="1"/>
  <c r="AF12" i="2" s="1"/>
  <c r="N39" i="3" s="1"/>
  <c r="P1076" i="1"/>
  <c r="Q1076" i="1" s="1"/>
  <c r="AF16" i="2" s="1"/>
  <c r="R39" i="3" s="1"/>
  <c r="P1063" i="1"/>
  <c r="Q1063" i="1" s="1"/>
  <c r="AF3" i="2" s="1"/>
  <c r="E39" i="3" s="1"/>
  <c r="P1563" i="1"/>
  <c r="Q1563" i="1" s="1"/>
  <c r="AV7" i="2" s="1"/>
  <c r="I55" i="3" s="1"/>
  <c r="P1567" i="1"/>
  <c r="Q1567" i="1" s="1"/>
  <c r="AV11" i="2" s="1"/>
  <c r="M55" i="3" s="1"/>
  <c r="P1571" i="1"/>
  <c r="Q1571" i="1" s="1"/>
  <c r="AV15" i="2" s="1"/>
  <c r="Q55" i="3" s="1"/>
  <c r="P1575" i="1"/>
  <c r="Q1575" i="1" s="1"/>
  <c r="AV19" i="2" s="1"/>
  <c r="U55" i="3" s="1"/>
  <c r="P1582" i="1"/>
  <c r="Q1582" i="1" s="1"/>
  <c r="AV26" i="2" s="1"/>
  <c r="AB55" i="3" s="1"/>
  <c r="P1933" i="1"/>
  <c r="Q1933" i="1" s="1"/>
  <c r="BH5" i="2" s="1"/>
  <c r="G63" i="3" s="1"/>
  <c r="P1937" i="1"/>
  <c r="Q1937" i="1" s="1"/>
  <c r="BH9" i="2" s="1"/>
  <c r="K63" i="3" s="1"/>
  <c r="P1941" i="1"/>
  <c r="Q1941" i="1" s="1"/>
  <c r="BH13" i="2" s="1"/>
  <c r="O63" i="3" s="1"/>
  <c r="P1945" i="1"/>
  <c r="Q1945" i="1" s="1"/>
  <c r="BH17" i="2" s="1"/>
  <c r="S63" i="3" s="1"/>
  <c r="P434" i="1"/>
  <c r="Q434" i="1" s="1"/>
  <c r="K25" i="2" s="1"/>
  <c r="AA18" i="3" s="1"/>
  <c r="AA16" i="23" s="1"/>
  <c r="P2322" i="1"/>
  <c r="Q2322" i="1" s="1"/>
  <c r="BT22" i="2" s="1"/>
  <c r="X75" i="3" s="1"/>
  <c r="P3348" i="1"/>
  <c r="Q3348" i="1" s="1"/>
  <c r="DA25" i="2" s="1"/>
  <c r="AA100" i="3" s="1"/>
  <c r="P3686" i="1"/>
  <c r="Q3686" i="1" s="1"/>
  <c r="DL22" i="2" s="1"/>
  <c r="X111" i="3" s="1"/>
  <c r="P3813" i="1"/>
  <c r="Q3813" i="1" s="1"/>
  <c r="DP25" i="2" s="1"/>
  <c r="AA115" i="3" s="1"/>
  <c r="P199" i="1"/>
  <c r="Q199" i="1" s="1"/>
  <c r="D7" i="2" s="1"/>
  <c r="I11" i="3" s="1"/>
  <c r="I9" i="23" s="1"/>
  <c r="P203" i="1"/>
  <c r="Q203" i="1" s="1"/>
  <c r="D11" i="2" s="1"/>
  <c r="M11" i="3" s="1"/>
  <c r="M9" i="23" s="1"/>
  <c r="P207" i="1"/>
  <c r="Q207" i="1" s="1"/>
  <c r="D15" i="2" s="1"/>
  <c r="Q11" i="3" s="1"/>
  <c r="Q9" i="23" s="1"/>
  <c r="P211" i="1"/>
  <c r="Q211" i="1" s="1"/>
  <c r="D19" i="2" s="1"/>
  <c r="U11" i="3" s="1"/>
  <c r="U9" i="23" s="1"/>
  <c r="P213" i="1"/>
  <c r="Q213" i="1" s="1"/>
  <c r="D21" i="2" s="1"/>
  <c r="W11" i="3" s="1"/>
  <c r="W9" i="23" s="1"/>
  <c r="P219" i="1"/>
  <c r="Q219" i="1" s="1"/>
  <c r="D27" i="2" s="1"/>
  <c r="AC11" i="3" s="1"/>
  <c r="AC9" i="23" s="1"/>
  <c r="P2416" i="1"/>
  <c r="Q2416" i="1" s="1"/>
  <c r="BW23" i="2" s="1"/>
  <c r="Y78" i="3" s="1"/>
  <c r="P1082" i="1"/>
  <c r="Q1082" i="1" s="1"/>
  <c r="AF22" i="2" s="1"/>
  <c r="X39" i="3" s="1"/>
  <c r="P1581" i="1"/>
  <c r="Q1581" i="1" s="1"/>
  <c r="AV25" i="2" s="1"/>
  <c r="AA55" i="3" s="1"/>
  <c r="P1584" i="1"/>
  <c r="Q1584" i="1" s="1"/>
  <c r="AV28" i="2" s="1"/>
  <c r="AD55" i="3" s="1"/>
  <c r="P1949" i="1"/>
  <c r="Q1949" i="1" s="1"/>
  <c r="BH21" i="2" s="1"/>
  <c r="W63" i="3" s="1"/>
  <c r="P1956" i="1"/>
  <c r="Q1956" i="1" s="1"/>
  <c r="BH28" i="2" s="1"/>
  <c r="P3567" i="1"/>
  <c r="Q3567" i="1" s="1"/>
  <c r="DH27" i="2" s="1"/>
  <c r="AC107" i="3" s="1"/>
  <c r="P2328" i="1"/>
  <c r="Q2328" i="1" s="1"/>
  <c r="BT28" i="2" s="1"/>
  <c r="AD75" i="3" s="1"/>
  <c r="P2397" i="1"/>
  <c r="Q2397" i="1" s="1"/>
  <c r="BW4" i="2" s="1"/>
  <c r="F78" i="3" s="1"/>
  <c r="P2409" i="1"/>
  <c r="Q2409" i="1" s="1"/>
  <c r="BW16" i="2" s="1"/>
  <c r="R78" i="3" s="1"/>
  <c r="P3569" i="1"/>
  <c r="Q3569" i="1" s="1"/>
  <c r="DH29" i="2" s="1"/>
  <c r="AE107" i="3" s="1"/>
  <c r="P438" i="1"/>
  <c r="Q438" i="1" s="1"/>
  <c r="K29" i="2" s="1"/>
  <c r="AE18" i="3" s="1"/>
  <c r="AE16" i="23" s="1"/>
  <c r="P3814" i="1"/>
  <c r="Q3814" i="1" s="1"/>
  <c r="DP26" i="2" s="1"/>
  <c r="AB115" i="3" s="1"/>
  <c r="P214" i="1"/>
  <c r="Q214" i="1" s="1"/>
  <c r="D22" i="2" s="1"/>
  <c r="X11" i="3" s="1"/>
  <c r="X9" i="23" s="1"/>
  <c r="P1088" i="1"/>
  <c r="Q1088" i="1" s="1"/>
  <c r="AF28" i="2" s="1"/>
  <c r="AD39" i="3" s="1"/>
  <c r="P3562" i="1"/>
  <c r="Q3562" i="1" s="1"/>
  <c r="DH22" i="2" s="1"/>
  <c r="X107" i="3" s="1"/>
  <c r="P1452" i="1"/>
  <c r="Q1452" i="1" s="1"/>
  <c r="AR20" i="2" s="1"/>
  <c r="V51" i="3" s="1"/>
  <c r="P3064" i="1"/>
  <c r="Q3064" i="1" s="1"/>
  <c r="CR20" i="2" s="1"/>
  <c r="V91" i="3" s="1"/>
  <c r="P3671" i="1"/>
  <c r="Q3671" i="1" s="1"/>
  <c r="DL7" i="2" s="1"/>
  <c r="I111" i="3" s="1"/>
  <c r="P3675" i="1"/>
  <c r="Q3675" i="1" s="1"/>
  <c r="DL11" i="2" s="1"/>
  <c r="M111" i="3" s="1"/>
  <c r="P3679" i="1"/>
  <c r="Q3679" i="1" s="1"/>
  <c r="DL15" i="2" s="1"/>
  <c r="Q111" i="3" s="1"/>
  <c r="P3683" i="1"/>
  <c r="Q3683" i="1" s="1"/>
  <c r="DL19" i="2" s="1"/>
  <c r="U111" i="3" s="1"/>
  <c r="P3685" i="1"/>
  <c r="Q3685" i="1" s="1"/>
  <c r="DL21" i="2" s="1"/>
  <c r="W111" i="3" s="1"/>
  <c r="P3690" i="1"/>
  <c r="Q3690" i="1" s="1"/>
  <c r="DL26" i="2" s="1"/>
  <c r="AB111" i="3" s="1"/>
  <c r="P2274" i="1"/>
  <c r="Q2274" i="1" s="1"/>
  <c r="BS5" i="2" s="1"/>
  <c r="G74" i="3" s="1"/>
  <c r="P2278" i="1"/>
  <c r="Q2278" i="1" s="1"/>
  <c r="BS9" i="2" s="1"/>
  <c r="K74" i="3" s="1"/>
  <c r="P2282" i="1"/>
  <c r="Q2282" i="1" s="1"/>
  <c r="BS13" i="2" s="1"/>
  <c r="O74" i="3" s="1"/>
  <c r="P2286" i="1"/>
  <c r="Q2286" i="1" s="1"/>
  <c r="BS17" i="2" s="1"/>
  <c r="S74" i="3" s="1"/>
  <c r="P2289" i="1"/>
  <c r="Q2289" i="1" s="1"/>
  <c r="BS20" i="2" s="1"/>
  <c r="V74" i="3" s="1"/>
  <c r="P3018" i="1"/>
  <c r="Q3018" i="1" s="1"/>
  <c r="CQ5" i="2" s="1"/>
  <c r="G90" i="3" s="1"/>
  <c r="P3022" i="1"/>
  <c r="Q3022" i="1" s="1"/>
  <c r="CQ9" i="2" s="1"/>
  <c r="K90" i="3" s="1"/>
  <c r="P3026" i="1"/>
  <c r="Q3026" i="1" s="1"/>
  <c r="CQ13" i="2" s="1"/>
  <c r="O90" i="3" s="1"/>
  <c r="P3030" i="1"/>
  <c r="Q3030" i="1" s="1"/>
  <c r="CQ17" i="2" s="1"/>
  <c r="S90" i="3" s="1"/>
  <c r="P3033" i="1"/>
  <c r="Q3033" i="1" s="1"/>
  <c r="CQ20" i="2" s="1"/>
  <c r="V90" i="3" s="1"/>
  <c r="P3036" i="1"/>
  <c r="Q3036" i="1" s="1"/>
  <c r="CQ23" i="2" s="1"/>
  <c r="Y90" i="3" s="1"/>
  <c r="P3040" i="1"/>
  <c r="Q3040" i="1" s="1"/>
  <c r="CQ27" i="2" s="1"/>
  <c r="AC90" i="3" s="1"/>
  <c r="P3454" i="1"/>
  <c r="Q3454" i="1" s="1"/>
  <c r="DE7" i="2" s="1"/>
  <c r="I104" i="3" s="1"/>
  <c r="P3458" i="1"/>
  <c r="Q3458" i="1" s="1"/>
  <c r="DE11" i="2" s="1"/>
  <c r="M104" i="3" s="1"/>
  <c r="P3462" i="1"/>
  <c r="Q3462" i="1" s="1"/>
  <c r="DE15" i="2" s="1"/>
  <c r="Q104" i="3" s="1"/>
  <c r="P3466" i="1"/>
  <c r="Q3466" i="1" s="1"/>
  <c r="DE19" i="2" s="1"/>
  <c r="U104" i="3" s="1"/>
  <c r="P3468" i="1"/>
  <c r="Q3468" i="1" s="1"/>
  <c r="DE21" i="2" s="1"/>
  <c r="W104" i="3" s="1"/>
  <c r="P3475" i="1"/>
  <c r="Q3475" i="1" s="1"/>
  <c r="DE28" i="2" s="1"/>
  <c r="AD104" i="3" s="1"/>
  <c r="P3662" i="1"/>
  <c r="Q3662" i="1" s="1"/>
  <c r="DK29" i="2" s="1"/>
  <c r="AE110" i="3" s="1"/>
  <c r="P3795" i="1"/>
  <c r="Q3795" i="1" s="1"/>
  <c r="DP7" i="2" s="1"/>
  <c r="I115" i="3" s="1"/>
  <c r="P3799" i="1"/>
  <c r="Q3799" i="1" s="1"/>
  <c r="DP11" i="2" s="1"/>
  <c r="M115" i="3" s="1"/>
  <c r="P3803" i="1"/>
  <c r="Q3803" i="1" s="1"/>
  <c r="DP15" i="2" s="1"/>
  <c r="Q115" i="3" s="1"/>
  <c r="P3807" i="1"/>
  <c r="Q3807" i="1" s="1"/>
  <c r="DP19" i="2" s="1"/>
  <c r="U115" i="3" s="1"/>
  <c r="P3809" i="1"/>
  <c r="Q3809" i="1" s="1"/>
  <c r="DP21" i="2" s="1"/>
  <c r="W115" i="3" s="1"/>
  <c r="P3816" i="1"/>
  <c r="Q3816" i="1" s="1"/>
  <c r="DP28" i="2" s="1"/>
  <c r="AD115" i="3" s="1"/>
  <c r="P2396" i="1"/>
  <c r="Q2396" i="1" s="1"/>
  <c r="BW3" i="2" s="1"/>
  <c r="E78" i="3" s="1"/>
  <c r="P2400" i="1"/>
  <c r="Q2400" i="1" s="1"/>
  <c r="BW7" i="2" s="1"/>
  <c r="I78" i="3" s="1"/>
  <c r="P2404" i="1"/>
  <c r="Q2404" i="1" s="1"/>
  <c r="BW11" i="2" s="1"/>
  <c r="M78" i="3" s="1"/>
  <c r="P2408" i="1"/>
  <c r="Q2408" i="1" s="1"/>
  <c r="BW15" i="2" s="1"/>
  <c r="Q78" i="3" s="1"/>
  <c r="P2414" i="1"/>
  <c r="Q2414" i="1" s="1"/>
  <c r="BW21" i="2" s="1"/>
  <c r="W78" i="3" s="1"/>
  <c r="P444" i="1"/>
  <c r="Q444" i="1" s="1"/>
  <c r="L4" i="2" s="1"/>
  <c r="F19" i="3" s="1"/>
  <c r="F17" i="23" s="1"/>
  <c r="P448" i="1"/>
  <c r="Q448" i="1" s="1"/>
  <c r="L8" i="2" s="1"/>
  <c r="J19" i="3" s="1"/>
  <c r="J17" i="23" s="1"/>
  <c r="P452" i="1"/>
  <c r="Q452" i="1" s="1"/>
  <c r="L12" i="2" s="1"/>
  <c r="N19" i="3" s="1"/>
  <c r="N17" i="23" s="1"/>
  <c r="P456" i="1"/>
  <c r="Q456" i="1" s="1"/>
  <c r="L16" i="2" s="1"/>
  <c r="R19" i="3" s="1"/>
  <c r="R17" i="23" s="1"/>
  <c r="P443" i="1"/>
  <c r="Q443" i="1" s="1"/>
  <c r="L3" i="2" s="1"/>
  <c r="E19" i="3" s="1"/>
  <c r="E17" i="23" s="1"/>
  <c r="P467" i="1"/>
  <c r="Q467" i="1" s="1"/>
  <c r="L27" i="2" s="1"/>
  <c r="AC19" i="3" s="1"/>
  <c r="AC17" i="23" s="1"/>
  <c r="P3141" i="1"/>
  <c r="Q3141" i="1" s="1"/>
  <c r="CU4" i="2" s="1"/>
  <c r="F94" i="3" s="1"/>
  <c r="P3145" i="1"/>
  <c r="Q3145" i="1" s="1"/>
  <c r="CU8" i="2" s="1"/>
  <c r="J94" i="3" s="1"/>
  <c r="P3149" i="1"/>
  <c r="Q3149" i="1" s="1"/>
  <c r="CU12" i="2" s="1"/>
  <c r="N94" i="3" s="1"/>
  <c r="P3153" i="1"/>
  <c r="Q3153" i="1" s="1"/>
  <c r="CU16" i="2" s="1"/>
  <c r="R94" i="3" s="1"/>
  <c r="P3140" i="1"/>
  <c r="Q3140" i="1" s="1"/>
  <c r="CU3" i="2" s="1"/>
  <c r="E94" i="3" s="1"/>
  <c r="P3164" i="1"/>
  <c r="Q3164" i="1" s="1"/>
  <c r="CU27" i="2" s="1"/>
  <c r="AC94" i="3" s="1"/>
  <c r="P3545" i="1"/>
  <c r="Q3545" i="1" s="1"/>
  <c r="DH5" i="2" s="1"/>
  <c r="G107" i="3" s="1"/>
  <c r="P3549" i="1"/>
  <c r="Q3549" i="1" s="1"/>
  <c r="DH9" i="2" s="1"/>
  <c r="K107" i="3" s="1"/>
  <c r="P3553" i="1"/>
  <c r="Q3553" i="1" s="1"/>
  <c r="DH13" i="2" s="1"/>
  <c r="O107" i="3" s="1"/>
  <c r="P3557" i="1"/>
  <c r="Q3557" i="1" s="1"/>
  <c r="DH17" i="2" s="1"/>
  <c r="S107" i="3" s="1"/>
  <c r="P3560" i="1"/>
  <c r="Q3560" i="1" s="1"/>
  <c r="DH20" i="2" s="1"/>
  <c r="V107" i="3" s="1"/>
  <c r="P414" i="1"/>
  <c r="Q414" i="1" s="1"/>
  <c r="K5" i="2" s="1"/>
  <c r="G18" i="3" s="1"/>
  <c r="G16" i="23" s="1"/>
  <c r="P418" i="1"/>
  <c r="Q418" i="1" s="1"/>
  <c r="K9" i="2" s="1"/>
  <c r="K18" i="3" s="1"/>
  <c r="K16" i="23" s="1"/>
  <c r="P422" i="1"/>
  <c r="Q422" i="1" s="1"/>
  <c r="K13" i="2" s="1"/>
  <c r="O18" i="3" s="1"/>
  <c r="O16" i="23" s="1"/>
  <c r="P426" i="1"/>
  <c r="Q426" i="1" s="1"/>
  <c r="K17" i="2" s="1"/>
  <c r="S18" i="3" s="1"/>
  <c r="S16" i="23" s="1"/>
  <c r="P429" i="1"/>
  <c r="Q429" i="1" s="1"/>
  <c r="K20" i="2" s="1"/>
  <c r="V18" i="3" s="1"/>
  <c r="V16" i="23" s="1"/>
  <c r="P436" i="1"/>
  <c r="Q436" i="1" s="1"/>
  <c r="K27" i="2" s="1"/>
  <c r="AC18" i="3" s="1"/>
  <c r="AC16" i="23" s="1"/>
  <c r="P1035" i="1"/>
  <c r="Q1035" i="1" s="1"/>
  <c r="AE6" i="2" s="1"/>
  <c r="H38" i="3" s="1"/>
  <c r="P1039" i="1"/>
  <c r="Q1039" i="1" s="1"/>
  <c r="AE10" i="2" s="1"/>
  <c r="L38" i="3" s="1"/>
  <c r="P1043" i="1"/>
  <c r="Q1043" i="1" s="1"/>
  <c r="AE14" i="2" s="1"/>
  <c r="P38" i="3" s="1"/>
  <c r="P1047" i="1"/>
  <c r="Q1047" i="1" s="1"/>
  <c r="AE18" i="2" s="1"/>
  <c r="T38" i="3" s="1"/>
  <c r="P1051" i="1"/>
  <c r="Q1051" i="1" s="1"/>
  <c r="AE22" i="2" s="1"/>
  <c r="X38" i="3" s="1"/>
  <c r="P1054" i="1"/>
  <c r="Q1054" i="1" s="1"/>
  <c r="AE25" i="2" s="1"/>
  <c r="AA38" i="3" s="1"/>
  <c r="P1058" i="1"/>
  <c r="Q1058" i="1" s="1"/>
  <c r="AE29" i="2" s="1"/>
  <c r="AE38" i="3" s="1"/>
  <c r="P1436" i="1"/>
  <c r="Q1436" i="1" s="1"/>
  <c r="AR4" i="2" s="1"/>
  <c r="F51" i="3" s="1"/>
  <c r="P1440" i="1"/>
  <c r="Q1440" i="1" s="1"/>
  <c r="AR8" i="2" s="1"/>
  <c r="J51" i="3" s="1"/>
  <c r="P1444" i="1"/>
  <c r="Q1444" i="1" s="1"/>
  <c r="AR12" i="2" s="1"/>
  <c r="N51" i="3" s="1"/>
  <c r="P1448" i="1"/>
  <c r="Q1448" i="1" s="1"/>
  <c r="AR16" i="2" s="1"/>
  <c r="R51" i="3" s="1"/>
  <c r="P1435" i="1"/>
  <c r="Q1435" i="1" s="1"/>
  <c r="AR3" i="2" s="1"/>
  <c r="E51" i="3" s="1"/>
  <c r="P1455" i="1"/>
  <c r="Q1455" i="1" s="1"/>
  <c r="AR23" i="2" s="1"/>
  <c r="Y51" i="3" s="1"/>
  <c r="P1458" i="1"/>
  <c r="Q1458" i="1" s="1"/>
  <c r="AR26" i="2" s="1"/>
  <c r="AB51" i="3" s="1"/>
  <c r="P2306" i="1"/>
  <c r="Q2306" i="1" s="1"/>
  <c r="BT6" i="2" s="1"/>
  <c r="H75" i="3" s="1"/>
  <c r="P2310" i="1"/>
  <c r="Q2310" i="1" s="1"/>
  <c r="BT10" i="2" s="1"/>
  <c r="L75" i="3" s="1"/>
  <c r="P2314" i="1"/>
  <c r="Q2314" i="1" s="1"/>
  <c r="BT14" i="2" s="1"/>
  <c r="P75" i="3" s="1"/>
  <c r="P2318" i="1"/>
  <c r="Q2318" i="1" s="1"/>
  <c r="BT18" i="2" s="1"/>
  <c r="T75" i="3" s="1"/>
  <c r="P2329" i="1"/>
  <c r="Q2329" i="1" s="1"/>
  <c r="BT29" i="2" s="1"/>
  <c r="AE75" i="3" s="1"/>
  <c r="P3048" i="1"/>
  <c r="Q3048" i="1" s="1"/>
  <c r="CR4" i="2" s="1"/>
  <c r="F91" i="3" s="1"/>
  <c r="P3052" i="1"/>
  <c r="Q3052" i="1" s="1"/>
  <c r="CR8" i="2" s="1"/>
  <c r="J91" i="3" s="1"/>
  <c r="P3056" i="1"/>
  <c r="Q3056" i="1" s="1"/>
  <c r="CR12" i="2" s="1"/>
  <c r="N91" i="3" s="1"/>
  <c r="P3060" i="1"/>
  <c r="Q3060" i="1" s="1"/>
  <c r="CR16" i="2" s="1"/>
  <c r="R91" i="3" s="1"/>
  <c r="P3047" i="1"/>
  <c r="Q3047" i="1" s="1"/>
  <c r="CR3" i="2" s="1"/>
  <c r="E91" i="3" s="1"/>
  <c r="P3071" i="1"/>
  <c r="Q3071" i="1" s="1"/>
  <c r="CR27" i="2" s="1"/>
  <c r="AC91" i="3" s="1"/>
  <c r="P3350" i="1"/>
  <c r="Q3350" i="1" s="1"/>
  <c r="DA27" i="2" s="1"/>
  <c r="AC100" i="3" s="1"/>
  <c r="P3135" i="1"/>
  <c r="P3039" i="1"/>
  <c r="Q3039" i="1" s="1"/>
  <c r="CQ26" i="2" s="1"/>
  <c r="AB90" i="3" s="1"/>
  <c r="P3457" i="1"/>
  <c r="Q3457" i="1" s="1"/>
  <c r="DE10" i="2" s="1"/>
  <c r="L104" i="3" s="1"/>
  <c r="P3465" i="1"/>
  <c r="Q3465" i="1" s="1"/>
  <c r="DE18" i="2" s="1"/>
  <c r="T104" i="3" s="1"/>
  <c r="P3470" i="1"/>
  <c r="Q3470" i="1" s="1"/>
  <c r="DE23" i="2" s="1"/>
  <c r="Y104" i="3" s="1"/>
  <c r="P466" i="1"/>
  <c r="Q466" i="1" s="1"/>
  <c r="L26" i="2" s="1"/>
  <c r="AB19" i="3" s="1"/>
  <c r="AB17" i="23" s="1"/>
  <c r="P3163" i="1"/>
  <c r="Q3163" i="1" s="1"/>
  <c r="CU26" i="2" s="1"/>
  <c r="AB94" i="3" s="1"/>
  <c r="P413" i="1"/>
  <c r="Q413" i="1" s="1"/>
  <c r="K4" i="2" s="1"/>
  <c r="F18" i="3" s="1"/>
  <c r="F16" i="23" s="1"/>
  <c r="P417" i="1"/>
  <c r="Q417" i="1" s="1"/>
  <c r="K8" i="2" s="1"/>
  <c r="J18" i="3" s="1"/>
  <c r="J16" i="23" s="1"/>
  <c r="P421" i="1"/>
  <c r="Q421" i="1" s="1"/>
  <c r="K12" i="2" s="1"/>
  <c r="N18" i="3" s="1"/>
  <c r="N16" i="23" s="1"/>
  <c r="P425" i="1"/>
  <c r="Q425" i="1" s="1"/>
  <c r="K16" i="2" s="1"/>
  <c r="R18" i="3" s="1"/>
  <c r="R16" i="23" s="1"/>
  <c r="P412" i="1"/>
  <c r="Q412" i="1" s="1"/>
  <c r="K3" i="2" s="1"/>
  <c r="E18" i="3" s="1"/>
  <c r="E16" i="23" s="1"/>
  <c r="P432" i="1"/>
  <c r="Q432" i="1" s="1"/>
  <c r="K23" i="2" s="1"/>
  <c r="Y18" i="3" s="1"/>
  <c r="Y16" i="23" s="1"/>
  <c r="P435" i="1"/>
  <c r="Q435" i="1" s="1"/>
  <c r="K26" i="2" s="1"/>
  <c r="AB18" i="3" s="1"/>
  <c r="AB16" i="23" s="1"/>
  <c r="P1034" i="1"/>
  <c r="Q1034" i="1" s="1"/>
  <c r="AE5" i="2" s="1"/>
  <c r="G38" i="3" s="1"/>
  <c r="P1038" i="1"/>
  <c r="Q1038" i="1" s="1"/>
  <c r="AE9" i="2" s="1"/>
  <c r="K38" i="3" s="1"/>
  <c r="P1042" i="1"/>
  <c r="Q1042" i="1" s="1"/>
  <c r="AE13" i="2" s="1"/>
  <c r="O38" i="3" s="1"/>
  <c r="P1046" i="1"/>
  <c r="Q1046" i="1" s="1"/>
  <c r="AE17" i="2" s="1"/>
  <c r="S38" i="3" s="1"/>
  <c r="P1049" i="1"/>
  <c r="Q1049" i="1" s="1"/>
  <c r="AE20" i="2" s="1"/>
  <c r="V38" i="3" s="1"/>
  <c r="P1053" i="1"/>
  <c r="Q1053" i="1" s="1"/>
  <c r="AE24" i="2" s="1"/>
  <c r="Z38" i="3" s="1"/>
  <c r="P1439" i="1"/>
  <c r="Q1439" i="1" s="1"/>
  <c r="AR7" i="2" s="1"/>
  <c r="I51" i="3" s="1"/>
  <c r="P1443" i="1"/>
  <c r="Q1443" i="1" s="1"/>
  <c r="AR11" i="2" s="1"/>
  <c r="M51" i="3" s="1"/>
  <c r="P1447" i="1"/>
  <c r="Q1447" i="1" s="1"/>
  <c r="AR15" i="2" s="1"/>
  <c r="Q51" i="3" s="1"/>
  <c r="P1451" i="1"/>
  <c r="Q1451" i="1" s="1"/>
  <c r="AR19" i="2" s="1"/>
  <c r="U51" i="3" s="1"/>
  <c r="P3070" i="1"/>
  <c r="Q3070" i="1" s="1"/>
  <c r="CR26" i="2" s="1"/>
  <c r="AB91" i="3" s="1"/>
  <c r="P3344" i="1"/>
  <c r="Q3344" i="1" s="1"/>
  <c r="DA21" i="2" s="1"/>
  <c r="W100" i="3" s="1"/>
  <c r="P158" i="1"/>
  <c r="Q158" i="1" s="1"/>
  <c r="B28" i="2" s="1"/>
  <c r="AD9" i="3" s="1"/>
  <c r="AD7" i="23" s="1"/>
  <c r="P3352" i="1"/>
  <c r="Q3352" i="1" s="1"/>
  <c r="DA29" i="2" s="1"/>
  <c r="AE100" i="3" s="1"/>
  <c r="P2293" i="1"/>
  <c r="Q2293" i="1" s="1"/>
  <c r="BS24" i="2" s="1"/>
  <c r="Z74" i="3" s="1"/>
  <c r="P2296" i="1"/>
  <c r="Q2296" i="1" s="1"/>
  <c r="BS27" i="2" s="1"/>
  <c r="AC74" i="3" s="1"/>
  <c r="P3453" i="1"/>
  <c r="Q3453" i="1" s="1"/>
  <c r="DE6" i="2" s="1"/>
  <c r="H104" i="3" s="1"/>
  <c r="P3461" i="1"/>
  <c r="Q3461" i="1" s="1"/>
  <c r="DE14" i="2" s="1"/>
  <c r="P104" i="3" s="1"/>
  <c r="P3469" i="1"/>
  <c r="Q3469" i="1" s="1"/>
  <c r="DE22" i="2" s="1"/>
  <c r="X104" i="3" s="1"/>
  <c r="P3794" i="1"/>
  <c r="Q3794" i="1" s="1"/>
  <c r="DP6" i="2" s="1"/>
  <c r="H115" i="3" s="1"/>
  <c r="P3798" i="1"/>
  <c r="Q3798" i="1" s="1"/>
  <c r="DP10" i="2" s="1"/>
  <c r="L115" i="3" s="1"/>
  <c r="P3802" i="1"/>
  <c r="Q3802" i="1" s="1"/>
  <c r="DP14" i="2" s="1"/>
  <c r="P115" i="3" s="1"/>
  <c r="P3806" i="1"/>
  <c r="Q3806" i="1" s="1"/>
  <c r="DP18" i="2" s="1"/>
  <c r="T115" i="3" s="1"/>
  <c r="P3810" i="1"/>
  <c r="Q3810" i="1" s="1"/>
  <c r="DP22" i="2" s="1"/>
  <c r="X115" i="3" s="1"/>
  <c r="P3811" i="1"/>
  <c r="Q3811" i="1" s="1"/>
  <c r="DP23" i="2" s="1"/>
  <c r="Y115" i="3" s="1"/>
  <c r="P215" i="1"/>
  <c r="Q215" i="1" s="1"/>
  <c r="D23" i="2" s="1"/>
  <c r="Y11" i="3" s="1"/>
  <c r="Y9" i="23" s="1"/>
  <c r="P217" i="1"/>
  <c r="Q217" i="1" s="1"/>
  <c r="D25" i="2" s="1"/>
  <c r="AA11" i="3" s="1"/>
  <c r="AA9" i="23" s="1"/>
  <c r="P2412" i="1"/>
  <c r="Q2412" i="1" s="1"/>
  <c r="BW19" i="2" s="1"/>
  <c r="U78" i="3" s="1"/>
  <c r="P2415" i="1"/>
  <c r="Q2415" i="1" s="1"/>
  <c r="BW22" i="2" s="1"/>
  <c r="X78" i="3" s="1"/>
  <c r="P2417" i="1"/>
  <c r="Q2417" i="1" s="1"/>
  <c r="BW24" i="2" s="1"/>
  <c r="Z78" i="3" s="1"/>
  <c r="P1086" i="1"/>
  <c r="Q1086" i="1" s="1"/>
  <c r="AF26" i="2" s="1"/>
  <c r="AB39" i="3" s="1"/>
  <c r="P1953" i="1"/>
  <c r="Q1953" i="1" s="1"/>
  <c r="BH25" i="2" s="1"/>
  <c r="AA63" i="3" s="1"/>
  <c r="P3158" i="1"/>
  <c r="Q3158" i="1" s="1"/>
  <c r="CU21" i="2" s="1"/>
  <c r="W94" i="3" s="1"/>
  <c r="P3565" i="1"/>
  <c r="Q3565" i="1" s="1"/>
  <c r="DH25" i="2" s="1"/>
  <c r="AA107" i="3" s="1"/>
  <c r="P1056" i="1"/>
  <c r="Q1056" i="1" s="1"/>
  <c r="AE27" i="2" s="1"/>
  <c r="AC38" i="3" s="1"/>
  <c r="P1453" i="1"/>
  <c r="Q1453" i="1" s="1"/>
  <c r="AR21" i="2" s="1"/>
  <c r="W51" i="3" s="1"/>
  <c r="P1460" i="1"/>
  <c r="Q1460" i="1" s="1"/>
  <c r="AR28" i="2" s="1"/>
  <c r="AD51" i="3" s="1"/>
  <c r="P2320" i="1"/>
  <c r="Q2320" i="1" s="1"/>
  <c r="BT20" i="2" s="1"/>
  <c r="V75" i="3" s="1"/>
  <c r="P3065" i="1"/>
  <c r="Q3065" i="1" s="1"/>
  <c r="CR21" i="2" s="1"/>
  <c r="W91" i="3" s="1"/>
  <c r="P3332" i="1"/>
  <c r="Q3332" i="1" s="1"/>
  <c r="DA9" i="2" s="1"/>
  <c r="K100" i="3" s="1"/>
  <c r="P3340" i="1"/>
  <c r="Q3340" i="1" s="1"/>
  <c r="DA17" i="2" s="1"/>
  <c r="S100" i="3" s="1"/>
  <c r="P3688" i="1"/>
  <c r="Q3688" i="1" s="1"/>
  <c r="DL24" i="2" s="1"/>
  <c r="Z111" i="3" s="1"/>
  <c r="P3691" i="1"/>
  <c r="Q3691" i="1" s="1"/>
  <c r="DL27" i="2" s="1"/>
  <c r="AC111" i="3" s="1"/>
  <c r="P540" i="1"/>
  <c r="Q540" i="1" s="1"/>
  <c r="O7" i="2" s="1"/>
  <c r="I22" i="3" s="1"/>
  <c r="I20" i="23" s="1"/>
  <c r="P544" i="1"/>
  <c r="Q544" i="1" s="1"/>
  <c r="O11" i="2" s="1"/>
  <c r="M22" i="3" s="1"/>
  <c r="M20" i="23" s="1"/>
  <c r="P548" i="1"/>
  <c r="Q548" i="1" s="1"/>
  <c r="O15" i="2" s="1"/>
  <c r="Q22" i="3" s="1"/>
  <c r="Q20" i="23" s="1"/>
  <c r="P552" i="1"/>
  <c r="Q552" i="1" s="1"/>
  <c r="O19" i="2" s="1"/>
  <c r="U22" i="3" s="1"/>
  <c r="U20" i="23" s="1"/>
  <c r="P554" i="1"/>
  <c r="Q554" i="1" s="1"/>
  <c r="O21" i="2" s="1"/>
  <c r="W22" i="3" s="1"/>
  <c r="W20" i="23" s="1"/>
  <c r="P561" i="1"/>
  <c r="Q561" i="1" s="1"/>
  <c r="O28" i="2" s="1"/>
  <c r="AD22" i="3" s="1"/>
  <c r="AD20" i="23" s="1"/>
  <c r="P817" i="1"/>
  <c r="Q817" i="1" s="1"/>
  <c r="X5" i="2" s="1"/>
  <c r="G31" i="3" s="1"/>
  <c r="P821" i="1"/>
  <c r="Q821" i="1" s="1"/>
  <c r="X9" i="2" s="1"/>
  <c r="K31" i="3" s="1"/>
  <c r="P825" i="1"/>
  <c r="Q825" i="1" s="1"/>
  <c r="X13" i="2" s="1"/>
  <c r="O31" i="3" s="1"/>
  <c r="P829" i="1"/>
  <c r="Q829" i="1" s="1"/>
  <c r="X17" i="2" s="1"/>
  <c r="S31" i="3" s="1"/>
  <c r="P832" i="1"/>
  <c r="Q832" i="1" s="1"/>
  <c r="X20" i="2" s="1"/>
  <c r="V31" i="3" s="1"/>
  <c r="P836" i="1"/>
  <c r="Q836" i="1" s="1"/>
  <c r="X24" i="2" s="1"/>
  <c r="Z31" i="3" s="1"/>
  <c r="P1157" i="1"/>
  <c r="Q1157" i="1" s="1"/>
  <c r="AI4" i="2" s="1"/>
  <c r="F42" i="3" s="1"/>
  <c r="P1161" i="1"/>
  <c r="Q1161" i="1" s="1"/>
  <c r="AI8" i="2" s="1"/>
  <c r="J42" i="3" s="1"/>
  <c r="P1165" i="1"/>
  <c r="Q1165" i="1" s="1"/>
  <c r="AI12" i="2" s="1"/>
  <c r="N42" i="3" s="1"/>
  <c r="P1169" i="1"/>
  <c r="Q1169" i="1" s="1"/>
  <c r="AI16" i="2" s="1"/>
  <c r="R42" i="3" s="1"/>
  <c r="P1156" i="1"/>
  <c r="Q1156" i="1" s="1"/>
  <c r="AI3" i="2" s="1"/>
  <c r="E42" i="3" s="1"/>
  <c r="P1176" i="1"/>
  <c r="Q1176" i="1" s="1"/>
  <c r="AI23" i="2" s="1"/>
  <c r="Y42" i="3" s="1"/>
  <c r="P1716" i="1"/>
  <c r="Q1716" i="1" s="1"/>
  <c r="BA5" i="2" s="1"/>
  <c r="G60" i="3" s="1"/>
  <c r="P1720" i="1"/>
  <c r="Q1720" i="1" s="1"/>
  <c r="BA9" i="2" s="1"/>
  <c r="K60" i="3" s="1"/>
  <c r="P1724" i="1"/>
  <c r="Q1724" i="1" s="1"/>
  <c r="BA13" i="2" s="1"/>
  <c r="O60" i="3" s="1"/>
  <c r="P1728" i="1"/>
  <c r="Q1728" i="1" s="1"/>
  <c r="BA17" i="2" s="1"/>
  <c r="S60" i="3" s="1"/>
  <c r="P1731" i="1"/>
  <c r="Q1731" i="1" s="1"/>
  <c r="BA20" i="2" s="1"/>
  <c r="V60" i="3" s="1"/>
  <c r="P1736" i="1"/>
  <c r="Q1736" i="1" s="1"/>
  <c r="BA25" i="2" s="1"/>
  <c r="AA60" i="3" s="1"/>
  <c r="P2276" i="1"/>
  <c r="Q2276" i="1" s="1"/>
  <c r="BS7" i="2" s="1"/>
  <c r="I74" i="3" s="1"/>
  <c r="P2280" i="1"/>
  <c r="Q2280" i="1" s="1"/>
  <c r="BS11" i="2" s="1"/>
  <c r="M74" i="3" s="1"/>
  <c r="P2284" i="1"/>
  <c r="Q2284" i="1" s="1"/>
  <c r="BS15" i="2" s="1"/>
  <c r="Q74" i="3" s="1"/>
  <c r="P2288" i="1"/>
  <c r="Q2288" i="1" s="1"/>
  <c r="BS19" i="2" s="1"/>
  <c r="U74" i="3" s="1"/>
  <c r="P2290" i="1"/>
  <c r="Q2290" i="1" s="1"/>
  <c r="BS21" i="2" s="1"/>
  <c r="W74" i="3" s="1"/>
  <c r="P2295" i="1"/>
  <c r="Q2295" i="1" s="1"/>
  <c r="BS26" i="2" s="1"/>
  <c r="AB74" i="3" s="1"/>
  <c r="P3020" i="1"/>
  <c r="Q3020" i="1" s="1"/>
  <c r="CQ7" i="2" s="1"/>
  <c r="I90" i="3" s="1"/>
  <c r="P3024" i="1"/>
  <c r="Q3024" i="1" s="1"/>
  <c r="CQ11" i="2" s="1"/>
  <c r="M90" i="3" s="1"/>
  <c r="P3028" i="1"/>
  <c r="Q3028" i="1" s="1"/>
  <c r="CQ15" i="2" s="1"/>
  <c r="Q90" i="3" s="1"/>
  <c r="P3032" i="1"/>
  <c r="Q3032" i="1" s="1"/>
  <c r="CQ19" i="2" s="1"/>
  <c r="U90" i="3" s="1"/>
  <c r="P3034" i="1"/>
  <c r="Q3034" i="1" s="1"/>
  <c r="CQ21" i="2" s="1"/>
  <c r="W90" i="3" s="1"/>
  <c r="P3041" i="1"/>
  <c r="Q3041" i="1" s="1"/>
  <c r="CQ28" i="2" s="1"/>
  <c r="AD90" i="3" s="1"/>
  <c r="P3452" i="1"/>
  <c r="Q3452" i="1" s="1"/>
  <c r="DE5" i="2" s="1"/>
  <c r="G104" i="3" s="1"/>
  <c r="P3456" i="1"/>
  <c r="Q3456" i="1" s="1"/>
  <c r="DE9" i="2" s="1"/>
  <c r="K104" i="3" s="1"/>
  <c r="P3460" i="1"/>
  <c r="Q3460" i="1" s="1"/>
  <c r="DE13" i="2" s="1"/>
  <c r="O104" i="3" s="1"/>
  <c r="P3464" i="1"/>
  <c r="Q3464" i="1" s="1"/>
  <c r="DE17" i="2" s="1"/>
  <c r="S104" i="3" s="1"/>
  <c r="P3467" i="1"/>
  <c r="Q3467" i="1" s="1"/>
  <c r="DE20" i="2" s="1"/>
  <c r="V104" i="3" s="1"/>
  <c r="P3471" i="1"/>
  <c r="Q3471" i="1" s="1"/>
  <c r="DE24" i="2" s="1"/>
  <c r="Z104" i="3" s="1"/>
  <c r="P3474" i="1"/>
  <c r="Q3474" i="1" s="1"/>
  <c r="DE27" i="2" s="1"/>
  <c r="AC104" i="3" s="1"/>
  <c r="P3793" i="1"/>
  <c r="Q3793" i="1" s="1"/>
  <c r="DP5" i="2" s="1"/>
  <c r="G115" i="3" s="1"/>
  <c r="P3797" i="1"/>
  <c r="Q3797" i="1" s="1"/>
  <c r="DP9" i="2" s="1"/>
  <c r="K115" i="3" s="1"/>
  <c r="P3801" i="1"/>
  <c r="Q3801" i="1" s="1"/>
  <c r="DP13" i="2" s="1"/>
  <c r="O115" i="3" s="1"/>
  <c r="P3805" i="1"/>
  <c r="Q3805" i="1" s="1"/>
  <c r="DP17" i="2" s="1"/>
  <c r="S115" i="3" s="1"/>
  <c r="P3808" i="1"/>
  <c r="Q3808" i="1" s="1"/>
  <c r="DP20" i="2" s="1"/>
  <c r="V115" i="3" s="1"/>
  <c r="P3815" i="1"/>
  <c r="Q3815" i="1" s="1"/>
  <c r="DP27" i="2" s="1"/>
  <c r="AC115" i="3" s="1"/>
  <c r="P2411" i="1"/>
  <c r="Q2411" i="1" s="1"/>
  <c r="BW18" i="2" s="1"/>
  <c r="T78" i="3" s="1"/>
  <c r="P2398" i="1"/>
  <c r="Q2398" i="1" s="1"/>
  <c r="BW5" i="2" s="1"/>
  <c r="G78" i="3" s="1"/>
  <c r="P2402" i="1"/>
  <c r="Q2402" i="1" s="1"/>
  <c r="BW9" i="2" s="1"/>
  <c r="K78" i="3" s="1"/>
  <c r="P2406" i="1"/>
  <c r="Q2406" i="1" s="1"/>
  <c r="BW13" i="2" s="1"/>
  <c r="O78" i="3" s="1"/>
  <c r="P2413" i="1"/>
  <c r="Q2413" i="1" s="1"/>
  <c r="BW20" i="2" s="1"/>
  <c r="V78" i="3" s="1"/>
  <c r="P2421" i="1"/>
  <c r="Q2421" i="1" s="1"/>
  <c r="BW28" i="2" s="1"/>
  <c r="AD78" i="3" s="1"/>
  <c r="P446" i="1"/>
  <c r="Q446" i="1" s="1"/>
  <c r="L6" i="2" s="1"/>
  <c r="H19" i="3" s="1"/>
  <c r="H17" i="23" s="1"/>
  <c r="P450" i="1"/>
  <c r="Q450" i="1" s="1"/>
  <c r="L10" i="2" s="1"/>
  <c r="L19" i="3" s="1"/>
  <c r="L17" i="23" s="1"/>
  <c r="P454" i="1"/>
  <c r="Q454" i="1" s="1"/>
  <c r="L14" i="2" s="1"/>
  <c r="P19" i="3" s="1"/>
  <c r="P17" i="23" s="1"/>
  <c r="P458" i="1"/>
  <c r="Q458" i="1" s="1"/>
  <c r="L18" i="2" s="1"/>
  <c r="T19" i="3" s="1"/>
  <c r="T17" i="23" s="1"/>
  <c r="P462" i="1"/>
  <c r="Q462" i="1" s="1"/>
  <c r="L22" i="2" s="1"/>
  <c r="X19" i="3" s="1"/>
  <c r="X17" i="23" s="1"/>
  <c r="P465" i="1"/>
  <c r="Q465" i="1" s="1"/>
  <c r="L25" i="2" s="1"/>
  <c r="AA19" i="3" s="1"/>
  <c r="AA17" i="23" s="1"/>
  <c r="P469" i="1"/>
  <c r="Q469" i="1" s="1"/>
  <c r="L29" i="2" s="1"/>
  <c r="AE19" i="3" s="1"/>
  <c r="AE17" i="23" s="1"/>
  <c r="P1066" i="1"/>
  <c r="Q1066" i="1" s="1"/>
  <c r="AF6" i="2" s="1"/>
  <c r="H39" i="3" s="1"/>
  <c r="P1070" i="1"/>
  <c r="Q1070" i="1" s="1"/>
  <c r="AF10" i="2" s="1"/>
  <c r="L39" i="3" s="1"/>
  <c r="P1074" i="1"/>
  <c r="Q1074" i="1" s="1"/>
  <c r="AF14" i="2" s="1"/>
  <c r="P39" i="3" s="1"/>
  <c r="P1078" i="1"/>
  <c r="Q1078" i="1" s="1"/>
  <c r="AF18" i="2" s="1"/>
  <c r="T39" i="3" s="1"/>
  <c r="P1084" i="1"/>
  <c r="Q1084" i="1" s="1"/>
  <c r="AF24" i="2" s="1"/>
  <c r="Z39" i="3" s="1"/>
  <c r="P1089" i="1"/>
  <c r="Q1089" i="1" s="1"/>
  <c r="AF29" i="2" s="1"/>
  <c r="AE39" i="3" s="1"/>
  <c r="P1561" i="1"/>
  <c r="Q1561" i="1" s="1"/>
  <c r="AV5" i="2" s="1"/>
  <c r="G55" i="3" s="1"/>
  <c r="P1565" i="1"/>
  <c r="Q1565" i="1" s="1"/>
  <c r="AV9" i="2" s="1"/>
  <c r="K55" i="3" s="1"/>
  <c r="P1569" i="1"/>
  <c r="Q1569" i="1" s="1"/>
  <c r="AV13" i="2" s="1"/>
  <c r="O55" i="3" s="1"/>
  <c r="P1573" i="1"/>
  <c r="Q1573" i="1" s="1"/>
  <c r="AV17" i="2" s="1"/>
  <c r="S55" i="3" s="1"/>
  <c r="P1576" i="1"/>
  <c r="Q1576" i="1" s="1"/>
  <c r="AV20" i="2" s="1"/>
  <c r="V55" i="3" s="1"/>
  <c r="P1935" i="1"/>
  <c r="Q1935" i="1" s="1"/>
  <c r="BH7" i="2" s="1"/>
  <c r="I63" i="3" s="1"/>
  <c r="P1939" i="1"/>
  <c r="Q1939" i="1" s="1"/>
  <c r="BH11" i="2" s="1"/>
  <c r="M63" i="3" s="1"/>
  <c r="P1943" i="1"/>
  <c r="Q1943" i="1" s="1"/>
  <c r="BH15" i="2" s="1"/>
  <c r="Q63" i="3" s="1"/>
  <c r="P1947" i="1"/>
  <c r="Q1947" i="1" s="1"/>
  <c r="BH19" i="2" s="1"/>
  <c r="U63" i="3" s="1"/>
  <c r="P3143" i="1"/>
  <c r="Q3143" i="1" s="1"/>
  <c r="CU6" i="2" s="1"/>
  <c r="H94" i="3" s="1"/>
  <c r="P3147" i="1"/>
  <c r="Q3147" i="1" s="1"/>
  <c r="CU10" i="2" s="1"/>
  <c r="L94" i="3" s="1"/>
  <c r="P3151" i="1"/>
  <c r="Q3151" i="1" s="1"/>
  <c r="CU14" i="2" s="1"/>
  <c r="P94" i="3" s="1"/>
  <c r="P3155" i="1"/>
  <c r="Q3155" i="1" s="1"/>
  <c r="CU18" i="2" s="1"/>
  <c r="T94" i="3" s="1"/>
  <c r="P3159" i="1"/>
  <c r="Q3159" i="1" s="1"/>
  <c r="CU22" i="2" s="1"/>
  <c r="X94" i="3" s="1"/>
  <c r="P3160" i="1"/>
  <c r="Q3160" i="1" s="1"/>
  <c r="CU23" i="2" s="1"/>
  <c r="Y94" i="3" s="1"/>
  <c r="P3166" i="1"/>
  <c r="Q3166" i="1" s="1"/>
  <c r="CU29" i="2" s="1"/>
  <c r="AE94" i="3" s="1"/>
  <c r="P3547" i="1"/>
  <c r="Q3547" i="1" s="1"/>
  <c r="DH7" i="2" s="1"/>
  <c r="I107" i="3" s="1"/>
  <c r="P3551" i="1"/>
  <c r="Q3551" i="1" s="1"/>
  <c r="DH11" i="2" s="1"/>
  <c r="M107" i="3" s="1"/>
  <c r="P3555" i="1"/>
  <c r="Q3555" i="1" s="1"/>
  <c r="DH15" i="2" s="1"/>
  <c r="Q107" i="3" s="1"/>
  <c r="P3559" i="1"/>
  <c r="Q3559" i="1" s="1"/>
  <c r="DH19" i="2" s="1"/>
  <c r="U107" i="3" s="1"/>
  <c r="P3561" i="1"/>
  <c r="Q3561" i="1" s="1"/>
  <c r="DH21" i="2" s="1"/>
  <c r="W107" i="3" s="1"/>
  <c r="P416" i="1"/>
  <c r="Q416" i="1" s="1"/>
  <c r="K7" i="2" s="1"/>
  <c r="I18" i="3" s="1"/>
  <c r="I16" i="23" s="1"/>
  <c r="P420" i="1"/>
  <c r="Q420" i="1" s="1"/>
  <c r="K11" i="2" s="1"/>
  <c r="M18" i="3" s="1"/>
  <c r="M16" i="23" s="1"/>
  <c r="P424" i="1"/>
  <c r="Q424" i="1" s="1"/>
  <c r="K15" i="2" s="1"/>
  <c r="Q18" i="3" s="1"/>
  <c r="Q16" i="23" s="1"/>
  <c r="P428" i="1"/>
  <c r="Q428" i="1" s="1"/>
  <c r="K19" i="2" s="1"/>
  <c r="U18" i="3" s="1"/>
  <c r="U16" i="23" s="1"/>
  <c r="P430" i="1"/>
  <c r="Q430" i="1" s="1"/>
  <c r="K21" i="2" s="1"/>
  <c r="W18" i="3" s="1"/>
  <c r="W16" i="23" s="1"/>
  <c r="P437" i="1"/>
  <c r="Q437" i="1" s="1"/>
  <c r="K28" i="2" s="1"/>
  <c r="AD18" i="3" s="1"/>
  <c r="AD16" i="23" s="1"/>
  <c r="P1033" i="1"/>
  <c r="Q1033" i="1" s="1"/>
  <c r="AE4" i="2" s="1"/>
  <c r="F38" i="3" s="1"/>
  <c r="P1037" i="1"/>
  <c r="Q1037" i="1" s="1"/>
  <c r="AE8" i="2" s="1"/>
  <c r="J38" i="3" s="1"/>
  <c r="P1041" i="1"/>
  <c r="Q1041" i="1" s="1"/>
  <c r="AE12" i="2" s="1"/>
  <c r="N38" i="3" s="1"/>
  <c r="P1045" i="1"/>
  <c r="Q1045" i="1" s="1"/>
  <c r="AE16" i="2" s="1"/>
  <c r="R38" i="3" s="1"/>
  <c r="P1032" i="1"/>
  <c r="Q1032" i="1" s="1"/>
  <c r="AE3" i="2" s="1"/>
  <c r="E38" i="3" s="1"/>
  <c r="P1052" i="1"/>
  <c r="Q1052" i="1" s="1"/>
  <c r="AE23" i="2" s="1"/>
  <c r="Y38" i="3" s="1"/>
  <c r="P1055" i="1"/>
  <c r="Q1055" i="1" s="1"/>
  <c r="AE26" i="2" s="1"/>
  <c r="AB38" i="3" s="1"/>
  <c r="P1438" i="1"/>
  <c r="Q1438" i="1" s="1"/>
  <c r="AR6" i="2" s="1"/>
  <c r="H51" i="3" s="1"/>
  <c r="P1442" i="1"/>
  <c r="Q1442" i="1" s="1"/>
  <c r="AR10" i="2" s="1"/>
  <c r="L51" i="3" s="1"/>
  <c r="P1446" i="1"/>
  <c r="Q1446" i="1" s="1"/>
  <c r="AR14" i="2" s="1"/>
  <c r="P51" i="3" s="1"/>
  <c r="P1450" i="1"/>
  <c r="Q1450" i="1" s="1"/>
  <c r="AR18" i="2" s="1"/>
  <c r="T51" i="3" s="1"/>
  <c r="P1454" i="1"/>
  <c r="Q1454" i="1" s="1"/>
  <c r="AR22" i="2" s="1"/>
  <c r="X51" i="3" s="1"/>
  <c r="P1456" i="1"/>
  <c r="Q1456" i="1" s="1"/>
  <c r="AR24" i="2" s="1"/>
  <c r="Z51" i="3" s="1"/>
  <c r="P1461" i="1"/>
  <c r="Q1461" i="1" s="1"/>
  <c r="AR29" i="2" s="1"/>
  <c r="AE51" i="3" s="1"/>
  <c r="P2304" i="1"/>
  <c r="Q2304" i="1" s="1"/>
  <c r="BT4" i="2" s="1"/>
  <c r="F75" i="3" s="1"/>
  <c r="P2308" i="1"/>
  <c r="Q2308" i="1" s="1"/>
  <c r="BT8" i="2" s="1"/>
  <c r="J75" i="3" s="1"/>
  <c r="P2312" i="1"/>
  <c r="Q2312" i="1" s="1"/>
  <c r="BT12" i="2" s="1"/>
  <c r="N75" i="3" s="1"/>
  <c r="P2316" i="1"/>
  <c r="Q2316" i="1" s="1"/>
  <c r="BT16" i="2" s="1"/>
  <c r="R75" i="3" s="1"/>
  <c r="P2303" i="1"/>
  <c r="Q2303" i="1" s="1"/>
  <c r="BT3" i="2" s="1"/>
  <c r="E75" i="3" s="1"/>
  <c r="P2325" i="1"/>
  <c r="Q2325" i="1" s="1"/>
  <c r="BT25" i="2" s="1"/>
  <c r="AA75" i="3" s="1"/>
  <c r="P3050" i="1"/>
  <c r="Q3050" i="1" s="1"/>
  <c r="CR6" i="2" s="1"/>
  <c r="H91" i="3" s="1"/>
  <c r="P3054" i="1"/>
  <c r="Q3054" i="1" s="1"/>
  <c r="CR10" i="2" s="1"/>
  <c r="L91" i="3" s="1"/>
  <c r="P3058" i="1"/>
  <c r="Q3058" i="1" s="1"/>
  <c r="CR14" i="2" s="1"/>
  <c r="P91" i="3" s="1"/>
  <c r="P3062" i="1"/>
  <c r="Q3062" i="1" s="1"/>
  <c r="CR18" i="2" s="1"/>
  <c r="T91" i="3" s="1"/>
  <c r="P3066" i="1"/>
  <c r="Q3066" i="1" s="1"/>
  <c r="CR22" i="2" s="1"/>
  <c r="X91" i="3" s="1"/>
  <c r="P3067" i="1"/>
  <c r="Q3067" i="1" s="1"/>
  <c r="CR23" i="2" s="1"/>
  <c r="Y91" i="3" s="1"/>
  <c r="P3073" i="1"/>
  <c r="Q3073" i="1" s="1"/>
  <c r="CR29" i="2" s="1"/>
  <c r="AE91" i="3" s="1"/>
  <c r="P3331" i="1"/>
  <c r="Q3331" i="1" s="1"/>
  <c r="DA8" i="2" s="1"/>
  <c r="J100" i="3" s="1"/>
  <c r="P3339" i="1"/>
  <c r="Q3339" i="1" s="1"/>
  <c r="DA16" i="2" s="1"/>
  <c r="R100" i="3" s="1"/>
  <c r="P3330" i="1"/>
  <c r="Q3330" i="1" s="1"/>
  <c r="DA7" i="2" s="1"/>
  <c r="I100" i="3" s="1"/>
  <c r="P3338" i="1"/>
  <c r="Q3338" i="1" s="1"/>
  <c r="DA15" i="2" s="1"/>
  <c r="Q100" i="3" s="1"/>
  <c r="P3345" i="1"/>
  <c r="Q3345" i="1" s="1"/>
  <c r="DA22" i="2" s="1"/>
  <c r="X100" i="3" s="1"/>
  <c r="P3347" i="1"/>
  <c r="Q3347" i="1" s="1"/>
  <c r="DA24" i="2" s="1"/>
  <c r="Z100" i="3" s="1"/>
  <c r="P3668" i="1"/>
  <c r="Q3668" i="1" s="1"/>
  <c r="DL4" i="2" s="1"/>
  <c r="F111" i="3" s="1"/>
  <c r="P3672" i="1"/>
  <c r="Q3672" i="1" s="1"/>
  <c r="DL8" i="2" s="1"/>
  <c r="J111" i="3" s="1"/>
  <c r="P3676" i="1"/>
  <c r="Q3676" i="1" s="1"/>
  <c r="DL12" i="2" s="1"/>
  <c r="N111" i="3" s="1"/>
  <c r="P3680" i="1"/>
  <c r="Q3680" i="1" s="1"/>
  <c r="DL16" i="2" s="1"/>
  <c r="R111" i="3" s="1"/>
  <c r="P3667" i="1"/>
  <c r="Q3667" i="1" s="1"/>
  <c r="DL3" i="2" s="1"/>
  <c r="E111" i="3" s="1"/>
  <c r="P3689" i="1"/>
  <c r="Q3689" i="1" s="1"/>
  <c r="DL25" i="2" s="1"/>
  <c r="AA111" i="3" s="1"/>
  <c r="P3692" i="1"/>
  <c r="Q3692" i="1" s="1"/>
  <c r="DL28" i="2" s="1"/>
  <c r="AD111" i="3" s="1"/>
  <c r="P3817" i="1"/>
  <c r="Q3817" i="1" s="1"/>
  <c r="DP29" i="2" s="1"/>
  <c r="AE115" i="3" s="1"/>
  <c r="P555" i="1"/>
  <c r="Q555" i="1" s="1"/>
  <c r="O22" i="2" s="1"/>
  <c r="X22" i="3" s="1"/>
  <c r="X20" i="23" s="1"/>
  <c r="P816" i="1"/>
  <c r="Q816" i="1" s="1"/>
  <c r="X4" i="2" s="1"/>
  <c r="F31" i="3" s="1"/>
  <c r="P835" i="1"/>
  <c r="Q835" i="1" s="1"/>
  <c r="X23" i="2" s="1"/>
  <c r="Y31" i="3" s="1"/>
  <c r="P1174" i="1"/>
  <c r="Q1174" i="1" s="1"/>
  <c r="AI21" i="2" s="1"/>
  <c r="W42" i="3" s="1"/>
  <c r="P1181" i="1"/>
  <c r="Q1181" i="1" s="1"/>
  <c r="AI28" i="2" s="1"/>
  <c r="AD42" i="3" s="1"/>
  <c r="P1734" i="1"/>
  <c r="Q1734" i="1" s="1"/>
  <c r="BA23" i="2" s="1"/>
  <c r="Y60" i="3" s="1"/>
  <c r="P2275" i="1"/>
  <c r="Q2275" i="1" s="1"/>
  <c r="BS6" i="2" s="1"/>
  <c r="H74" i="3" s="1"/>
  <c r="P2279" i="1"/>
  <c r="Q2279" i="1" s="1"/>
  <c r="BS10" i="2" s="1"/>
  <c r="L74" i="3" s="1"/>
  <c r="P2283" i="1"/>
  <c r="Q2283" i="1" s="1"/>
  <c r="BS14" i="2" s="1"/>
  <c r="P74" i="3" s="1"/>
  <c r="P2287" i="1"/>
  <c r="Q2287" i="1" s="1"/>
  <c r="BS18" i="2" s="1"/>
  <c r="T74" i="3" s="1"/>
  <c r="P2291" i="1"/>
  <c r="Q2291" i="1" s="1"/>
  <c r="BS22" i="2" s="1"/>
  <c r="X74" i="3" s="1"/>
  <c r="P2294" i="1"/>
  <c r="Q2294" i="1" s="1"/>
  <c r="BS25" i="2" s="1"/>
  <c r="AA74" i="3" s="1"/>
  <c r="P2298" i="1"/>
  <c r="Q2298" i="1" s="1"/>
  <c r="BS29" i="2" s="1"/>
  <c r="AE74" i="3" s="1"/>
  <c r="P3019" i="1"/>
  <c r="Q3019" i="1" s="1"/>
  <c r="CQ6" i="2" s="1"/>
  <c r="H90" i="3" s="1"/>
  <c r="P3023" i="1"/>
  <c r="Q3023" i="1" s="1"/>
  <c r="CQ10" i="2" s="1"/>
  <c r="L90" i="3" s="1"/>
  <c r="P3027" i="1"/>
  <c r="Q3027" i="1" s="1"/>
  <c r="CQ14" i="2" s="1"/>
  <c r="P90" i="3" s="1"/>
  <c r="P3031" i="1"/>
  <c r="Q3031" i="1" s="1"/>
  <c r="CQ18" i="2" s="1"/>
  <c r="T90" i="3" s="1"/>
  <c r="P3035" i="1"/>
  <c r="Q3035" i="1" s="1"/>
  <c r="CQ22" i="2" s="1"/>
  <c r="X90" i="3" s="1"/>
  <c r="P3038" i="1"/>
  <c r="Q3038" i="1" s="1"/>
  <c r="CQ25" i="2" s="1"/>
  <c r="AA90" i="3" s="1"/>
  <c r="P3451" i="1"/>
  <c r="Q3451" i="1" s="1"/>
  <c r="DE4" i="2" s="1"/>
  <c r="F104" i="3" s="1"/>
  <c r="P3455" i="1"/>
  <c r="Q3455" i="1" s="1"/>
  <c r="DE8" i="2" s="1"/>
  <c r="J104" i="3" s="1"/>
  <c r="P3459" i="1"/>
  <c r="Q3459" i="1" s="1"/>
  <c r="DE12" i="2" s="1"/>
  <c r="N104" i="3" s="1"/>
  <c r="P3463" i="1"/>
  <c r="Q3463" i="1" s="1"/>
  <c r="DE16" i="2" s="1"/>
  <c r="R104" i="3" s="1"/>
  <c r="P3450" i="1"/>
  <c r="Q3450" i="1" s="1"/>
  <c r="DE3" i="2" s="1"/>
  <c r="E104" i="3" s="1"/>
  <c r="P3472" i="1"/>
  <c r="Q3472" i="1" s="1"/>
  <c r="DE25" i="2" s="1"/>
  <c r="AA104" i="3" s="1"/>
  <c r="P3473" i="1"/>
  <c r="Q3473" i="1" s="1"/>
  <c r="DE26" i="2" s="1"/>
  <c r="AB104" i="3" s="1"/>
  <c r="P3792" i="1"/>
  <c r="Q3792" i="1" s="1"/>
  <c r="DP4" i="2" s="1"/>
  <c r="F115" i="3" s="1"/>
  <c r="P3796" i="1"/>
  <c r="Q3796" i="1" s="1"/>
  <c r="DP8" i="2" s="1"/>
  <c r="J115" i="3" s="1"/>
  <c r="P3800" i="1"/>
  <c r="Q3800" i="1" s="1"/>
  <c r="DP12" i="2" s="1"/>
  <c r="N115" i="3" s="1"/>
  <c r="P3804" i="1"/>
  <c r="Q3804" i="1" s="1"/>
  <c r="DP16" i="2" s="1"/>
  <c r="R115" i="3" s="1"/>
  <c r="P3791" i="1"/>
  <c r="Q3791" i="1" s="1"/>
  <c r="DP3" i="2" s="1"/>
  <c r="E115" i="3" s="1"/>
  <c r="P3812" i="1"/>
  <c r="Q3812" i="1" s="1"/>
  <c r="DP24" i="2" s="1"/>
  <c r="Z115" i="3" s="1"/>
  <c r="P198" i="1"/>
  <c r="Q198" i="1" s="1"/>
  <c r="D6" i="2" s="1"/>
  <c r="H11" i="3" s="1"/>
  <c r="H9" i="23" s="1"/>
  <c r="P202" i="1"/>
  <c r="Q202" i="1" s="1"/>
  <c r="D10" i="2" s="1"/>
  <c r="L11" i="3" s="1"/>
  <c r="L9" i="23" s="1"/>
  <c r="P206" i="1"/>
  <c r="Q206" i="1" s="1"/>
  <c r="D14" i="2" s="1"/>
  <c r="P11" i="3" s="1"/>
  <c r="P9" i="23" s="1"/>
  <c r="P210" i="1"/>
  <c r="Q210" i="1" s="1"/>
  <c r="D18" i="2" s="1"/>
  <c r="T11" i="3" s="1"/>
  <c r="T9" i="23" s="1"/>
  <c r="P218" i="1"/>
  <c r="Q218" i="1" s="1"/>
  <c r="D26" i="2" s="1"/>
  <c r="AB11" i="3" s="1"/>
  <c r="AB9" i="23" s="1"/>
  <c r="P221" i="1"/>
  <c r="Q221" i="1" s="1"/>
  <c r="D29" i="2" s="1"/>
  <c r="AE11" i="3" s="1"/>
  <c r="AE9" i="23" s="1"/>
  <c r="P2410" i="1"/>
  <c r="Q2410" i="1" s="1"/>
  <c r="BW17" i="2" s="1"/>
  <c r="S78" i="3" s="1"/>
  <c r="P2420" i="1"/>
  <c r="Q2420" i="1" s="1"/>
  <c r="BW27" i="2" s="1"/>
  <c r="AC78" i="3" s="1"/>
  <c r="P445" i="1"/>
  <c r="Q445" i="1" s="1"/>
  <c r="L5" i="2" s="1"/>
  <c r="G19" i="3" s="1"/>
  <c r="G17" i="23" s="1"/>
  <c r="P449" i="1"/>
  <c r="Q449" i="1" s="1"/>
  <c r="L9" i="2" s="1"/>
  <c r="K19" i="3" s="1"/>
  <c r="K17" i="23" s="1"/>
  <c r="P453" i="1"/>
  <c r="Q453" i="1" s="1"/>
  <c r="L13" i="2" s="1"/>
  <c r="O19" i="3" s="1"/>
  <c r="O17" i="23" s="1"/>
  <c r="P457" i="1"/>
  <c r="Q457" i="1" s="1"/>
  <c r="L17" i="2" s="1"/>
  <c r="S19" i="3" s="1"/>
  <c r="S17" i="23" s="1"/>
  <c r="P460" i="1"/>
  <c r="Q460" i="1" s="1"/>
  <c r="L20" i="2" s="1"/>
  <c r="V19" i="3" s="1"/>
  <c r="V17" i="23" s="1"/>
  <c r="P464" i="1"/>
  <c r="Q464" i="1" s="1"/>
  <c r="L24" i="2" s="1"/>
  <c r="Z19" i="3" s="1"/>
  <c r="Z17" i="23" s="1"/>
  <c r="P468" i="1"/>
  <c r="Q468" i="1" s="1"/>
  <c r="L28" i="2" s="1"/>
  <c r="AD19" i="3" s="1"/>
  <c r="AD17" i="23" s="1"/>
  <c r="P1065" i="1"/>
  <c r="Q1065" i="1" s="1"/>
  <c r="AF5" i="2" s="1"/>
  <c r="G39" i="3" s="1"/>
  <c r="P1069" i="1"/>
  <c r="Q1069" i="1" s="1"/>
  <c r="AF9" i="2" s="1"/>
  <c r="K39" i="3" s="1"/>
  <c r="P1073" i="1"/>
  <c r="Q1073" i="1" s="1"/>
  <c r="AF13" i="2" s="1"/>
  <c r="O39" i="3" s="1"/>
  <c r="P1077" i="1"/>
  <c r="Q1077" i="1" s="1"/>
  <c r="AF17" i="2" s="1"/>
  <c r="S39" i="3" s="1"/>
  <c r="P1080" i="1"/>
  <c r="Q1080" i="1" s="1"/>
  <c r="AF20" i="2" s="1"/>
  <c r="V39" i="3" s="1"/>
  <c r="P1560" i="1"/>
  <c r="Q1560" i="1" s="1"/>
  <c r="AV4" i="2" s="1"/>
  <c r="F55" i="3" s="1"/>
  <c r="P1564" i="1"/>
  <c r="Q1564" i="1" s="1"/>
  <c r="AV8" i="2" s="1"/>
  <c r="J55" i="3" s="1"/>
  <c r="P1568" i="1"/>
  <c r="Q1568" i="1" s="1"/>
  <c r="AV12" i="2" s="1"/>
  <c r="N55" i="3" s="1"/>
  <c r="P1572" i="1"/>
  <c r="Q1572" i="1" s="1"/>
  <c r="AV16" i="2" s="1"/>
  <c r="R55" i="3" s="1"/>
  <c r="P1559" i="1"/>
  <c r="Q1559" i="1" s="1"/>
  <c r="AV3" i="2" s="1"/>
  <c r="E55" i="3" s="1"/>
  <c r="P1579" i="1"/>
  <c r="Q1579" i="1" s="1"/>
  <c r="AV23" i="2" s="1"/>
  <c r="Y55" i="3" s="1"/>
  <c r="P1583" i="1"/>
  <c r="Q1583" i="1" s="1"/>
  <c r="AV27" i="2" s="1"/>
  <c r="AC55" i="3" s="1"/>
  <c r="P1934" i="1"/>
  <c r="Q1934" i="1" s="1"/>
  <c r="BH6" i="2" s="1"/>
  <c r="H63" i="3" s="1"/>
  <c r="P1938" i="1"/>
  <c r="Q1938" i="1" s="1"/>
  <c r="BH10" i="2" s="1"/>
  <c r="L63" i="3" s="1"/>
  <c r="P1942" i="1"/>
  <c r="Q1942" i="1" s="1"/>
  <c r="BH14" i="2" s="1"/>
  <c r="P63" i="3" s="1"/>
  <c r="P1946" i="1"/>
  <c r="Q1946" i="1" s="1"/>
  <c r="BH18" i="2" s="1"/>
  <c r="T63" i="3" s="1"/>
  <c r="P1952" i="1"/>
  <c r="Q1952" i="1" s="1"/>
  <c r="BH24" i="2" s="1"/>
  <c r="Z63" i="3" s="1"/>
  <c r="P1957" i="1"/>
  <c r="Q1957" i="1" s="1"/>
  <c r="BH29" i="2" s="1"/>
  <c r="P3142" i="1"/>
  <c r="Q3142" i="1" s="1"/>
  <c r="CU5" i="2" s="1"/>
  <c r="G94" i="3" s="1"/>
  <c r="P3146" i="1"/>
  <c r="Q3146" i="1" s="1"/>
  <c r="CU9" i="2" s="1"/>
  <c r="K94" i="3" s="1"/>
  <c r="P3150" i="1"/>
  <c r="Q3150" i="1" s="1"/>
  <c r="CU13" i="2" s="1"/>
  <c r="O94" i="3" s="1"/>
  <c r="P3154" i="1"/>
  <c r="Q3154" i="1" s="1"/>
  <c r="CU17" i="2" s="1"/>
  <c r="S94" i="3" s="1"/>
  <c r="P3157" i="1"/>
  <c r="Q3157" i="1" s="1"/>
  <c r="CU20" i="2" s="1"/>
  <c r="V94" i="3" s="1"/>
  <c r="P3161" i="1"/>
  <c r="Q3161" i="1" s="1"/>
  <c r="CU24" i="2" s="1"/>
  <c r="Z94" i="3" s="1"/>
  <c r="P3165" i="1"/>
  <c r="Q3165" i="1" s="1"/>
  <c r="CU28" i="2" s="1"/>
  <c r="AD94" i="3" s="1"/>
  <c r="P3546" i="1"/>
  <c r="Q3546" i="1" s="1"/>
  <c r="DH6" i="2" s="1"/>
  <c r="H107" i="3" s="1"/>
  <c r="P3550" i="1"/>
  <c r="Q3550" i="1" s="1"/>
  <c r="DH10" i="2" s="1"/>
  <c r="L107" i="3" s="1"/>
  <c r="P3554" i="1"/>
  <c r="Q3554" i="1" s="1"/>
  <c r="DH14" i="2" s="1"/>
  <c r="P107" i="3" s="1"/>
  <c r="P3558" i="1"/>
  <c r="Q3558" i="1" s="1"/>
  <c r="DH18" i="2" s="1"/>
  <c r="T107" i="3" s="1"/>
  <c r="P3564" i="1"/>
  <c r="Q3564" i="1" s="1"/>
  <c r="DH24" i="2" s="1"/>
  <c r="Z107" i="3" s="1"/>
  <c r="P415" i="1"/>
  <c r="Q415" i="1" s="1"/>
  <c r="K6" i="2" s="1"/>
  <c r="H18" i="3" s="1"/>
  <c r="H16" i="23" s="1"/>
  <c r="P419" i="1"/>
  <c r="Q419" i="1" s="1"/>
  <c r="K10" i="2" s="1"/>
  <c r="L18" i="3" s="1"/>
  <c r="L16" i="23" s="1"/>
  <c r="P423" i="1"/>
  <c r="Q423" i="1" s="1"/>
  <c r="K14" i="2" s="1"/>
  <c r="P18" i="3" s="1"/>
  <c r="P16" i="23" s="1"/>
  <c r="P427" i="1"/>
  <c r="Q427" i="1" s="1"/>
  <c r="K18" i="2" s="1"/>
  <c r="T18" i="3" s="1"/>
  <c r="T16" i="23" s="1"/>
  <c r="P431" i="1"/>
  <c r="Q431" i="1" s="1"/>
  <c r="K22" i="2" s="1"/>
  <c r="X18" i="3" s="1"/>
  <c r="X16" i="23" s="1"/>
  <c r="P433" i="1"/>
  <c r="Q433" i="1" s="1"/>
  <c r="K24" i="2" s="1"/>
  <c r="Z18" i="3" s="1"/>
  <c r="Z16" i="23" s="1"/>
  <c r="P1036" i="1"/>
  <c r="Q1036" i="1" s="1"/>
  <c r="AE7" i="2" s="1"/>
  <c r="I38" i="3" s="1"/>
  <c r="P1040" i="1"/>
  <c r="Q1040" i="1" s="1"/>
  <c r="AE11" i="2" s="1"/>
  <c r="M38" i="3" s="1"/>
  <c r="P1044" i="1"/>
  <c r="Q1044" i="1" s="1"/>
  <c r="AE15" i="2" s="1"/>
  <c r="Q38" i="3" s="1"/>
  <c r="P1048" i="1"/>
  <c r="Q1048" i="1" s="1"/>
  <c r="AE19" i="2" s="1"/>
  <c r="U38" i="3" s="1"/>
  <c r="P1050" i="1"/>
  <c r="Q1050" i="1" s="1"/>
  <c r="AE21" i="2" s="1"/>
  <c r="W38" i="3" s="1"/>
  <c r="P1057" i="1"/>
  <c r="Q1057" i="1" s="1"/>
  <c r="AE28" i="2" s="1"/>
  <c r="AD38" i="3" s="1"/>
  <c r="P1437" i="1"/>
  <c r="Q1437" i="1" s="1"/>
  <c r="AR5" i="2" s="1"/>
  <c r="G51" i="3" s="1"/>
  <c r="P1441" i="1"/>
  <c r="Q1441" i="1" s="1"/>
  <c r="AR9" i="2" s="1"/>
  <c r="K51" i="3" s="1"/>
  <c r="P1445" i="1"/>
  <c r="Q1445" i="1" s="1"/>
  <c r="AR13" i="2" s="1"/>
  <c r="O51" i="3" s="1"/>
  <c r="P1449" i="1"/>
  <c r="Q1449" i="1" s="1"/>
  <c r="AR17" i="2" s="1"/>
  <c r="S51" i="3" s="1"/>
  <c r="P1457" i="1"/>
  <c r="Q1457" i="1" s="1"/>
  <c r="AR25" i="2" s="1"/>
  <c r="AA51" i="3" s="1"/>
  <c r="P1459" i="1"/>
  <c r="Q1459" i="1" s="1"/>
  <c r="AR27" i="2" s="1"/>
  <c r="AC51" i="3" s="1"/>
  <c r="P2307" i="1"/>
  <c r="Q2307" i="1" s="1"/>
  <c r="BT7" i="2" s="1"/>
  <c r="I75" i="3" s="1"/>
  <c r="P2311" i="1"/>
  <c r="Q2311" i="1" s="1"/>
  <c r="BT11" i="2" s="1"/>
  <c r="M75" i="3" s="1"/>
  <c r="P2315" i="1"/>
  <c r="Q2315" i="1" s="1"/>
  <c r="BT15" i="2" s="1"/>
  <c r="Q75" i="3" s="1"/>
  <c r="P2319" i="1"/>
  <c r="Q2319" i="1" s="1"/>
  <c r="BT19" i="2" s="1"/>
  <c r="U75" i="3" s="1"/>
  <c r="P2321" i="1"/>
  <c r="Q2321" i="1" s="1"/>
  <c r="BT21" i="2" s="1"/>
  <c r="W75" i="3" s="1"/>
  <c r="P2326" i="1"/>
  <c r="Q2326" i="1" s="1"/>
  <c r="BT26" i="2" s="1"/>
  <c r="AB75" i="3" s="1"/>
  <c r="P3049" i="1"/>
  <c r="Q3049" i="1" s="1"/>
  <c r="CR5" i="2" s="1"/>
  <c r="G91" i="3" s="1"/>
  <c r="P3053" i="1"/>
  <c r="Q3053" i="1" s="1"/>
  <c r="CR9" i="2" s="1"/>
  <c r="K91" i="3" s="1"/>
  <c r="P3057" i="1"/>
  <c r="Q3057" i="1" s="1"/>
  <c r="CR13" i="2" s="1"/>
  <c r="O91" i="3" s="1"/>
  <c r="P3061" i="1"/>
  <c r="Q3061" i="1" s="1"/>
  <c r="CR17" i="2" s="1"/>
  <c r="S91" i="3" s="1"/>
  <c r="P3068" i="1"/>
  <c r="Q3068" i="1" s="1"/>
  <c r="CR24" i="2" s="1"/>
  <c r="Z91" i="3" s="1"/>
  <c r="P3072" i="1"/>
  <c r="Q3072" i="1" s="1"/>
  <c r="CR28" i="2" s="1"/>
  <c r="AD91" i="3" s="1"/>
  <c r="P3329" i="1"/>
  <c r="Q3329" i="1" s="1"/>
  <c r="DA6" i="2" s="1"/>
  <c r="H100" i="3" s="1"/>
  <c r="P3337" i="1"/>
  <c r="Q3337" i="1" s="1"/>
  <c r="DA14" i="2" s="1"/>
  <c r="P100" i="3" s="1"/>
  <c r="P3328" i="1"/>
  <c r="Q3328" i="1" s="1"/>
  <c r="DA5" i="2" s="1"/>
  <c r="G100" i="3" s="1"/>
  <c r="P3336" i="1"/>
  <c r="Q3336" i="1" s="1"/>
  <c r="DA13" i="2" s="1"/>
  <c r="O100" i="3" s="1"/>
  <c r="P3343" i="1"/>
  <c r="Q3343" i="1" s="1"/>
  <c r="DA20" i="2" s="1"/>
  <c r="V100" i="3" s="1"/>
  <c r="P3346" i="1"/>
  <c r="Q3346" i="1" s="1"/>
  <c r="DA23" i="2" s="1"/>
  <c r="Y100" i="3" s="1"/>
  <c r="P3351" i="1"/>
  <c r="Q3351" i="1" s="1"/>
  <c r="DA28" i="2" s="1"/>
  <c r="AD100" i="3" s="1"/>
  <c r="P3848" i="1"/>
  <c r="Q3848" i="1" s="1"/>
  <c r="DQ29" i="2" s="1"/>
  <c r="AE116" i="3" s="1"/>
  <c r="P151" i="1"/>
  <c r="Q151" i="1" s="1"/>
  <c r="B21" i="2" s="1"/>
  <c r="W9" i="3" s="1"/>
  <c r="W7" i="23" s="1"/>
  <c r="P543" i="1"/>
  <c r="Q543" i="1" s="1"/>
  <c r="O10" i="2" s="1"/>
  <c r="L22" i="3" s="1"/>
  <c r="L20" i="23" s="1"/>
  <c r="P551" i="1"/>
  <c r="Q551" i="1" s="1"/>
  <c r="O18" i="2" s="1"/>
  <c r="T22" i="3" s="1"/>
  <c r="T20" i="23" s="1"/>
  <c r="P562" i="1"/>
  <c r="Q562" i="1" s="1"/>
  <c r="O29" i="2" s="1"/>
  <c r="AE22" i="3" s="1"/>
  <c r="AE20" i="23" s="1"/>
  <c r="P820" i="1"/>
  <c r="Q820" i="1" s="1"/>
  <c r="X8" i="2" s="1"/>
  <c r="J31" i="3" s="1"/>
  <c r="P824" i="1"/>
  <c r="Q824" i="1" s="1"/>
  <c r="X12" i="2" s="1"/>
  <c r="N31" i="3" s="1"/>
  <c r="P815" i="1"/>
  <c r="Q815" i="1" s="1"/>
  <c r="X3" i="2" s="1"/>
  <c r="E31" i="3" s="1"/>
  <c r="P838" i="1"/>
  <c r="Q838" i="1" s="1"/>
  <c r="X26" i="2" s="1"/>
  <c r="AB31" i="3" s="1"/>
  <c r="P1168" i="1"/>
  <c r="Q1168" i="1" s="1"/>
  <c r="AI15" i="2" s="1"/>
  <c r="Q42" i="3" s="1"/>
  <c r="P1715" i="1"/>
  <c r="Q1715" i="1" s="1"/>
  <c r="BA4" i="2" s="1"/>
  <c r="F60" i="3" s="1"/>
  <c r="P1723" i="1"/>
  <c r="Q1723" i="1" s="1"/>
  <c r="BA12" i="2" s="1"/>
  <c r="N60" i="3" s="1"/>
  <c r="P1714" i="1"/>
  <c r="Q1714" i="1" s="1"/>
  <c r="BA3" i="2" s="1"/>
  <c r="E60" i="3" s="1"/>
  <c r="P1737" i="1"/>
  <c r="Q1737" i="1" s="1"/>
  <c r="BA26" i="2" s="1"/>
  <c r="AB60" i="3" s="1"/>
  <c r="P537" i="1"/>
  <c r="Q537" i="1" s="1"/>
  <c r="O4" i="2" s="1"/>
  <c r="F22" i="3" s="1"/>
  <c r="F20" i="23" s="1"/>
  <c r="P541" i="1"/>
  <c r="Q541" i="1" s="1"/>
  <c r="O8" i="2" s="1"/>
  <c r="J22" i="3" s="1"/>
  <c r="J20" i="23" s="1"/>
  <c r="P545" i="1"/>
  <c r="Q545" i="1" s="1"/>
  <c r="O12" i="2" s="1"/>
  <c r="N22" i="3" s="1"/>
  <c r="N20" i="23" s="1"/>
  <c r="P549" i="1"/>
  <c r="Q549" i="1" s="1"/>
  <c r="O16" i="2" s="1"/>
  <c r="R22" i="3" s="1"/>
  <c r="R20" i="23" s="1"/>
  <c r="P536" i="1"/>
  <c r="Q536" i="1" s="1"/>
  <c r="O3" i="2" s="1"/>
  <c r="E22" i="3" s="1"/>
  <c r="E20" i="23" s="1"/>
  <c r="P556" i="1"/>
  <c r="Q556" i="1" s="1"/>
  <c r="O23" i="2" s="1"/>
  <c r="Y22" i="3" s="1"/>
  <c r="Y20" i="23" s="1"/>
  <c r="P559" i="1"/>
  <c r="Q559" i="1" s="1"/>
  <c r="O26" i="2" s="1"/>
  <c r="AB22" i="3" s="1"/>
  <c r="AB20" i="23" s="1"/>
  <c r="P818" i="1"/>
  <c r="Q818" i="1" s="1"/>
  <c r="X6" i="2" s="1"/>
  <c r="H31" i="3" s="1"/>
  <c r="P822" i="1"/>
  <c r="Q822" i="1" s="1"/>
  <c r="X10" i="2" s="1"/>
  <c r="L31" i="3" s="1"/>
  <c r="P826" i="1"/>
  <c r="Q826" i="1" s="1"/>
  <c r="X14" i="2" s="1"/>
  <c r="P31" i="3" s="1"/>
  <c r="P830" i="1"/>
  <c r="Q830" i="1" s="1"/>
  <c r="X18" i="2" s="1"/>
  <c r="T31" i="3" s="1"/>
  <c r="P834" i="1"/>
  <c r="Q834" i="1" s="1"/>
  <c r="X22" i="2" s="1"/>
  <c r="X31" i="3" s="1"/>
  <c r="P837" i="1"/>
  <c r="Q837" i="1" s="1"/>
  <c r="X25" i="2" s="1"/>
  <c r="AA31" i="3" s="1"/>
  <c r="P841" i="1"/>
  <c r="Q841" i="1" s="1"/>
  <c r="X29" i="2" s="1"/>
  <c r="AE31" i="3" s="1"/>
  <c r="P1158" i="1"/>
  <c r="Q1158" i="1" s="1"/>
  <c r="AI5" i="2" s="1"/>
  <c r="G42" i="3" s="1"/>
  <c r="P1162" i="1"/>
  <c r="Q1162" i="1" s="1"/>
  <c r="AI9" i="2" s="1"/>
  <c r="K42" i="3" s="1"/>
  <c r="P1166" i="1"/>
  <c r="Q1166" i="1" s="1"/>
  <c r="AI13" i="2" s="1"/>
  <c r="O42" i="3" s="1"/>
  <c r="P1170" i="1"/>
  <c r="Q1170" i="1" s="1"/>
  <c r="AI17" i="2" s="1"/>
  <c r="S42" i="3" s="1"/>
  <c r="P1173" i="1"/>
  <c r="Q1173" i="1" s="1"/>
  <c r="AI20" i="2" s="1"/>
  <c r="V42" i="3" s="1"/>
  <c r="P1177" i="1"/>
  <c r="Q1177" i="1" s="1"/>
  <c r="AI24" i="2" s="1"/>
  <c r="Z42" i="3" s="1"/>
  <c r="P1180" i="1"/>
  <c r="Q1180" i="1" s="1"/>
  <c r="AI27" i="2" s="1"/>
  <c r="AC42" i="3" s="1"/>
  <c r="P1717" i="1"/>
  <c r="Q1717" i="1" s="1"/>
  <c r="BA6" i="2" s="1"/>
  <c r="H60" i="3" s="1"/>
  <c r="P1721" i="1"/>
  <c r="Q1721" i="1" s="1"/>
  <c r="BA10" i="2" s="1"/>
  <c r="L60" i="3" s="1"/>
  <c r="P1725" i="1"/>
  <c r="Q1725" i="1" s="1"/>
  <c r="BA14" i="2" s="1"/>
  <c r="P60" i="3" s="1"/>
  <c r="P1729" i="1"/>
  <c r="Q1729" i="1" s="1"/>
  <c r="BA18" i="2" s="1"/>
  <c r="T60" i="3" s="1"/>
  <c r="P1733" i="1"/>
  <c r="Q1733" i="1" s="1"/>
  <c r="BA22" i="2" s="1"/>
  <c r="X60" i="3" s="1"/>
  <c r="P1735" i="1"/>
  <c r="Q1735" i="1" s="1"/>
  <c r="BA24" i="2" s="1"/>
  <c r="Z60" i="3" s="1"/>
  <c r="P1740" i="1"/>
  <c r="Q1740" i="1" s="1"/>
  <c r="BA29" i="2" s="1"/>
  <c r="AE60" i="3" s="1"/>
  <c r="P2273" i="1"/>
  <c r="Q2273" i="1" s="1"/>
  <c r="BS4" i="2" s="1"/>
  <c r="F74" i="3" s="1"/>
  <c r="P2277" i="1"/>
  <c r="Q2277" i="1" s="1"/>
  <c r="BS8" i="2" s="1"/>
  <c r="J74" i="3" s="1"/>
  <c r="P2281" i="1"/>
  <c r="Q2281" i="1" s="1"/>
  <c r="BS12" i="2" s="1"/>
  <c r="N74" i="3" s="1"/>
  <c r="P2285" i="1"/>
  <c r="Q2285" i="1" s="1"/>
  <c r="BS16" i="2" s="1"/>
  <c r="R74" i="3" s="1"/>
  <c r="P2272" i="1"/>
  <c r="Q2272" i="1" s="1"/>
  <c r="BS3" i="2" s="1"/>
  <c r="E74" i="3" s="1"/>
  <c r="P196" i="1"/>
  <c r="Q196" i="1" s="1"/>
  <c r="D4" i="2" s="1"/>
  <c r="F11" i="3" s="1"/>
  <c r="F9" i="23" s="1"/>
  <c r="P200" i="1"/>
  <c r="Q200" i="1" s="1"/>
  <c r="D8" i="2" s="1"/>
  <c r="J11" i="3" s="1"/>
  <c r="J9" i="23" s="1"/>
  <c r="P204" i="1"/>
  <c r="Q204" i="1" s="1"/>
  <c r="D12" i="2" s="1"/>
  <c r="N11" i="3" s="1"/>
  <c r="N9" i="23" s="1"/>
  <c r="P208" i="1"/>
  <c r="Q208" i="1" s="1"/>
  <c r="D16" i="2" s="1"/>
  <c r="R11" i="3" s="1"/>
  <c r="R9" i="23" s="1"/>
  <c r="P195" i="1"/>
  <c r="Q195" i="1" s="1"/>
  <c r="D3" i="2" s="1"/>
  <c r="E11" i="3" s="1"/>
  <c r="E9" i="23" s="1"/>
  <c r="P447" i="1"/>
  <c r="Q447" i="1" s="1"/>
  <c r="L7" i="2" s="1"/>
  <c r="I19" i="3" s="1"/>
  <c r="I17" i="23" s="1"/>
  <c r="P451" i="1"/>
  <c r="Q451" i="1" s="1"/>
  <c r="L11" i="2" s="1"/>
  <c r="M19" i="3" s="1"/>
  <c r="M17" i="23" s="1"/>
  <c r="P455" i="1"/>
  <c r="Q455" i="1" s="1"/>
  <c r="L15" i="2" s="1"/>
  <c r="Q19" i="3" s="1"/>
  <c r="Q17" i="23" s="1"/>
  <c r="P459" i="1"/>
  <c r="Q459" i="1" s="1"/>
  <c r="L19" i="2" s="1"/>
  <c r="U19" i="3" s="1"/>
  <c r="U17" i="23" s="1"/>
  <c r="P461" i="1"/>
  <c r="Q461" i="1" s="1"/>
  <c r="L21" i="2" s="1"/>
  <c r="W19" i="3" s="1"/>
  <c r="W17" i="23" s="1"/>
  <c r="P1067" i="1"/>
  <c r="Q1067" i="1" s="1"/>
  <c r="AF7" i="2" s="1"/>
  <c r="I39" i="3" s="1"/>
  <c r="P1071" i="1"/>
  <c r="Q1071" i="1" s="1"/>
  <c r="AF11" i="2" s="1"/>
  <c r="M39" i="3" s="1"/>
  <c r="P1075" i="1"/>
  <c r="Q1075" i="1" s="1"/>
  <c r="AF15" i="2" s="1"/>
  <c r="Q39" i="3" s="1"/>
  <c r="P1079" i="1"/>
  <c r="Q1079" i="1" s="1"/>
  <c r="AF19" i="2" s="1"/>
  <c r="U39" i="3" s="1"/>
  <c r="P1081" i="1"/>
  <c r="Q1081" i="1" s="1"/>
  <c r="AF21" i="2" s="1"/>
  <c r="W39" i="3" s="1"/>
  <c r="P1562" i="1"/>
  <c r="Q1562" i="1" s="1"/>
  <c r="AV6" i="2" s="1"/>
  <c r="H55" i="3" s="1"/>
  <c r="P1566" i="1"/>
  <c r="Q1566" i="1" s="1"/>
  <c r="AV10" i="2" s="1"/>
  <c r="L55" i="3" s="1"/>
  <c r="P1570" i="1"/>
  <c r="Q1570" i="1" s="1"/>
  <c r="AV14" i="2" s="1"/>
  <c r="P55" i="3" s="1"/>
  <c r="P1574" i="1"/>
  <c r="Q1574" i="1" s="1"/>
  <c r="AV18" i="2" s="1"/>
  <c r="T55" i="3" s="1"/>
  <c r="P1578" i="1"/>
  <c r="Q1578" i="1" s="1"/>
  <c r="AV22" i="2" s="1"/>
  <c r="X55" i="3" s="1"/>
  <c r="P1580" i="1"/>
  <c r="Q1580" i="1" s="1"/>
  <c r="AV24" i="2" s="1"/>
  <c r="Z55" i="3" s="1"/>
  <c r="P1585" i="1"/>
  <c r="Q1585" i="1" s="1"/>
  <c r="AV29" i="2" s="1"/>
  <c r="AE55" i="3" s="1"/>
  <c r="P1932" i="1"/>
  <c r="Q1932" i="1" s="1"/>
  <c r="BH4" i="2" s="1"/>
  <c r="F63" i="3" s="1"/>
  <c r="P1936" i="1"/>
  <c r="Q1936" i="1" s="1"/>
  <c r="BH8" i="2" s="1"/>
  <c r="J63" i="3" s="1"/>
  <c r="P1940" i="1"/>
  <c r="Q1940" i="1" s="1"/>
  <c r="BH12" i="2" s="1"/>
  <c r="N63" i="3" s="1"/>
  <c r="P1944" i="1"/>
  <c r="Q1944" i="1" s="1"/>
  <c r="BH16" i="2" s="1"/>
  <c r="R63" i="3" s="1"/>
  <c r="P1931" i="1"/>
  <c r="Q1931" i="1" s="1"/>
  <c r="BH3" i="2" s="1"/>
  <c r="E63" i="3" s="1"/>
  <c r="P1955" i="1"/>
  <c r="Q1955" i="1" s="1"/>
  <c r="BH27" i="2" s="1"/>
  <c r="AC63" i="3" s="1"/>
  <c r="P3144" i="1"/>
  <c r="Q3144" i="1" s="1"/>
  <c r="CU7" i="2" s="1"/>
  <c r="I94" i="3" s="1"/>
  <c r="P3148" i="1"/>
  <c r="Q3148" i="1" s="1"/>
  <c r="CU11" i="2" s="1"/>
  <c r="M94" i="3" s="1"/>
  <c r="P3152" i="1"/>
  <c r="Q3152" i="1" s="1"/>
  <c r="CU15" i="2" s="1"/>
  <c r="Q94" i="3" s="1"/>
  <c r="P3156" i="1"/>
  <c r="Q3156" i="1" s="1"/>
  <c r="CU19" i="2" s="1"/>
  <c r="U94" i="3" s="1"/>
  <c r="P3544" i="1"/>
  <c r="Q3544" i="1" s="1"/>
  <c r="DH4" i="2" s="1"/>
  <c r="F107" i="3" s="1"/>
  <c r="P3548" i="1"/>
  <c r="Q3548" i="1" s="1"/>
  <c r="DH8" i="2" s="1"/>
  <c r="J107" i="3" s="1"/>
  <c r="P3552" i="1"/>
  <c r="Q3552" i="1" s="1"/>
  <c r="DH12" i="2" s="1"/>
  <c r="N107" i="3" s="1"/>
  <c r="P3556" i="1"/>
  <c r="Q3556" i="1" s="1"/>
  <c r="DH16" i="2" s="1"/>
  <c r="R107" i="3" s="1"/>
  <c r="P3543" i="1"/>
  <c r="Q3543" i="1" s="1"/>
  <c r="DH3" i="2" s="1"/>
  <c r="E107" i="3" s="1"/>
  <c r="P3566" i="1"/>
  <c r="Q3566" i="1" s="1"/>
  <c r="DH26" i="2" s="1"/>
  <c r="AB107" i="3" s="1"/>
  <c r="P2305" i="1"/>
  <c r="Q2305" i="1" s="1"/>
  <c r="BT5" i="2" s="1"/>
  <c r="G75" i="3" s="1"/>
  <c r="P2309" i="1"/>
  <c r="Q2309" i="1" s="1"/>
  <c r="BT9" i="2" s="1"/>
  <c r="K75" i="3" s="1"/>
  <c r="P2313" i="1"/>
  <c r="Q2313" i="1" s="1"/>
  <c r="BT13" i="2" s="1"/>
  <c r="O75" i="3" s="1"/>
  <c r="P2317" i="1"/>
  <c r="Q2317" i="1" s="1"/>
  <c r="BT17" i="2" s="1"/>
  <c r="S75" i="3" s="1"/>
  <c r="P2324" i="1"/>
  <c r="Q2324" i="1" s="1"/>
  <c r="BT24" i="2" s="1"/>
  <c r="Z75" i="3" s="1"/>
  <c r="P2327" i="1"/>
  <c r="Q2327" i="1" s="1"/>
  <c r="BT27" i="2" s="1"/>
  <c r="AC75" i="3" s="1"/>
  <c r="P3051" i="1"/>
  <c r="Q3051" i="1" s="1"/>
  <c r="CR7" i="2" s="1"/>
  <c r="I91" i="3" s="1"/>
  <c r="P3055" i="1"/>
  <c r="Q3055" i="1" s="1"/>
  <c r="CR11" i="2" s="1"/>
  <c r="M91" i="3" s="1"/>
  <c r="P3059" i="1"/>
  <c r="Q3059" i="1" s="1"/>
  <c r="CR15" i="2" s="1"/>
  <c r="Q91" i="3" s="1"/>
  <c r="P3063" i="1"/>
  <c r="Q3063" i="1" s="1"/>
  <c r="CR19" i="2" s="1"/>
  <c r="U91" i="3" s="1"/>
  <c r="P3333" i="1"/>
  <c r="Q3333" i="1" s="1"/>
  <c r="DA10" i="2" s="1"/>
  <c r="L100" i="3" s="1"/>
  <c r="P3341" i="1"/>
  <c r="Q3341" i="1" s="1"/>
  <c r="DA18" i="2" s="1"/>
  <c r="T100" i="3" s="1"/>
  <c r="P3349" i="1"/>
  <c r="Q3349" i="1" s="1"/>
  <c r="DA26" i="2" s="1"/>
  <c r="AB100" i="3" s="1"/>
  <c r="P3669" i="1"/>
  <c r="Q3669" i="1" s="1"/>
  <c r="DL5" i="2" s="1"/>
  <c r="G111" i="3" s="1"/>
  <c r="P3673" i="1"/>
  <c r="Q3673" i="1" s="1"/>
  <c r="DL9" i="2" s="1"/>
  <c r="K111" i="3" s="1"/>
  <c r="P3677" i="1"/>
  <c r="Q3677" i="1" s="1"/>
  <c r="DL13" i="2" s="1"/>
  <c r="O111" i="3" s="1"/>
  <c r="P3681" i="1"/>
  <c r="Q3681" i="1" s="1"/>
  <c r="DL17" i="2" s="1"/>
  <c r="S111" i="3" s="1"/>
  <c r="P3684" i="1"/>
  <c r="Q3684" i="1" s="1"/>
  <c r="DL20" i="2" s="1"/>
  <c r="V111" i="3" s="1"/>
  <c r="P228" i="1"/>
  <c r="Q228" i="1" s="1"/>
  <c r="E5" i="2" s="1"/>
  <c r="G12" i="3" s="1"/>
  <c r="G10" i="23" s="1"/>
  <c r="P232" i="1"/>
  <c r="Q232" i="1" s="1"/>
  <c r="E9" i="2" s="1"/>
  <c r="K12" i="3" s="1"/>
  <c r="K10" i="23" s="1"/>
  <c r="P236" i="1"/>
  <c r="Q236" i="1" s="1"/>
  <c r="E13" i="2" s="1"/>
  <c r="O12" i="3" s="1"/>
  <c r="O10" i="23" s="1"/>
  <c r="P240" i="1"/>
  <c r="Q240" i="1" s="1"/>
  <c r="E17" i="2" s="1"/>
  <c r="S12" i="3" s="1"/>
  <c r="S10" i="23" s="1"/>
  <c r="P243" i="1"/>
  <c r="Q243" i="1" s="1"/>
  <c r="E20" i="2" s="1"/>
  <c r="V12" i="3" s="1"/>
  <c r="V10" i="23" s="1"/>
  <c r="P247" i="1"/>
  <c r="Q247" i="1" s="1"/>
  <c r="E24" i="2" s="1"/>
  <c r="Z12" i="3" s="1"/>
  <c r="Z10" i="23" s="1"/>
  <c r="P250" i="1"/>
  <c r="Q250" i="1" s="1"/>
  <c r="E27" i="2" s="1"/>
  <c r="AC12" i="3" s="1"/>
  <c r="AC10" i="23" s="1"/>
  <c r="P321" i="1"/>
  <c r="Q321" i="1" s="1"/>
  <c r="H5" i="2" s="1"/>
  <c r="G15" i="3" s="1"/>
  <c r="G13" i="23" s="1"/>
  <c r="P325" i="1"/>
  <c r="Q325" i="1" s="1"/>
  <c r="H9" i="2" s="1"/>
  <c r="K15" i="3" s="1"/>
  <c r="K13" i="23" s="1"/>
  <c r="P329" i="1"/>
  <c r="Q329" i="1" s="1"/>
  <c r="H13" i="2" s="1"/>
  <c r="O15" i="3" s="1"/>
  <c r="O13" i="23" s="1"/>
  <c r="P333" i="1"/>
  <c r="Q333" i="1" s="1"/>
  <c r="H17" i="2" s="1"/>
  <c r="S15" i="3" s="1"/>
  <c r="S13" i="23" s="1"/>
  <c r="P336" i="1"/>
  <c r="Q336" i="1" s="1"/>
  <c r="H20" i="2" s="1"/>
  <c r="V15" i="3" s="1"/>
  <c r="V13" i="23" s="1"/>
  <c r="P340" i="1"/>
  <c r="Q340" i="1" s="1"/>
  <c r="H24" i="2" s="1"/>
  <c r="Z15" i="3" s="1"/>
  <c r="Z13" i="23" s="1"/>
  <c r="P344" i="1"/>
  <c r="Q344" i="1" s="1"/>
  <c r="H28" i="2" s="1"/>
  <c r="AD15" i="3" s="1"/>
  <c r="AD13" i="23" s="1"/>
  <c r="P664" i="1"/>
  <c r="Q664" i="1" s="1"/>
  <c r="S7" i="2" s="1"/>
  <c r="I26" i="3" s="1"/>
  <c r="P668" i="1"/>
  <c r="Q668" i="1" s="1"/>
  <c r="S11" i="2" s="1"/>
  <c r="M26" i="3" s="1"/>
  <c r="P672" i="1"/>
  <c r="Q672" i="1" s="1"/>
  <c r="S15" i="2" s="1"/>
  <c r="Q26" i="3" s="1"/>
  <c r="P676" i="1"/>
  <c r="Q676" i="1" s="1"/>
  <c r="S19" i="2" s="1"/>
  <c r="U26" i="3" s="1"/>
  <c r="P678" i="1"/>
  <c r="Q678" i="1" s="1"/>
  <c r="S21" i="2" s="1"/>
  <c r="W26" i="3" s="1"/>
  <c r="P683" i="1"/>
  <c r="Q683" i="1" s="1"/>
  <c r="S26" i="2" s="1"/>
  <c r="AB26" i="3" s="1"/>
  <c r="P940" i="1"/>
  <c r="Q940" i="1" s="1"/>
  <c r="AB4" i="2" s="1"/>
  <c r="F35" i="3" s="1"/>
  <c r="P944" i="1"/>
  <c r="Q944" i="1" s="1"/>
  <c r="AB8" i="2" s="1"/>
  <c r="J35" i="3" s="1"/>
  <c r="P948" i="1"/>
  <c r="Q948" i="1" s="1"/>
  <c r="AB12" i="2" s="1"/>
  <c r="N35" i="3" s="1"/>
  <c r="P952" i="1"/>
  <c r="Q952" i="1" s="1"/>
  <c r="AB16" i="2" s="1"/>
  <c r="R35" i="3" s="1"/>
  <c r="P939" i="1"/>
  <c r="Q939" i="1" s="1"/>
  <c r="AB3" i="2" s="1"/>
  <c r="E35" i="3" s="1"/>
  <c r="P959" i="1"/>
  <c r="Q959" i="1" s="1"/>
  <c r="AB23" i="2" s="1"/>
  <c r="Y35" i="3" s="1"/>
  <c r="P963" i="1"/>
  <c r="Q963" i="1" s="1"/>
  <c r="AB27" i="2" s="1"/>
  <c r="AC35" i="3" s="1"/>
  <c r="P1282" i="1"/>
  <c r="Q1282" i="1" s="1"/>
  <c r="AM5" i="2" s="1"/>
  <c r="G46" i="3" s="1"/>
  <c r="P1286" i="1"/>
  <c r="Q1286" i="1" s="1"/>
  <c r="AM9" i="2" s="1"/>
  <c r="K46" i="3" s="1"/>
  <c r="P1290" i="1"/>
  <c r="Q1290" i="1" s="1"/>
  <c r="AM13" i="2" s="1"/>
  <c r="O46" i="3" s="1"/>
  <c r="P1294" i="1"/>
  <c r="Q1294" i="1" s="1"/>
  <c r="AM17" i="2" s="1"/>
  <c r="S46" i="3" s="1"/>
  <c r="P1297" i="1"/>
  <c r="Q1297" i="1" s="1"/>
  <c r="AM20" i="2" s="1"/>
  <c r="V46" i="3" s="1"/>
  <c r="P1302" i="1"/>
  <c r="Q1302" i="1" s="1"/>
  <c r="AM25" i="2" s="1"/>
  <c r="AA46" i="3" s="1"/>
  <c r="P1305" i="1"/>
  <c r="Q1305" i="1" s="1"/>
  <c r="AM28" i="2" s="1"/>
  <c r="AD46" i="3" s="1"/>
  <c r="P2987" i="1"/>
  <c r="Q2987" i="1" s="1"/>
  <c r="CP5" i="2" s="1"/>
  <c r="G89" i="3" s="1"/>
  <c r="P2991" i="1"/>
  <c r="Q2991" i="1" s="1"/>
  <c r="CP9" i="2" s="1"/>
  <c r="K89" i="3" s="1"/>
  <c r="P2995" i="1"/>
  <c r="Q2995" i="1" s="1"/>
  <c r="CP13" i="2" s="1"/>
  <c r="O89" i="3" s="1"/>
  <c r="P2999" i="1"/>
  <c r="Q2999" i="1" s="1"/>
  <c r="CP17" i="2" s="1"/>
  <c r="S89" i="3" s="1"/>
  <c r="P3002" i="1"/>
  <c r="Q3002" i="1" s="1"/>
  <c r="CP20" i="2" s="1"/>
  <c r="V89" i="3" s="1"/>
  <c r="P3006" i="1"/>
  <c r="Q3006" i="1" s="1"/>
  <c r="CP24" i="2" s="1"/>
  <c r="Z89" i="3" s="1"/>
  <c r="P3009" i="1"/>
  <c r="Q3009" i="1" s="1"/>
  <c r="CP27" i="2" s="1"/>
  <c r="AC89" i="3" s="1"/>
  <c r="P3423" i="1"/>
  <c r="Q3423" i="1" s="1"/>
  <c r="DD7" i="2" s="1"/>
  <c r="I103" i="3" s="1"/>
  <c r="P3427" i="1"/>
  <c r="Q3427" i="1" s="1"/>
  <c r="DD11" i="2" s="1"/>
  <c r="M103" i="3" s="1"/>
  <c r="P3431" i="1"/>
  <c r="Q3431" i="1" s="1"/>
  <c r="DD15" i="2" s="1"/>
  <c r="Q103" i="3" s="1"/>
  <c r="P3435" i="1"/>
  <c r="Q3435" i="1" s="1"/>
  <c r="DD19" i="2" s="1"/>
  <c r="U103" i="3" s="1"/>
  <c r="P3437" i="1"/>
  <c r="Q3437" i="1" s="1"/>
  <c r="DD21" i="2" s="1"/>
  <c r="W103" i="3" s="1"/>
  <c r="P3444" i="1"/>
  <c r="Q3444" i="1" s="1"/>
  <c r="DD28" i="2" s="1"/>
  <c r="AD103" i="3" s="1"/>
  <c r="P3762" i="1"/>
  <c r="Q3762" i="1" s="1"/>
  <c r="DO5" i="2" s="1"/>
  <c r="G114" i="3" s="1"/>
  <c r="P3766" i="1"/>
  <c r="Q3766" i="1" s="1"/>
  <c r="DO9" i="2" s="1"/>
  <c r="K114" i="3" s="1"/>
  <c r="P3770" i="1"/>
  <c r="Q3770" i="1" s="1"/>
  <c r="DO13" i="2" s="1"/>
  <c r="O114" i="3" s="1"/>
  <c r="P3774" i="1"/>
  <c r="Q3774" i="1" s="1"/>
  <c r="DO17" i="2" s="1"/>
  <c r="S114" i="3" s="1"/>
  <c r="P3777" i="1"/>
  <c r="Q3777" i="1" s="1"/>
  <c r="DO20" i="2" s="1"/>
  <c r="V114" i="3" s="1"/>
  <c r="P3780" i="1"/>
  <c r="Q3780" i="1" s="1"/>
  <c r="DO23" i="2" s="1"/>
  <c r="Y114" i="3" s="1"/>
  <c r="P3783" i="1"/>
  <c r="Q3783" i="1" s="1"/>
  <c r="DO26" i="2" s="1"/>
  <c r="AB114" i="3" s="1"/>
  <c r="P2181" i="1"/>
  <c r="Q2181" i="1" s="1"/>
  <c r="BP5" i="2" s="1"/>
  <c r="G71" i="3" s="1"/>
  <c r="P2185" i="1"/>
  <c r="Q2185" i="1" s="1"/>
  <c r="BP9" i="2" s="1"/>
  <c r="K71" i="3" s="1"/>
  <c r="P2189" i="1"/>
  <c r="Q2189" i="1" s="1"/>
  <c r="BP13" i="2" s="1"/>
  <c r="O71" i="3" s="1"/>
  <c r="P2193" i="1"/>
  <c r="Q2193" i="1" s="1"/>
  <c r="BP17" i="2" s="1"/>
  <c r="S71" i="3" s="1"/>
  <c r="P2196" i="1"/>
  <c r="Q2196" i="1" s="1"/>
  <c r="BP20" i="2" s="1"/>
  <c r="V71" i="3" s="1"/>
  <c r="P2199" i="1"/>
  <c r="Q2199" i="1" s="1"/>
  <c r="BP23" i="2" s="1"/>
  <c r="Y71" i="3" s="1"/>
  <c r="P2203" i="1"/>
  <c r="Q2203" i="1" s="1"/>
  <c r="BP27" i="2" s="1"/>
  <c r="AC71" i="3" s="1"/>
  <c r="P3111" i="1"/>
  <c r="P3110" i="1"/>
  <c r="P3117" i="1"/>
  <c r="P3112" i="1"/>
  <c r="P3128" i="1"/>
  <c r="P3133" i="1"/>
  <c r="P353" i="1"/>
  <c r="Q353" i="1" s="1"/>
  <c r="I6" i="2" s="1"/>
  <c r="H16" i="3" s="1"/>
  <c r="H14" i="23" s="1"/>
  <c r="P357" i="1"/>
  <c r="Q357" i="1" s="1"/>
  <c r="I10" i="2" s="1"/>
  <c r="L16" i="3" s="1"/>
  <c r="L14" i="23" s="1"/>
  <c r="P361" i="1"/>
  <c r="Q361" i="1" s="1"/>
  <c r="I14" i="2" s="1"/>
  <c r="P16" i="3" s="1"/>
  <c r="P14" i="23" s="1"/>
  <c r="P365" i="1"/>
  <c r="Q365" i="1" s="1"/>
  <c r="I18" i="2" s="1"/>
  <c r="T16" i="3" s="1"/>
  <c r="T14" i="23" s="1"/>
  <c r="P369" i="1"/>
  <c r="Q369" i="1" s="1"/>
  <c r="I22" i="2" s="1"/>
  <c r="X16" i="3" s="1"/>
  <c r="X14" i="23" s="1"/>
  <c r="P372" i="1"/>
  <c r="Q372" i="1" s="1"/>
  <c r="I25" i="2" s="1"/>
  <c r="AA16" i="3" s="1"/>
  <c r="AA14" i="23" s="1"/>
  <c r="P376" i="1"/>
  <c r="Q376" i="1" s="1"/>
  <c r="I29" i="2" s="1"/>
  <c r="AE16" i="3" s="1"/>
  <c r="AE14" i="23" s="1"/>
  <c r="P692" i="1"/>
  <c r="Q692" i="1" s="1"/>
  <c r="T4" i="2" s="1"/>
  <c r="F27" i="3" s="1"/>
  <c r="P696" i="1"/>
  <c r="Q696" i="1" s="1"/>
  <c r="T8" i="2" s="1"/>
  <c r="J27" i="3" s="1"/>
  <c r="P700" i="1"/>
  <c r="Q700" i="1" s="1"/>
  <c r="T12" i="2" s="1"/>
  <c r="N27" i="3" s="1"/>
  <c r="P704" i="1"/>
  <c r="Q704" i="1" s="1"/>
  <c r="T16" i="2" s="1"/>
  <c r="R27" i="3" s="1"/>
  <c r="P691" i="1"/>
  <c r="Q691" i="1" s="1"/>
  <c r="T3" i="2" s="1"/>
  <c r="E27" i="3" s="1"/>
  <c r="P711" i="1"/>
  <c r="Q711" i="1" s="1"/>
  <c r="T23" i="2" s="1"/>
  <c r="Y27" i="3" s="1"/>
  <c r="P714" i="1"/>
  <c r="Q714" i="1" s="1"/>
  <c r="T26" i="2" s="1"/>
  <c r="AB27" i="3" s="1"/>
  <c r="P973" i="1"/>
  <c r="Q973" i="1" s="1"/>
  <c r="AC6" i="2" s="1"/>
  <c r="H36" i="3" s="1"/>
  <c r="P977" i="1"/>
  <c r="Q977" i="1" s="1"/>
  <c r="AC10" i="2" s="1"/>
  <c r="L36" i="3" s="1"/>
  <c r="P981" i="1"/>
  <c r="Q981" i="1" s="1"/>
  <c r="AC14" i="2" s="1"/>
  <c r="P36" i="3" s="1"/>
  <c r="P985" i="1"/>
  <c r="Q985" i="1" s="1"/>
  <c r="AC18" i="2" s="1"/>
  <c r="T36" i="3" s="1"/>
  <c r="P989" i="1"/>
  <c r="Q989" i="1" s="1"/>
  <c r="AC22" i="2" s="1"/>
  <c r="X36" i="3" s="1"/>
  <c r="P991" i="1"/>
  <c r="Q991" i="1" s="1"/>
  <c r="AC24" i="2" s="1"/>
  <c r="Z36" i="3" s="1"/>
  <c r="P996" i="1"/>
  <c r="Q996" i="1" s="1"/>
  <c r="AC29" i="2" s="1"/>
  <c r="AE36" i="3" s="1"/>
  <c r="P1312" i="1"/>
  <c r="Q1312" i="1" s="1"/>
  <c r="AN4" i="2" s="1"/>
  <c r="F47" i="3" s="1"/>
  <c r="P1316" i="1"/>
  <c r="Q1316" i="1" s="1"/>
  <c r="AN8" i="2" s="1"/>
  <c r="J47" i="3" s="1"/>
  <c r="P1320" i="1"/>
  <c r="Q1320" i="1" s="1"/>
  <c r="AN12" i="2" s="1"/>
  <c r="N47" i="3" s="1"/>
  <c r="P1324" i="1"/>
  <c r="Q1324" i="1" s="1"/>
  <c r="AN16" i="2" s="1"/>
  <c r="R47" i="3" s="1"/>
  <c r="P1311" i="1"/>
  <c r="Q1311" i="1" s="1"/>
  <c r="AN3" i="2" s="1"/>
  <c r="E47" i="3" s="1"/>
  <c r="P1331" i="1"/>
  <c r="Q1331" i="1" s="1"/>
  <c r="AN23" i="2" s="1"/>
  <c r="Y47" i="3" s="1"/>
  <c r="P1334" i="1"/>
  <c r="Q1334" i="1" s="1"/>
  <c r="AN26" i="2" s="1"/>
  <c r="AB47" i="3" s="1"/>
  <c r="P2057" i="1"/>
  <c r="Q2057" i="1" s="1"/>
  <c r="BL5" i="2" s="1"/>
  <c r="G67" i="3" s="1"/>
  <c r="P2061" i="1"/>
  <c r="Q2061" i="1" s="1"/>
  <c r="BL9" i="2" s="1"/>
  <c r="K67" i="3" s="1"/>
  <c r="P2065" i="1"/>
  <c r="Q2065" i="1" s="1"/>
  <c r="BL13" i="2" s="1"/>
  <c r="O67" i="3" s="1"/>
  <c r="P2069" i="1"/>
  <c r="Q2069" i="1" s="1"/>
  <c r="BL17" i="2" s="1"/>
  <c r="S67" i="3" s="1"/>
  <c r="P2072" i="1"/>
  <c r="Q2072" i="1" s="1"/>
  <c r="BL20" i="2" s="1"/>
  <c r="V67" i="3" s="1"/>
  <c r="P2077" i="1"/>
  <c r="Q2077" i="1" s="1"/>
  <c r="BL25" i="2" s="1"/>
  <c r="AA67" i="3" s="1"/>
  <c r="P2080" i="1"/>
  <c r="Q2080" i="1" s="1"/>
  <c r="BL28" i="2" s="1"/>
  <c r="AD67" i="3" s="1"/>
  <c r="P2441" i="1"/>
  <c r="Q2441" i="1" s="1"/>
  <c r="BX17" i="2" s="1"/>
  <c r="S79" i="3" s="1"/>
  <c r="P2430" i="1"/>
  <c r="Q2430" i="1" s="1"/>
  <c r="BX6" i="2" s="1"/>
  <c r="H79" i="3" s="1"/>
  <c r="P2434" i="1"/>
  <c r="Q2434" i="1" s="1"/>
  <c r="BX10" i="2" s="1"/>
  <c r="L79" i="3" s="1"/>
  <c r="P2440" i="1"/>
  <c r="Q2440" i="1" s="1"/>
  <c r="BX16" i="2" s="1"/>
  <c r="R79" i="3" s="1"/>
  <c r="P2446" i="1"/>
  <c r="Q2446" i="1" s="1"/>
  <c r="BX22" i="2" s="1"/>
  <c r="X79" i="3" s="1"/>
  <c r="P2447" i="1"/>
  <c r="Q2447" i="1" s="1"/>
  <c r="BX23" i="2" s="1"/>
  <c r="Y79" i="3" s="1"/>
  <c r="P2453" i="1"/>
  <c r="Q2453" i="1" s="1"/>
  <c r="BX29" i="2" s="1"/>
  <c r="AE79" i="3" s="1"/>
  <c r="P2893" i="1"/>
  <c r="Q2893" i="1" s="1"/>
  <c r="CM4" i="2" s="1"/>
  <c r="F86" i="3" s="1"/>
  <c r="P2897" i="1"/>
  <c r="Q2897" i="1" s="1"/>
  <c r="CM8" i="2" s="1"/>
  <c r="J86" i="3" s="1"/>
  <c r="P2901" i="1"/>
  <c r="Q2901" i="1" s="1"/>
  <c r="CM12" i="2" s="1"/>
  <c r="N86" i="3" s="1"/>
  <c r="P2905" i="1"/>
  <c r="Q2905" i="1" s="1"/>
  <c r="CM16" i="2" s="1"/>
  <c r="R86" i="3" s="1"/>
  <c r="P2892" i="1"/>
  <c r="Q2892" i="1" s="1"/>
  <c r="CM3" i="2" s="1"/>
  <c r="E86" i="3" s="1"/>
  <c r="P2913" i="1"/>
  <c r="Q2913" i="1" s="1"/>
  <c r="CM24" i="2" s="1"/>
  <c r="Z86" i="3" s="1"/>
  <c r="P2915" i="1"/>
  <c r="Q2915" i="1" s="1"/>
  <c r="CM26" i="2" s="1"/>
  <c r="AB86" i="3" s="1"/>
  <c r="P3301" i="1"/>
  <c r="Q3301" i="1" s="1"/>
  <c r="CZ9" i="2" s="1"/>
  <c r="K99" i="3" s="1"/>
  <c r="P3309" i="1"/>
  <c r="Q3309" i="1" s="1"/>
  <c r="CZ17" i="2" s="1"/>
  <c r="S99" i="3" s="1"/>
  <c r="P3300" i="1"/>
  <c r="Q3300" i="1" s="1"/>
  <c r="CZ8" i="2" s="1"/>
  <c r="J99" i="3" s="1"/>
  <c r="P3308" i="1"/>
  <c r="Q3308" i="1" s="1"/>
  <c r="CZ16" i="2" s="1"/>
  <c r="R99" i="3" s="1"/>
  <c r="P3314" i="1"/>
  <c r="Q3314" i="1" s="1"/>
  <c r="CZ22" i="2" s="1"/>
  <c r="X99" i="3" s="1"/>
  <c r="P3315" i="1"/>
  <c r="Q3315" i="1" s="1"/>
  <c r="CZ23" i="2" s="1"/>
  <c r="Y99" i="3" s="1"/>
  <c r="P3321" i="1"/>
  <c r="Q3321" i="1" s="1"/>
  <c r="CZ29" i="2" s="1"/>
  <c r="AE99" i="3" s="1"/>
  <c r="P3637" i="1"/>
  <c r="Q3637" i="1" s="1"/>
  <c r="DK4" i="2" s="1"/>
  <c r="F110" i="3" s="1"/>
  <c r="P3641" i="1"/>
  <c r="Q3641" i="1" s="1"/>
  <c r="DK8" i="2" s="1"/>
  <c r="J110" i="3" s="1"/>
  <c r="P3645" i="1"/>
  <c r="Q3645" i="1" s="1"/>
  <c r="DK12" i="2" s="1"/>
  <c r="N110" i="3" s="1"/>
  <c r="P3649" i="1"/>
  <c r="Q3649" i="1" s="1"/>
  <c r="DK16" i="2" s="1"/>
  <c r="R110" i="3" s="1"/>
  <c r="P3636" i="1"/>
  <c r="Q3636" i="1" s="1"/>
  <c r="DK3" i="2" s="1"/>
  <c r="E110" i="3" s="1"/>
  <c r="P3657" i="1"/>
  <c r="Q3657" i="1" s="1"/>
  <c r="DK24" i="2" s="1"/>
  <c r="Z110" i="3" s="1"/>
  <c r="P3659" i="1"/>
  <c r="Q3659" i="1" s="1"/>
  <c r="DK26" i="2" s="1"/>
  <c r="AB110" i="3" s="1"/>
  <c r="P1816" i="1"/>
  <c r="P1823" i="1"/>
  <c r="P1818" i="1"/>
  <c r="P1822" i="1"/>
  <c r="P1827" i="1"/>
  <c r="P1828" i="1"/>
  <c r="P1832" i="1"/>
  <c r="P1965" i="1"/>
  <c r="Q1965" i="1" s="1"/>
  <c r="BI6" i="2" s="1"/>
  <c r="H64" i="3" s="1"/>
  <c r="P1969" i="1"/>
  <c r="Q1969" i="1" s="1"/>
  <c r="BI10" i="2" s="1"/>
  <c r="L64" i="3" s="1"/>
  <c r="P1973" i="1"/>
  <c r="Q1973" i="1" s="1"/>
  <c r="BI14" i="2" s="1"/>
  <c r="P64" i="3" s="1"/>
  <c r="P1977" i="1"/>
  <c r="Q1977" i="1" s="1"/>
  <c r="BI18" i="2" s="1"/>
  <c r="T64" i="3" s="1"/>
  <c r="P1981" i="1"/>
  <c r="Q1981" i="1" s="1"/>
  <c r="BI22" i="2" s="1"/>
  <c r="X64" i="3" s="1"/>
  <c r="P1982" i="1"/>
  <c r="Q1982" i="1" s="1"/>
  <c r="BI23" i="2" s="1"/>
  <c r="Y64" i="3" s="1"/>
  <c r="P1988" i="1"/>
  <c r="Q1988" i="1" s="1"/>
  <c r="BI29" i="2" s="1"/>
  <c r="AE64" i="3" s="1"/>
  <c r="P166" i="1"/>
  <c r="Q166" i="1" s="1"/>
  <c r="C5" i="2" s="1"/>
  <c r="G10" i="3" s="1"/>
  <c r="G8" i="23" s="1"/>
  <c r="P170" i="1"/>
  <c r="Q170" i="1" s="1"/>
  <c r="C9" i="2" s="1"/>
  <c r="K10" i="3" s="1"/>
  <c r="K8" i="23" s="1"/>
  <c r="P174" i="1"/>
  <c r="Q174" i="1" s="1"/>
  <c r="C13" i="2" s="1"/>
  <c r="O10" i="3" s="1"/>
  <c r="O8" i="23" s="1"/>
  <c r="P178" i="1"/>
  <c r="Q178" i="1" s="1"/>
  <c r="C17" i="2" s="1"/>
  <c r="S10" i="3" s="1"/>
  <c r="S8" i="23" s="1"/>
  <c r="P181" i="1"/>
  <c r="Q181" i="1" s="1"/>
  <c r="C20" i="2" s="1"/>
  <c r="V10" i="3" s="1"/>
  <c r="V8" i="23" s="1"/>
  <c r="P185" i="1"/>
  <c r="Q185" i="1" s="1"/>
  <c r="C24" i="2" s="1"/>
  <c r="Z10" i="3" s="1"/>
  <c r="Z8" i="23" s="1"/>
  <c r="P189" i="1"/>
  <c r="Q189" i="1" s="1"/>
  <c r="C28" i="2" s="1"/>
  <c r="AD10" i="3" s="1"/>
  <c r="AD8" i="23" s="1"/>
  <c r="P910" i="1"/>
  <c r="Q910" i="1" s="1"/>
  <c r="AA5" i="2" s="1"/>
  <c r="G34" i="3" s="1"/>
  <c r="P914" i="1"/>
  <c r="Q914" i="1" s="1"/>
  <c r="AA9" i="2" s="1"/>
  <c r="K34" i="3" s="1"/>
  <c r="P918" i="1"/>
  <c r="Q918" i="1" s="1"/>
  <c r="AA13" i="2" s="1"/>
  <c r="O34" i="3" s="1"/>
  <c r="P922" i="1"/>
  <c r="Q922" i="1" s="1"/>
  <c r="AA17" i="2" s="1"/>
  <c r="S34" i="3" s="1"/>
  <c r="P925" i="1"/>
  <c r="Q925" i="1" s="1"/>
  <c r="AA20" i="2" s="1"/>
  <c r="V34" i="3" s="1"/>
  <c r="P930" i="1"/>
  <c r="Q930" i="1" s="1"/>
  <c r="AA25" i="2" s="1"/>
  <c r="AA34" i="3" s="1"/>
  <c r="P933" i="1"/>
  <c r="Q933" i="1" s="1"/>
  <c r="AA28" i="2" s="1"/>
  <c r="AD34" i="3" s="1"/>
  <c r="P1219" i="1"/>
  <c r="Q1219" i="1" s="1"/>
  <c r="AK4" i="2" s="1"/>
  <c r="F44" i="3" s="1"/>
  <c r="P1223" i="1"/>
  <c r="Q1223" i="1" s="1"/>
  <c r="AK8" i="2" s="1"/>
  <c r="J44" i="3" s="1"/>
  <c r="P1227" i="1"/>
  <c r="Q1227" i="1" s="1"/>
  <c r="AK12" i="2" s="1"/>
  <c r="N44" i="3" s="1"/>
  <c r="P1231" i="1"/>
  <c r="Q1231" i="1" s="1"/>
  <c r="AK16" i="2" s="1"/>
  <c r="R44" i="3" s="1"/>
  <c r="P1218" i="1"/>
  <c r="Q1218" i="1" s="1"/>
  <c r="AK3" i="2" s="1"/>
  <c r="E44" i="3" s="1"/>
  <c r="P1238" i="1"/>
  <c r="Q1238" i="1" s="1"/>
  <c r="AK23" i="2" s="1"/>
  <c r="Y44" i="3" s="1"/>
  <c r="P1242" i="1"/>
  <c r="Q1242" i="1" s="1"/>
  <c r="AK27" i="2" s="1"/>
  <c r="AC44" i="3" s="1"/>
  <c r="P2956" i="1"/>
  <c r="Q2956" i="1" s="1"/>
  <c r="CO5" i="2" s="1"/>
  <c r="G88" i="3" s="1"/>
  <c r="P2960" i="1"/>
  <c r="Q2960" i="1" s="1"/>
  <c r="CO9" i="2" s="1"/>
  <c r="K88" i="3" s="1"/>
  <c r="P2964" i="1"/>
  <c r="Q2964" i="1" s="1"/>
  <c r="CO13" i="2" s="1"/>
  <c r="O88" i="3" s="1"/>
  <c r="P2968" i="1"/>
  <c r="Q2968" i="1" s="1"/>
  <c r="CO17" i="2" s="1"/>
  <c r="S88" i="3" s="1"/>
  <c r="P2971" i="1"/>
  <c r="Q2971" i="1" s="1"/>
  <c r="CO20" i="2" s="1"/>
  <c r="V88" i="3" s="1"/>
  <c r="P2974" i="1"/>
  <c r="Q2974" i="1" s="1"/>
  <c r="CO23" i="2" s="1"/>
  <c r="Y88" i="3" s="1"/>
  <c r="P2979" i="1"/>
  <c r="Q2979" i="1" s="1"/>
  <c r="CO28" i="2" s="1"/>
  <c r="AD88" i="3" s="1"/>
  <c r="P3391" i="1"/>
  <c r="Q3391" i="1" s="1"/>
  <c r="DC6" i="2" s="1"/>
  <c r="H102" i="3" s="1"/>
  <c r="P3395" i="1"/>
  <c r="Q3395" i="1" s="1"/>
  <c r="DC10" i="2" s="1"/>
  <c r="L102" i="3" s="1"/>
  <c r="P3399" i="1"/>
  <c r="Q3399" i="1" s="1"/>
  <c r="DC14" i="2" s="1"/>
  <c r="P102" i="3" s="1"/>
  <c r="P3403" i="1"/>
  <c r="Q3403" i="1" s="1"/>
  <c r="DC18" i="2" s="1"/>
  <c r="T102" i="3" s="1"/>
  <c r="P3407" i="1"/>
  <c r="Q3407" i="1" s="1"/>
  <c r="DC22" i="2" s="1"/>
  <c r="X102" i="3" s="1"/>
  <c r="P3408" i="1"/>
  <c r="Q3408" i="1" s="1"/>
  <c r="DC23" i="2" s="1"/>
  <c r="Y102" i="3" s="1"/>
  <c r="P3414" i="1"/>
  <c r="Q3414" i="1" s="1"/>
  <c r="DC29" i="2" s="1"/>
  <c r="AE102" i="3" s="1"/>
  <c r="P3699" i="1"/>
  <c r="Q3699" i="1" s="1"/>
  <c r="DM4" i="2" s="1"/>
  <c r="F112" i="3" s="1"/>
  <c r="P3703" i="1"/>
  <c r="Q3703" i="1" s="1"/>
  <c r="DM8" i="2" s="1"/>
  <c r="J112" i="3" s="1"/>
  <c r="P3707" i="1"/>
  <c r="Q3707" i="1" s="1"/>
  <c r="DM12" i="2" s="1"/>
  <c r="N112" i="3" s="1"/>
  <c r="P3711" i="1"/>
  <c r="Q3711" i="1" s="1"/>
  <c r="DM16" i="2" s="1"/>
  <c r="R112" i="3" s="1"/>
  <c r="P3698" i="1"/>
  <c r="Q3698" i="1" s="1"/>
  <c r="DM3" i="2" s="1"/>
  <c r="E112" i="3" s="1"/>
  <c r="P3719" i="1"/>
  <c r="Q3719" i="1" s="1"/>
  <c r="DM24" i="2" s="1"/>
  <c r="Z112" i="3" s="1"/>
  <c r="P3721" i="1"/>
  <c r="Q3721" i="1" s="1"/>
  <c r="DM26" i="2" s="1"/>
  <c r="AB112" i="3" s="1"/>
  <c r="P134" i="1"/>
  <c r="Q134" i="1" s="1"/>
  <c r="B4" i="2" s="1"/>
  <c r="F9" i="3" s="1"/>
  <c r="F7" i="23" s="1"/>
  <c r="P138" i="1"/>
  <c r="Q138" i="1" s="1"/>
  <c r="B8" i="2" s="1"/>
  <c r="J9" i="3" s="1"/>
  <c r="J7" i="23" s="1"/>
  <c r="P143" i="1"/>
  <c r="Q143" i="1" s="1"/>
  <c r="B13" i="2" s="1"/>
  <c r="O9" i="3" s="1"/>
  <c r="O7" i="23" s="1"/>
  <c r="P147" i="1"/>
  <c r="Q147" i="1" s="1"/>
  <c r="B17" i="2" s="1"/>
  <c r="S9" i="3" s="1"/>
  <c r="S7" i="23" s="1"/>
  <c r="P152" i="1"/>
  <c r="Q152" i="1" s="1"/>
  <c r="B22" i="2" s="1"/>
  <c r="X9" i="3" s="1"/>
  <c r="X7" i="23" s="1"/>
  <c r="P157" i="1"/>
  <c r="Q157" i="1" s="1"/>
  <c r="B27" i="2" s="1"/>
  <c r="AC9" i="3" s="1"/>
  <c r="AC7" i="23" s="1"/>
  <c r="P570" i="1"/>
  <c r="Q570" i="1" s="1"/>
  <c r="P6" i="2" s="1"/>
  <c r="H23" i="3" s="1"/>
  <c r="H21" i="23" s="1"/>
  <c r="P574" i="1"/>
  <c r="Q574" i="1" s="1"/>
  <c r="P10" i="2" s="1"/>
  <c r="L23" i="3" s="1"/>
  <c r="L21" i="23" s="1"/>
  <c r="P578" i="1"/>
  <c r="Q578" i="1" s="1"/>
  <c r="P14" i="2" s="1"/>
  <c r="P23" i="3" s="1"/>
  <c r="P21" i="23" s="1"/>
  <c r="P582" i="1"/>
  <c r="Q582" i="1" s="1"/>
  <c r="P18" i="2" s="1"/>
  <c r="T23" i="3" s="1"/>
  <c r="T21" i="23" s="1"/>
  <c r="P586" i="1"/>
  <c r="Q586" i="1" s="1"/>
  <c r="P22" i="2" s="1"/>
  <c r="X23" i="3" s="1"/>
  <c r="X21" i="23" s="1"/>
  <c r="P588" i="1"/>
  <c r="Q588" i="1" s="1"/>
  <c r="P24" i="2" s="1"/>
  <c r="Z23" i="3" s="1"/>
  <c r="Z21" i="23" s="1"/>
  <c r="P593" i="1"/>
  <c r="Q593" i="1" s="1"/>
  <c r="P29" i="2" s="1"/>
  <c r="AE23" i="3" s="1"/>
  <c r="AE21" i="23" s="1"/>
  <c r="P850" i="1"/>
  <c r="Q850" i="1" s="1"/>
  <c r="Y7" i="2" s="1"/>
  <c r="I32" i="3" s="1"/>
  <c r="P854" i="1"/>
  <c r="Q854" i="1" s="1"/>
  <c r="Y11" i="2" s="1"/>
  <c r="M32" i="3" s="1"/>
  <c r="P858" i="1"/>
  <c r="Q858" i="1" s="1"/>
  <c r="Y15" i="2" s="1"/>
  <c r="Q32" i="3" s="1"/>
  <c r="P862" i="1"/>
  <c r="Q862" i="1" s="1"/>
  <c r="Y19" i="2" s="1"/>
  <c r="U32" i="3" s="1"/>
  <c r="P864" i="1"/>
  <c r="Q864" i="1" s="1"/>
  <c r="Y21" i="2" s="1"/>
  <c r="W32" i="3" s="1"/>
  <c r="P871" i="1"/>
  <c r="Q871" i="1" s="1"/>
  <c r="Y28" i="2" s="1"/>
  <c r="AD32" i="3" s="1"/>
  <c r="P1190" i="1"/>
  <c r="Q1190" i="1" s="1"/>
  <c r="AJ6" i="2" s="1"/>
  <c r="H43" i="3" s="1"/>
  <c r="P1194" i="1"/>
  <c r="Q1194" i="1" s="1"/>
  <c r="AJ10" i="2" s="1"/>
  <c r="L43" i="3" s="1"/>
  <c r="P1198" i="1"/>
  <c r="Q1198" i="1" s="1"/>
  <c r="AJ14" i="2" s="1"/>
  <c r="P43" i="3" s="1"/>
  <c r="P1202" i="1"/>
  <c r="Q1202" i="1" s="1"/>
  <c r="AJ18" i="2" s="1"/>
  <c r="T43" i="3" s="1"/>
  <c r="P1206" i="1"/>
  <c r="Q1206" i="1" s="1"/>
  <c r="AJ22" i="2" s="1"/>
  <c r="X43" i="3" s="1"/>
  <c r="P1208" i="1"/>
  <c r="Q1208" i="1" s="1"/>
  <c r="AJ24" i="2" s="1"/>
  <c r="Z43" i="3" s="1"/>
  <c r="P1213" i="1"/>
  <c r="Q1213" i="1" s="1"/>
  <c r="AJ29" i="2" s="1"/>
  <c r="AE43" i="3" s="1"/>
  <c r="P1901" i="1"/>
  <c r="Q1901" i="1" s="1"/>
  <c r="BG4" i="2" s="1"/>
  <c r="F62" i="3" s="1"/>
  <c r="P1905" i="1"/>
  <c r="Q1905" i="1" s="1"/>
  <c r="BG8" i="2" s="1"/>
  <c r="J62" i="3" s="1"/>
  <c r="P1909" i="1"/>
  <c r="Q1909" i="1" s="1"/>
  <c r="BG12" i="2" s="1"/>
  <c r="N62" i="3" s="1"/>
  <c r="P1913" i="1"/>
  <c r="Q1913" i="1" s="1"/>
  <c r="BG16" i="2" s="1"/>
  <c r="R62" i="3" s="1"/>
  <c r="P1900" i="1"/>
  <c r="Q1900" i="1" s="1"/>
  <c r="BG3" i="2" s="1"/>
  <c r="E62" i="3" s="1"/>
  <c r="P1921" i="1"/>
  <c r="Q1921" i="1" s="1"/>
  <c r="BG24" i="2" s="1"/>
  <c r="Z62" i="3" s="1"/>
  <c r="P1925" i="1"/>
  <c r="Q1925" i="1" s="1"/>
  <c r="BG28" i="2" s="1"/>
  <c r="P2465" i="1"/>
  <c r="Q2465" i="1" s="1"/>
  <c r="BY10" i="2" s="1"/>
  <c r="L80" i="3" s="1"/>
  <c r="P2473" i="1"/>
  <c r="Q2473" i="1" s="1"/>
  <c r="BY18" i="2" s="1"/>
  <c r="T80" i="3" s="1"/>
  <c r="P2464" i="1"/>
  <c r="Q2464" i="1" s="1"/>
  <c r="BY9" i="2" s="1"/>
  <c r="K80" i="3" s="1"/>
  <c r="P2472" i="1"/>
  <c r="Q2472" i="1" s="1"/>
  <c r="BY17" i="2" s="1"/>
  <c r="S80" i="3" s="1"/>
  <c r="P2476" i="1"/>
  <c r="Q2476" i="1" s="1"/>
  <c r="BY21" i="2" s="1"/>
  <c r="W80" i="3" s="1"/>
  <c r="P2483" i="1"/>
  <c r="Q2483" i="1" s="1"/>
  <c r="BY28" i="2" s="1"/>
  <c r="AD80" i="3" s="1"/>
  <c r="P2925" i="1"/>
  <c r="Q2925" i="1" s="1"/>
  <c r="CN5" i="2" s="1"/>
  <c r="G87" i="3" s="1"/>
  <c r="P2929" i="1"/>
  <c r="Q2929" i="1" s="1"/>
  <c r="CN9" i="2" s="1"/>
  <c r="K87" i="3" s="1"/>
  <c r="P2933" i="1"/>
  <c r="Q2933" i="1" s="1"/>
  <c r="CN13" i="2" s="1"/>
  <c r="O87" i="3" s="1"/>
  <c r="P2937" i="1"/>
  <c r="Q2937" i="1" s="1"/>
  <c r="CN17" i="2" s="1"/>
  <c r="S87" i="3" s="1"/>
  <c r="P2940" i="1"/>
  <c r="Q2940" i="1" s="1"/>
  <c r="CN20" i="2" s="1"/>
  <c r="V87" i="3" s="1"/>
  <c r="P2944" i="1"/>
  <c r="Q2944" i="1" s="1"/>
  <c r="CN24" i="2" s="1"/>
  <c r="Z87" i="3" s="1"/>
  <c r="P2948" i="1"/>
  <c r="Q2948" i="1" s="1"/>
  <c r="CN28" i="2" s="1"/>
  <c r="AD87" i="3" s="1"/>
  <c r="P3514" i="1"/>
  <c r="Q3514" i="1" s="1"/>
  <c r="DG5" i="2" s="1"/>
  <c r="G106" i="3" s="1"/>
  <c r="P3518" i="1"/>
  <c r="Q3518" i="1" s="1"/>
  <c r="DG9" i="2" s="1"/>
  <c r="K106" i="3" s="1"/>
  <c r="P3522" i="1"/>
  <c r="Q3522" i="1" s="1"/>
  <c r="DG13" i="2" s="1"/>
  <c r="O106" i="3" s="1"/>
  <c r="P3526" i="1"/>
  <c r="Q3526" i="1" s="1"/>
  <c r="DG17" i="2" s="1"/>
  <c r="S106" i="3" s="1"/>
  <c r="P3529" i="1"/>
  <c r="Q3529" i="1" s="1"/>
  <c r="DG20" i="2" s="1"/>
  <c r="V106" i="3" s="1"/>
  <c r="P3534" i="1"/>
  <c r="Q3534" i="1" s="1"/>
  <c r="DG25" i="2" s="1"/>
  <c r="AA106" i="3" s="1"/>
  <c r="P3536" i="1"/>
  <c r="Q3536" i="1" s="1"/>
  <c r="DG27" i="2" s="1"/>
  <c r="AC106" i="3" s="1"/>
  <c r="P3825" i="1"/>
  <c r="Q3825" i="1" s="1"/>
  <c r="DQ6" i="2" s="1"/>
  <c r="H116" i="3" s="1"/>
  <c r="P3829" i="1"/>
  <c r="Q3829" i="1" s="1"/>
  <c r="DQ10" i="2" s="1"/>
  <c r="L116" i="3" s="1"/>
  <c r="P3833" i="1"/>
  <c r="Q3833" i="1" s="1"/>
  <c r="DQ14" i="2" s="1"/>
  <c r="P116" i="3" s="1"/>
  <c r="P3837" i="1"/>
  <c r="Q3837" i="1" s="1"/>
  <c r="DQ18" i="2" s="1"/>
  <c r="T116" i="3" s="1"/>
  <c r="P3841" i="1"/>
  <c r="Q3841" i="1" s="1"/>
  <c r="DQ22" i="2" s="1"/>
  <c r="X116" i="3" s="1"/>
  <c r="P3843" i="1"/>
  <c r="Q3843" i="1" s="1"/>
  <c r="DQ24" i="2" s="1"/>
  <c r="Z116" i="3" s="1"/>
  <c r="P476" i="1"/>
  <c r="Q476" i="1" s="1"/>
  <c r="M5" i="2" s="1"/>
  <c r="G20" i="3" s="1"/>
  <c r="G18" i="23" s="1"/>
  <c r="P480" i="1"/>
  <c r="Q480" i="1" s="1"/>
  <c r="M9" i="2" s="1"/>
  <c r="K20" i="3" s="1"/>
  <c r="K18" i="23" s="1"/>
  <c r="P484" i="1"/>
  <c r="Q484" i="1" s="1"/>
  <c r="M13" i="2" s="1"/>
  <c r="O20" i="3" s="1"/>
  <c r="O18" i="23" s="1"/>
  <c r="P488" i="1"/>
  <c r="Q488" i="1" s="1"/>
  <c r="M17" i="2" s="1"/>
  <c r="S20" i="3" s="1"/>
  <c r="S18" i="23" s="1"/>
  <c r="P491" i="1"/>
  <c r="Q491" i="1" s="1"/>
  <c r="M20" i="2" s="1"/>
  <c r="V20" i="3" s="1"/>
  <c r="V18" i="23" s="1"/>
  <c r="P495" i="1"/>
  <c r="Q495" i="1" s="1"/>
  <c r="M24" i="2" s="1"/>
  <c r="Z20" i="3" s="1"/>
  <c r="Z18" i="23" s="1"/>
  <c r="P499" i="1"/>
  <c r="Q499" i="1" s="1"/>
  <c r="M28" i="2" s="1"/>
  <c r="AD20" i="3" s="1"/>
  <c r="AD18" i="23" s="1"/>
  <c r="P787" i="1"/>
  <c r="Q787" i="1" s="1"/>
  <c r="W6" i="2" s="1"/>
  <c r="H30" i="3" s="1"/>
  <c r="P791" i="1"/>
  <c r="Q791" i="1" s="1"/>
  <c r="W10" i="2" s="1"/>
  <c r="L30" i="3" s="1"/>
  <c r="P795" i="1"/>
  <c r="Q795" i="1" s="1"/>
  <c r="W14" i="2" s="1"/>
  <c r="P30" i="3" s="1"/>
  <c r="P799" i="1"/>
  <c r="Q799" i="1" s="1"/>
  <c r="W18" i="2" s="1"/>
  <c r="T30" i="3" s="1"/>
  <c r="P803" i="1"/>
  <c r="Q803" i="1" s="1"/>
  <c r="W22" i="2" s="1"/>
  <c r="X30" i="3" s="1"/>
  <c r="P805" i="1"/>
  <c r="Q805" i="1" s="1"/>
  <c r="W24" i="2" s="1"/>
  <c r="Z30" i="3" s="1"/>
  <c r="P810" i="1"/>
  <c r="Q810" i="1" s="1"/>
  <c r="W29" i="2" s="1"/>
  <c r="AE30" i="3" s="1"/>
  <c r="P1098" i="1"/>
  <c r="Q1098" i="1" s="1"/>
  <c r="AG7" i="2" s="1"/>
  <c r="I40" i="3" s="1"/>
  <c r="P1102" i="1"/>
  <c r="Q1102" i="1" s="1"/>
  <c r="AG11" i="2" s="1"/>
  <c r="M40" i="3" s="1"/>
  <c r="P1106" i="1"/>
  <c r="Q1106" i="1" s="1"/>
  <c r="AG15" i="2" s="1"/>
  <c r="Q40" i="3" s="1"/>
  <c r="P1110" i="1"/>
  <c r="Q1110" i="1" s="1"/>
  <c r="AG19" i="2" s="1"/>
  <c r="U40" i="3" s="1"/>
  <c r="P1112" i="1"/>
  <c r="Q1112" i="1" s="1"/>
  <c r="AG21" i="2" s="1"/>
  <c r="W40" i="3" s="1"/>
  <c r="P1117" i="1"/>
  <c r="Q1117" i="1" s="1"/>
  <c r="AG26" i="2" s="1"/>
  <c r="AB40" i="3" s="1"/>
  <c r="P1684" i="1"/>
  <c r="Q1684" i="1" s="1"/>
  <c r="AZ4" i="2" s="1"/>
  <c r="F59" i="3" s="1"/>
  <c r="P1688" i="1"/>
  <c r="Q1688" i="1" s="1"/>
  <c r="AZ8" i="2" s="1"/>
  <c r="J59" i="3" s="1"/>
  <c r="P1692" i="1"/>
  <c r="Q1692" i="1" s="1"/>
  <c r="AZ12" i="2" s="1"/>
  <c r="N59" i="3" s="1"/>
  <c r="P1696" i="1"/>
  <c r="Q1696" i="1" s="1"/>
  <c r="AZ16" i="2" s="1"/>
  <c r="R59" i="3" s="1"/>
  <c r="P1683" i="1"/>
  <c r="Q1683" i="1" s="1"/>
  <c r="AZ3" i="2" s="1"/>
  <c r="E59" i="3" s="1"/>
  <c r="P1703" i="1"/>
  <c r="Q1703" i="1" s="1"/>
  <c r="AZ23" i="2" s="1"/>
  <c r="Y59" i="3" s="1"/>
  <c r="P1707" i="1"/>
  <c r="Q1707" i="1" s="1"/>
  <c r="AZ27" i="2" s="1"/>
  <c r="AC59" i="3" s="1"/>
  <c r="P2832" i="1"/>
  <c r="Q2832" i="1" s="1"/>
  <c r="CK5" i="2" s="1"/>
  <c r="G84" i="3" s="1"/>
  <c r="P2836" i="1"/>
  <c r="Q2836" i="1" s="1"/>
  <c r="CK9" i="2" s="1"/>
  <c r="K84" i="3" s="1"/>
  <c r="P2840" i="1"/>
  <c r="Q2840" i="1" s="1"/>
  <c r="CK13" i="2" s="1"/>
  <c r="O84" i="3" s="1"/>
  <c r="P2844" i="1"/>
  <c r="Q2844" i="1" s="1"/>
  <c r="CK17" i="2" s="1"/>
  <c r="S84" i="3" s="1"/>
  <c r="P2847" i="1"/>
  <c r="Q2847" i="1" s="1"/>
  <c r="CK20" i="2" s="1"/>
  <c r="V84" i="3" s="1"/>
  <c r="P2852" i="1"/>
  <c r="Q2852" i="1" s="1"/>
  <c r="CK25" i="2" s="1"/>
  <c r="AA84" i="3" s="1"/>
  <c r="P2854" i="1"/>
  <c r="Q2854" i="1" s="1"/>
  <c r="CK27" i="2" s="1"/>
  <c r="AC84" i="3" s="1"/>
  <c r="P3172" i="1"/>
  <c r="Q3172" i="1" s="1"/>
  <c r="CV4" i="2" s="1"/>
  <c r="F95" i="3" s="1"/>
  <c r="P3176" i="1"/>
  <c r="Q3176" i="1" s="1"/>
  <c r="CV8" i="2" s="1"/>
  <c r="J95" i="3" s="1"/>
  <c r="P3180" i="1"/>
  <c r="Q3180" i="1" s="1"/>
  <c r="CV12" i="2" s="1"/>
  <c r="N95" i="3" s="1"/>
  <c r="P3184" i="1"/>
  <c r="Q3184" i="1" s="1"/>
  <c r="CV16" i="2" s="1"/>
  <c r="R95" i="3" s="1"/>
  <c r="P3171" i="1"/>
  <c r="Q3171" i="1" s="1"/>
  <c r="CV3" i="2" s="1"/>
  <c r="E95" i="3" s="1"/>
  <c r="P3192" i="1"/>
  <c r="Q3192" i="1" s="1"/>
  <c r="CV24" i="2" s="1"/>
  <c r="Z95" i="3" s="1"/>
  <c r="P3194" i="1"/>
  <c r="Q3194" i="1" s="1"/>
  <c r="CV26" i="2" s="1"/>
  <c r="AB95" i="3" s="1"/>
  <c r="P3577" i="1"/>
  <c r="Q3577" i="1" s="1"/>
  <c r="DI6" i="2" s="1"/>
  <c r="H108" i="3" s="1"/>
  <c r="P3581" i="1"/>
  <c r="Q3581" i="1" s="1"/>
  <c r="DI10" i="2" s="1"/>
  <c r="L108" i="3" s="1"/>
  <c r="P3585" i="1"/>
  <c r="Q3585" i="1" s="1"/>
  <c r="DI14" i="2" s="1"/>
  <c r="P108" i="3" s="1"/>
  <c r="P3589" i="1"/>
  <c r="Q3589" i="1" s="1"/>
  <c r="DI18" i="2" s="1"/>
  <c r="T108" i="3" s="1"/>
  <c r="P3593" i="1"/>
  <c r="Q3593" i="1" s="1"/>
  <c r="DI22" i="2" s="1"/>
  <c r="X108" i="3" s="1"/>
  <c r="P3594" i="1"/>
  <c r="Q3594" i="1" s="1"/>
  <c r="DI23" i="2" s="1"/>
  <c r="Y108" i="3" s="1"/>
  <c r="P3600" i="1"/>
  <c r="Q3600" i="1" s="1"/>
  <c r="DI29" i="2" s="1"/>
  <c r="AE108" i="3" s="1"/>
  <c r="P292" i="1"/>
  <c r="Q292" i="1" s="1"/>
  <c r="G7" i="2" s="1"/>
  <c r="I14" i="3" s="1"/>
  <c r="I12" i="23" s="1"/>
  <c r="P296" i="1"/>
  <c r="Q296" i="1" s="1"/>
  <c r="G11" i="2" s="1"/>
  <c r="M14" i="3" s="1"/>
  <c r="M12" i="23" s="1"/>
  <c r="P300" i="1"/>
  <c r="Q300" i="1" s="1"/>
  <c r="G15" i="2" s="1"/>
  <c r="Q14" i="3" s="1"/>
  <c r="Q12" i="23" s="1"/>
  <c r="P304" i="1"/>
  <c r="Q304" i="1" s="1"/>
  <c r="G19" i="2" s="1"/>
  <c r="U14" i="3" s="1"/>
  <c r="U12" i="23" s="1"/>
  <c r="P306" i="1"/>
  <c r="Q306" i="1" s="1"/>
  <c r="G21" i="2" s="1"/>
  <c r="W14" i="3" s="1"/>
  <c r="W12" i="23" s="1"/>
  <c r="P312" i="1"/>
  <c r="Q312" i="1" s="1"/>
  <c r="G27" i="2" s="1"/>
  <c r="AC14" i="3" s="1"/>
  <c r="AC12" i="23" s="1"/>
  <c r="P2338" i="1"/>
  <c r="Q2338" i="1" s="1"/>
  <c r="BU7" i="2" s="1"/>
  <c r="I76" i="3" s="1"/>
  <c r="P2342" i="1"/>
  <c r="Q2342" i="1" s="1"/>
  <c r="BU11" i="2" s="1"/>
  <c r="M76" i="3" s="1"/>
  <c r="P2346" i="1"/>
  <c r="Q2346" i="1" s="1"/>
  <c r="BU15" i="2" s="1"/>
  <c r="Q76" i="3" s="1"/>
  <c r="P2350" i="1"/>
  <c r="Q2350" i="1" s="1"/>
  <c r="BU19" i="2" s="1"/>
  <c r="U76" i="3" s="1"/>
  <c r="P2352" i="1"/>
  <c r="Q2352" i="1" s="1"/>
  <c r="BU21" i="2" s="1"/>
  <c r="W76" i="3" s="1"/>
  <c r="P2358" i="1"/>
  <c r="Q2358" i="1" s="1"/>
  <c r="BU27" i="2" s="1"/>
  <c r="AC76" i="3" s="1"/>
  <c r="P2802" i="1"/>
  <c r="Q2802" i="1" s="1"/>
  <c r="CJ6" i="2" s="1"/>
  <c r="H83" i="3" s="1"/>
  <c r="P2806" i="1"/>
  <c r="Q2806" i="1" s="1"/>
  <c r="CJ10" i="2" s="1"/>
  <c r="L83" i="3" s="1"/>
  <c r="P2810" i="1"/>
  <c r="Q2810" i="1" s="1"/>
  <c r="CJ14" i="2" s="1"/>
  <c r="P83" i="3" s="1"/>
  <c r="P2814" i="1"/>
  <c r="Q2814" i="1" s="1"/>
  <c r="CJ18" i="2" s="1"/>
  <c r="T83" i="3" s="1"/>
  <c r="P2818" i="1"/>
  <c r="Q2818" i="1" s="1"/>
  <c r="CJ22" i="2" s="1"/>
  <c r="X83" i="3" s="1"/>
  <c r="P2820" i="1"/>
  <c r="Q2820" i="1" s="1"/>
  <c r="CJ24" i="2" s="1"/>
  <c r="Z83" i="3" s="1"/>
  <c r="P2825" i="1"/>
  <c r="Q2825" i="1" s="1"/>
  <c r="CJ29" i="2" s="1"/>
  <c r="P258" i="1"/>
  <c r="Q258" i="1" s="1"/>
  <c r="F4" i="2" s="1"/>
  <c r="F13" i="3" s="1"/>
  <c r="F11" i="23" s="1"/>
  <c r="P262" i="1"/>
  <c r="Q262" i="1" s="1"/>
  <c r="F8" i="2" s="1"/>
  <c r="J13" i="3" s="1"/>
  <c r="J11" i="23" s="1"/>
  <c r="P266" i="1"/>
  <c r="Q266" i="1" s="1"/>
  <c r="F12" i="2" s="1"/>
  <c r="N13" i="3" s="1"/>
  <c r="N11" i="23" s="1"/>
  <c r="P270" i="1"/>
  <c r="Q270" i="1" s="1"/>
  <c r="F16" i="2" s="1"/>
  <c r="R13" i="3" s="1"/>
  <c r="R11" i="23" s="1"/>
  <c r="P257" i="1"/>
  <c r="Q257" i="1" s="1"/>
  <c r="F3" i="2" s="1"/>
  <c r="E13" i="3" s="1"/>
  <c r="E11" i="23" s="1"/>
  <c r="P277" i="1"/>
  <c r="Q277" i="1" s="1"/>
  <c r="F23" i="2" s="1"/>
  <c r="Y13" i="3" s="1"/>
  <c r="Y11" i="23" s="1"/>
  <c r="P280" i="1"/>
  <c r="Q280" i="1" s="1"/>
  <c r="F26" i="2" s="1"/>
  <c r="AB13" i="3" s="1"/>
  <c r="AB11" i="23" s="1"/>
  <c r="P725" i="1"/>
  <c r="Q725" i="1" s="1"/>
  <c r="U6" i="2" s="1"/>
  <c r="H28" i="3" s="1"/>
  <c r="P729" i="1"/>
  <c r="Q729" i="1" s="1"/>
  <c r="U10" i="2" s="1"/>
  <c r="L28" i="3" s="1"/>
  <c r="P733" i="1"/>
  <c r="Q733" i="1" s="1"/>
  <c r="U14" i="2" s="1"/>
  <c r="P28" i="3" s="1"/>
  <c r="P737" i="1"/>
  <c r="Q737" i="1" s="1"/>
  <c r="U18" i="2" s="1"/>
  <c r="T28" i="3" s="1"/>
  <c r="P741" i="1"/>
  <c r="Q741" i="1" s="1"/>
  <c r="U22" i="2" s="1"/>
  <c r="X28" i="3" s="1"/>
  <c r="P743" i="1"/>
  <c r="Q743" i="1" s="1"/>
  <c r="U24" i="2" s="1"/>
  <c r="Z28" i="3" s="1"/>
  <c r="P748" i="1"/>
  <c r="Q748" i="1" s="1"/>
  <c r="U29" i="2" s="1"/>
  <c r="AE28" i="3" s="1"/>
  <c r="P839" i="1"/>
  <c r="Q839" i="1" s="1"/>
  <c r="X27" i="2" s="1"/>
  <c r="AC31" i="3" s="1"/>
  <c r="P1179" i="1"/>
  <c r="Q1179" i="1" s="1"/>
  <c r="AI26" i="2" s="1"/>
  <c r="AB42" i="3" s="1"/>
  <c r="P1738" i="1"/>
  <c r="Q1738" i="1" s="1"/>
  <c r="BA27" i="2" s="1"/>
  <c r="AC60" i="3" s="1"/>
  <c r="P153" i="1"/>
  <c r="Q153" i="1" s="1"/>
  <c r="B23" i="2" s="1"/>
  <c r="Y9" i="3" s="1"/>
  <c r="Y7" i="23" s="1"/>
  <c r="P227" i="1"/>
  <c r="Q227" i="1" s="1"/>
  <c r="E4" i="2" s="1"/>
  <c r="F12" i="3" s="1"/>
  <c r="F10" i="23" s="1"/>
  <c r="P231" i="1"/>
  <c r="Q231" i="1" s="1"/>
  <c r="E8" i="2" s="1"/>
  <c r="J12" i="3" s="1"/>
  <c r="J10" i="23" s="1"/>
  <c r="P235" i="1"/>
  <c r="Q235" i="1" s="1"/>
  <c r="E12" i="2" s="1"/>
  <c r="N12" i="3" s="1"/>
  <c r="N10" i="23" s="1"/>
  <c r="P239" i="1"/>
  <c r="Q239" i="1" s="1"/>
  <c r="E16" i="2" s="1"/>
  <c r="R12" i="3" s="1"/>
  <c r="R10" i="23" s="1"/>
  <c r="P226" i="1"/>
  <c r="Q226" i="1" s="1"/>
  <c r="E3" i="2" s="1"/>
  <c r="E12" i="3" s="1"/>
  <c r="E10" i="23" s="1"/>
  <c r="P246" i="1"/>
  <c r="Q246" i="1" s="1"/>
  <c r="E23" i="2" s="1"/>
  <c r="Y12" i="3" s="1"/>
  <c r="Y10" i="23" s="1"/>
  <c r="P249" i="1"/>
  <c r="Q249" i="1" s="1"/>
  <c r="E26" i="2" s="1"/>
  <c r="AB12" i="3" s="1"/>
  <c r="AB10" i="23" s="1"/>
  <c r="P320" i="1"/>
  <c r="Q320" i="1" s="1"/>
  <c r="H4" i="2" s="1"/>
  <c r="F15" i="3" s="1"/>
  <c r="F13" i="23" s="1"/>
  <c r="P324" i="1"/>
  <c r="Q324" i="1" s="1"/>
  <c r="H8" i="2" s="1"/>
  <c r="J15" i="3" s="1"/>
  <c r="J13" i="23" s="1"/>
  <c r="P328" i="1"/>
  <c r="Q328" i="1" s="1"/>
  <c r="H12" i="2" s="1"/>
  <c r="N15" i="3" s="1"/>
  <c r="N13" i="23" s="1"/>
  <c r="P332" i="1"/>
  <c r="Q332" i="1" s="1"/>
  <c r="H16" i="2" s="1"/>
  <c r="R15" i="3" s="1"/>
  <c r="R13" i="23" s="1"/>
  <c r="P319" i="1"/>
  <c r="Q319" i="1" s="1"/>
  <c r="H3" i="2" s="1"/>
  <c r="E15" i="3" s="1"/>
  <c r="E13" i="23" s="1"/>
  <c r="P339" i="1"/>
  <c r="Q339" i="1" s="1"/>
  <c r="H23" i="2" s="1"/>
  <c r="Y15" i="3" s="1"/>
  <c r="Y13" i="23" s="1"/>
  <c r="P341" i="1"/>
  <c r="Q341" i="1" s="1"/>
  <c r="H25" i="2" s="1"/>
  <c r="AA15" i="3" s="1"/>
  <c r="AA13" i="23" s="1"/>
  <c r="P663" i="1"/>
  <c r="Q663" i="1" s="1"/>
  <c r="S6" i="2" s="1"/>
  <c r="H26" i="3" s="1"/>
  <c r="P667" i="1"/>
  <c r="Q667" i="1" s="1"/>
  <c r="S10" i="2" s="1"/>
  <c r="L26" i="3" s="1"/>
  <c r="P671" i="1"/>
  <c r="Q671" i="1" s="1"/>
  <c r="S14" i="2" s="1"/>
  <c r="P26" i="3" s="1"/>
  <c r="P675" i="1"/>
  <c r="Q675" i="1" s="1"/>
  <c r="S18" i="2" s="1"/>
  <c r="T26" i="3" s="1"/>
  <c r="P679" i="1"/>
  <c r="Q679" i="1" s="1"/>
  <c r="S22" i="2" s="1"/>
  <c r="X26" i="3" s="1"/>
  <c r="P681" i="1"/>
  <c r="Q681" i="1" s="1"/>
  <c r="S24" i="2" s="1"/>
  <c r="Z26" i="3" s="1"/>
  <c r="P686" i="1"/>
  <c r="Q686" i="1" s="1"/>
  <c r="S29" i="2" s="1"/>
  <c r="AE26" i="3" s="1"/>
  <c r="P943" i="1"/>
  <c r="Q943" i="1" s="1"/>
  <c r="AB7" i="2" s="1"/>
  <c r="I35" i="3" s="1"/>
  <c r="P947" i="1"/>
  <c r="Q947" i="1" s="1"/>
  <c r="AB11" i="2" s="1"/>
  <c r="M35" i="3" s="1"/>
  <c r="P951" i="1"/>
  <c r="Q951" i="1" s="1"/>
  <c r="AB15" i="2" s="1"/>
  <c r="Q35" i="3" s="1"/>
  <c r="P955" i="1"/>
  <c r="Q955" i="1" s="1"/>
  <c r="AB19" i="2" s="1"/>
  <c r="U35" i="3" s="1"/>
  <c r="P957" i="1"/>
  <c r="Q957" i="1" s="1"/>
  <c r="AB21" i="2" s="1"/>
  <c r="W35" i="3" s="1"/>
  <c r="P962" i="1"/>
  <c r="Q962" i="1" s="1"/>
  <c r="AB26" i="2" s="1"/>
  <c r="AB35" i="3" s="1"/>
  <c r="P1281" i="1"/>
  <c r="Q1281" i="1" s="1"/>
  <c r="AM4" i="2" s="1"/>
  <c r="F46" i="3" s="1"/>
  <c r="P1285" i="1"/>
  <c r="Q1285" i="1" s="1"/>
  <c r="AM8" i="2" s="1"/>
  <c r="J46" i="3" s="1"/>
  <c r="P1289" i="1"/>
  <c r="Q1289" i="1" s="1"/>
  <c r="AM12" i="2" s="1"/>
  <c r="N46" i="3" s="1"/>
  <c r="P1293" i="1"/>
  <c r="Q1293" i="1" s="1"/>
  <c r="AM16" i="2" s="1"/>
  <c r="R46" i="3" s="1"/>
  <c r="P1280" i="1"/>
  <c r="Q1280" i="1" s="1"/>
  <c r="AM3" i="2" s="1"/>
  <c r="E46" i="3" s="1"/>
  <c r="P1300" i="1"/>
  <c r="Q1300" i="1" s="1"/>
  <c r="AM23" i="2" s="1"/>
  <c r="Y46" i="3" s="1"/>
  <c r="P1304" i="1"/>
  <c r="Q1304" i="1" s="1"/>
  <c r="AM27" i="2" s="1"/>
  <c r="AC46" i="3" s="1"/>
  <c r="P2986" i="1"/>
  <c r="Q2986" i="1" s="1"/>
  <c r="CP4" i="2" s="1"/>
  <c r="F89" i="3" s="1"/>
  <c r="P2990" i="1"/>
  <c r="Q2990" i="1" s="1"/>
  <c r="CP8" i="2" s="1"/>
  <c r="J89" i="3" s="1"/>
  <c r="P2994" i="1"/>
  <c r="Q2994" i="1" s="1"/>
  <c r="CP12" i="2" s="1"/>
  <c r="N89" i="3" s="1"/>
  <c r="P2998" i="1"/>
  <c r="Q2998" i="1" s="1"/>
  <c r="CP16" i="2" s="1"/>
  <c r="R89" i="3" s="1"/>
  <c r="P2985" i="1"/>
  <c r="Q2985" i="1" s="1"/>
  <c r="CP3" i="2" s="1"/>
  <c r="E89" i="3" s="1"/>
  <c r="P3007" i="1"/>
  <c r="Q3007" i="1" s="1"/>
  <c r="CP25" i="2" s="1"/>
  <c r="AA89" i="3" s="1"/>
  <c r="P3008" i="1"/>
  <c r="Q3008" i="1" s="1"/>
  <c r="CP26" i="2" s="1"/>
  <c r="AB89" i="3" s="1"/>
  <c r="P3422" i="1"/>
  <c r="Q3422" i="1" s="1"/>
  <c r="DD6" i="2" s="1"/>
  <c r="H103" i="3" s="1"/>
  <c r="P3426" i="1"/>
  <c r="Q3426" i="1" s="1"/>
  <c r="DD10" i="2" s="1"/>
  <c r="L103" i="3" s="1"/>
  <c r="P3430" i="1"/>
  <c r="Q3430" i="1" s="1"/>
  <c r="DD14" i="2" s="1"/>
  <c r="P103" i="3" s="1"/>
  <c r="P3434" i="1"/>
  <c r="Q3434" i="1" s="1"/>
  <c r="DD18" i="2" s="1"/>
  <c r="T103" i="3" s="1"/>
  <c r="P3438" i="1"/>
  <c r="Q3438" i="1" s="1"/>
  <c r="DD22" i="2" s="1"/>
  <c r="X103" i="3" s="1"/>
  <c r="P3441" i="1"/>
  <c r="Q3441" i="1" s="1"/>
  <c r="DD25" i="2" s="1"/>
  <c r="AA103" i="3" s="1"/>
  <c r="P3445" i="1"/>
  <c r="Q3445" i="1" s="1"/>
  <c r="DD29" i="2" s="1"/>
  <c r="AE103" i="3" s="1"/>
  <c r="P3761" i="1"/>
  <c r="Q3761" i="1" s="1"/>
  <c r="DO4" i="2" s="1"/>
  <c r="F114" i="3" s="1"/>
  <c r="P3765" i="1"/>
  <c r="Q3765" i="1" s="1"/>
  <c r="DO8" i="2" s="1"/>
  <c r="J114" i="3" s="1"/>
  <c r="P3769" i="1"/>
  <c r="Q3769" i="1" s="1"/>
  <c r="DO12" i="2" s="1"/>
  <c r="N114" i="3" s="1"/>
  <c r="P3773" i="1"/>
  <c r="Q3773" i="1" s="1"/>
  <c r="DO16" i="2" s="1"/>
  <c r="R114" i="3" s="1"/>
  <c r="P3760" i="1"/>
  <c r="Q3760" i="1" s="1"/>
  <c r="DO3" i="2" s="1"/>
  <c r="E114" i="3" s="1"/>
  <c r="P3782" i="1"/>
  <c r="Q3782" i="1" s="1"/>
  <c r="DO25" i="2" s="1"/>
  <c r="AA114" i="3" s="1"/>
  <c r="P3784" i="1"/>
  <c r="Q3784" i="1" s="1"/>
  <c r="DO27" i="2" s="1"/>
  <c r="AC114" i="3" s="1"/>
  <c r="P2180" i="1"/>
  <c r="Q2180" i="1" s="1"/>
  <c r="BP4" i="2" s="1"/>
  <c r="F71" i="3" s="1"/>
  <c r="P2184" i="1"/>
  <c r="Q2184" i="1" s="1"/>
  <c r="BP8" i="2" s="1"/>
  <c r="J71" i="3" s="1"/>
  <c r="P2188" i="1"/>
  <c r="Q2188" i="1" s="1"/>
  <c r="BP12" i="2" s="1"/>
  <c r="N71" i="3" s="1"/>
  <c r="P2192" i="1"/>
  <c r="Q2192" i="1" s="1"/>
  <c r="BP16" i="2" s="1"/>
  <c r="R71" i="3" s="1"/>
  <c r="P2179" i="1"/>
  <c r="Q2179" i="1" s="1"/>
  <c r="BP3" i="2" s="1"/>
  <c r="E71" i="3" s="1"/>
  <c r="P2201" i="1"/>
  <c r="Q2201" i="1" s="1"/>
  <c r="BP25" i="2" s="1"/>
  <c r="AA71" i="3" s="1"/>
  <c r="P2202" i="1"/>
  <c r="Q2202" i="1" s="1"/>
  <c r="BP26" i="2" s="1"/>
  <c r="AB71" i="3" s="1"/>
  <c r="P3115" i="1"/>
  <c r="P3114" i="1"/>
  <c r="P3121" i="1"/>
  <c r="P3116" i="1"/>
  <c r="P3126" i="1"/>
  <c r="P3131" i="1"/>
  <c r="P3134" i="1"/>
  <c r="P352" i="1"/>
  <c r="Q352" i="1" s="1"/>
  <c r="I5" i="2" s="1"/>
  <c r="G16" i="3" s="1"/>
  <c r="G14" i="23" s="1"/>
  <c r="P356" i="1"/>
  <c r="Q356" i="1" s="1"/>
  <c r="I9" i="2" s="1"/>
  <c r="K16" i="3" s="1"/>
  <c r="K14" i="23" s="1"/>
  <c r="P360" i="1"/>
  <c r="Q360" i="1" s="1"/>
  <c r="I13" i="2" s="1"/>
  <c r="O16" i="3" s="1"/>
  <c r="O14" i="23" s="1"/>
  <c r="P364" i="1"/>
  <c r="Q364" i="1" s="1"/>
  <c r="I17" i="2" s="1"/>
  <c r="S16" i="3" s="1"/>
  <c r="S14" i="23" s="1"/>
  <c r="P367" i="1"/>
  <c r="Q367" i="1" s="1"/>
  <c r="I20" i="2" s="1"/>
  <c r="V16" i="3" s="1"/>
  <c r="V14" i="23" s="1"/>
  <c r="P371" i="1"/>
  <c r="Q371" i="1" s="1"/>
  <c r="I24" i="2" s="1"/>
  <c r="Z16" i="3" s="1"/>
  <c r="Z14" i="23" s="1"/>
  <c r="P374" i="1"/>
  <c r="Q374" i="1" s="1"/>
  <c r="I27" i="2" s="1"/>
  <c r="AC16" i="3" s="1"/>
  <c r="AC14" i="23" s="1"/>
  <c r="P695" i="1"/>
  <c r="Q695" i="1" s="1"/>
  <c r="T7" i="2" s="1"/>
  <c r="I27" i="3" s="1"/>
  <c r="P699" i="1"/>
  <c r="Q699" i="1" s="1"/>
  <c r="T11" i="2" s="1"/>
  <c r="M27" i="3" s="1"/>
  <c r="P703" i="1"/>
  <c r="Q703" i="1" s="1"/>
  <c r="T15" i="2" s="1"/>
  <c r="Q27" i="3" s="1"/>
  <c r="P707" i="1"/>
  <c r="Q707" i="1" s="1"/>
  <c r="T19" i="2" s="1"/>
  <c r="U27" i="3" s="1"/>
  <c r="P709" i="1"/>
  <c r="Q709" i="1" s="1"/>
  <c r="T21" i="2" s="1"/>
  <c r="W27" i="3" s="1"/>
  <c r="P716" i="1"/>
  <c r="Q716" i="1" s="1"/>
  <c r="T28" i="2" s="1"/>
  <c r="AD27" i="3" s="1"/>
  <c r="P972" i="1"/>
  <c r="Q972" i="1" s="1"/>
  <c r="AC5" i="2" s="1"/>
  <c r="G36" i="3" s="1"/>
  <c r="P976" i="1"/>
  <c r="Q976" i="1" s="1"/>
  <c r="AC9" i="2" s="1"/>
  <c r="K36" i="3" s="1"/>
  <c r="P980" i="1"/>
  <c r="Q980" i="1" s="1"/>
  <c r="AC13" i="2" s="1"/>
  <c r="O36" i="3" s="1"/>
  <c r="P984" i="1"/>
  <c r="Q984" i="1" s="1"/>
  <c r="AC17" i="2" s="1"/>
  <c r="S36" i="3" s="1"/>
  <c r="P987" i="1"/>
  <c r="Q987" i="1" s="1"/>
  <c r="AC20" i="2" s="1"/>
  <c r="V36" i="3" s="1"/>
  <c r="P992" i="1"/>
  <c r="Q992" i="1" s="1"/>
  <c r="AC25" i="2" s="1"/>
  <c r="AA36" i="3" s="1"/>
  <c r="P994" i="1"/>
  <c r="Q994" i="1" s="1"/>
  <c r="AC27" i="2" s="1"/>
  <c r="AC36" i="3" s="1"/>
  <c r="P1315" i="1"/>
  <c r="Q1315" i="1" s="1"/>
  <c r="AN7" i="2" s="1"/>
  <c r="I47" i="3" s="1"/>
  <c r="P1319" i="1"/>
  <c r="Q1319" i="1" s="1"/>
  <c r="AN11" i="2" s="1"/>
  <c r="M47" i="3" s="1"/>
  <c r="P1323" i="1"/>
  <c r="Q1323" i="1" s="1"/>
  <c r="AN15" i="2" s="1"/>
  <c r="Q47" i="3" s="1"/>
  <c r="P1327" i="1"/>
  <c r="Q1327" i="1" s="1"/>
  <c r="AN19" i="2" s="1"/>
  <c r="U47" i="3" s="1"/>
  <c r="P1329" i="1"/>
  <c r="Q1329" i="1" s="1"/>
  <c r="AN21" i="2" s="1"/>
  <c r="W47" i="3" s="1"/>
  <c r="P1336" i="1"/>
  <c r="Q1336" i="1" s="1"/>
  <c r="AN28" i="2" s="1"/>
  <c r="AD47" i="3" s="1"/>
  <c r="P2056" i="1"/>
  <c r="Q2056" i="1" s="1"/>
  <c r="BL4" i="2" s="1"/>
  <c r="F67" i="3" s="1"/>
  <c r="P2060" i="1"/>
  <c r="Q2060" i="1" s="1"/>
  <c r="BL8" i="2" s="1"/>
  <c r="J67" i="3" s="1"/>
  <c r="P2064" i="1"/>
  <c r="Q2064" i="1" s="1"/>
  <c r="BL12" i="2" s="1"/>
  <c r="N67" i="3" s="1"/>
  <c r="P2068" i="1"/>
  <c r="Q2068" i="1" s="1"/>
  <c r="BL16" i="2" s="1"/>
  <c r="R67" i="3" s="1"/>
  <c r="P2055" i="1"/>
  <c r="Q2055" i="1" s="1"/>
  <c r="BL3" i="2" s="1"/>
  <c r="E67" i="3" s="1"/>
  <c r="P2076" i="1"/>
  <c r="Q2076" i="1" s="1"/>
  <c r="BL24" i="2" s="1"/>
  <c r="Z67" i="3" s="1"/>
  <c r="P2079" i="1"/>
  <c r="Q2079" i="1" s="1"/>
  <c r="BL27" i="2" s="1"/>
  <c r="AC67" i="3" s="1"/>
  <c r="P2439" i="1"/>
  <c r="Q2439" i="1" s="1"/>
  <c r="BX15" i="2" s="1"/>
  <c r="Q79" i="3" s="1"/>
  <c r="P2429" i="1"/>
  <c r="Q2429" i="1" s="1"/>
  <c r="BX5" i="2" s="1"/>
  <c r="G79" i="3" s="1"/>
  <c r="P2433" i="1"/>
  <c r="Q2433" i="1" s="1"/>
  <c r="BX9" i="2" s="1"/>
  <c r="K79" i="3" s="1"/>
  <c r="P2438" i="1"/>
  <c r="Q2438" i="1" s="1"/>
  <c r="BX14" i="2" s="1"/>
  <c r="P79" i="3" s="1"/>
  <c r="P2444" i="1"/>
  <c r="Q2444" i="1" s="1"/>
  <c r="BX20" i="2" s="1"/>
  <c r="V79" i="3" s="1"/>
  <c r="P2449" i="1"/>
  <c r="Q2449" i="1" s="1"/>
  <c r="BX25" i="2" s="1"/>
  <c r="AA79" i="3" s="1"/>
  <c r="P2451" i="1"/>
  <c r="Q2451" i="1" s="1"/>
  <c r="BX27" i="2" s="1"/>
  <c r="AC79" i="3" s="1"/>
  <c r="P2896" i="1"/>
  <c r="Q2896" i="1" s="1"/>
  <c r="CM7" i="2" s="1"/>
  <c r="I86" i="3" s="1"/>
  <c r="P2900" i="1"/>
  <c r="Q2900" i="1" s="1"/>
  <c r="CM11" i="2" s="1"/>
  <c r="M86" i="3" s="1"/>
  <c r="P2904" i="1"/>
  <c r="Q2904" i="1" s="1"/>
  <c r="CM15" i="2" s="1"/>
  <c r="Q86" i="3" s="1"/>
  <c r="P2908" i="1"/>
  <c r="Q2908" i="1" s="1"/>
  <c r="CM19" i="2" s="1"/>
  <c r="U86" i="3" s="1"/>
  <c r="P2910" i="1"/>
  <c r="Q2910" i="1" s="1"/>
  <c r="CM21" i="2" s="1"/>
  <c r="W86" i="3" s="1"/>
  <c r="P2917" i="1"/>
  <c r="Q2917" i="1" s="1"/>
  <c r="CM28" i="2" s="1"/>
  <c r="AD86" i="3" s="1"/>
  <c r="P3299" i="1"/>
  <c r="Q3299" i="1" s="1"/>
  <c r="CZ7" i="2" s="1"/>
  <c r="I99" i="3" s="1"/>
  <c r="P3307" i="1"/>
  <c r="Q3307" i="1" s="1"/>
  <c r="CZ15" i="2" s="1"/>
  <c r="Q99" i="3" s="1"/>
  <c r="P3298" i="1"/>
  <c r="Q3298" i="1" s="1"/>
  <c r="CZ6" i="2" s="1"/>
  <c r="H99" i="3" s="1"/>
  <c r="P3306" i="1"/>
  <c r="Q3306" i="1" s="1"/>
  <c r="CZ14" i="2" s="1"/>
  <c r="P99" i="3" s="1"/>
  <c r="P3312" i="1"/>
  <c r="Q3312" i="1" s="1"/>
  <c r="CZ20" i="2" s="1"/>
  <c r="V99" i="3" s="1"/>
  <c r="P3317" i="1"/>
  <c r="Q3317" i="1" s="1"/>
  <c r="CZ25" i="2" s="1"/>
  <c r="AA99" i="3" s="1"/>
  <c r="P3319" i="1"/>
  <c r="Q3319" i="1" s="1"/>
  <c r="CZ27" i="2" s="1"/>
  <c r="AC99" i="3" s="1"/>
  <c r="P3640" i="1"/>
  <c r="Q3640" i="1" s="1"/>
  <c r="DK7" i="2" s="1"/>
  <c r="I110" i="3" s="1"/>
  <c r="P3644" i="1"/>
  <c r="Q3644" i="1" s="1"/>
  <c r="DK11" i="2" s="1"/>
  <c r="M110" i="3" s="1"/>
  <c r="P3648" i="1"/>
  <c r="Q3648" i="1" s="1"/>
  <c r="DK15" i="2" s="1"/>
  <c r="Q110" i="3" s="1"/>
  <c r="P3652" i="1"/>
  <c r="Q3652" i="1" s="1"/>
  <c r="DK19" i="2" s="1"/>
  <c r="U110" i="3" s="1"/>
  <c r="P3654" i="1"/>
  <c r="Q3654" i="1" s="1"/>
  <c r="DK21" i="2" s="1"/>
  <c r="W110" i="3" s="1"/>
  <c r="P3661" i="1"/>
  <c r="Q3661" i="1" s="1"/>
  <c r="DK28" i="2" s="1"/>
  <c r="AD110" i="3" s="1"/>
  <c r="P1807" i="1"/>
  <c r="P1821" i="1"/>
  <c r="P1811" i="1"/>
  <c r="P1820" i="1"/>
  <c r="P1809" i="1"/>
  <c r="P1825" i="1"/>
  <c r="P1831" i="1"/>
  <c r="P1964" i="1"/>
  <c r="Q1964" i="1" s="1"/>
  <c r="BI5" i="2" s="1"/>
  <c r="G64" i="3" s="1"/>
  <c r="P1968" i="1"/>
  <c r="Q1968" i="1" s="1"/>
  <c r="BI9" i="2" s="1"/>
  <c r="K64" i="3" s="1"/>
  <c r="P1972" i="1"/>
  <c r="Q1972" i="1" s="1"/>
  <c r="BI13" i="2" s="1"/>
  <c r="O64" i="3" s="1"/>
  <c r="P1976" i="1"/>
  <c r="Q1976" i="1" s="1"/>
  <c r="BI17" i="2" s="1"/>
  <c r="S64" i="3" s="1"/>
  <c r="P1979" i="1"/>
  <c r="Q1979" i="1" s="1"/>
  <c r="BI20" i="2" s="1"/>
  <c r="V64" i="3" s="1"/>
  <c r="P1984" i="1"/>
  <c r="Q1984" i="1" s="1"/>
  <c r="BI25" i="2" s="1"/>
  <c r="AA64" i="3" s="1"/>
  <c r="P1987" i="1"/>
  <c r="Q1987" i="1" s="1"/>
  <c r="BI28" i="2" s="1"/>
  <c r="AD64" i="3" s="1"/>
  <c r="P165" i="1"/>
  <c r="Q165" i="1" s="1"/>
  <c r="C4" i="2" s="1"/>
  <c r="F10" i="3" s="1"/>
  <c r="F8" i="23" s="1"/>
  <c r="P169" i="1"/>
  <c r="Q169" i="1" s="1"/>
  <c r="C8" i="2" s="1"/>
  <c r="J10" i="3" s="1"/>
  <c r="J8" i="23" s="1"/>
  <c r="P173" i="1"/>
  <c r="Q173" i="1" s="1"/>
  <c r="C12" i="2" s="1"/>
  <c r="N10" i="3" s="1"/>
  <c r="N8" i="23" s="1"/>
  <c r="P177" i="1"/>
  <c r="Q177" i="1" s="1"/>
  <c r="C16" i="2" s="1"/>
  <c r="R10" i="3" s="1"/>
  <c r="R8" i="23" s="1"/>
  <c r="P164" i="1"/>
  <c r="Q164" i="1" s="1"/>
  <c r="C3" i="2" s="1"/>
  <c r="E10" i="3" s="1"/>
  <c r="E8" i="23" s="1"/>
  <c r="P184" i="1"/>
  <c r="Q184" i="1" s="1"/>
  <c r="C23" i="2" s="1"/>
  <c r="Y10" i="3" s="1"/>
  <c r="Y8" i="23" s="1"/>
  <c r="P186" i="1"/>
  <c r="Q186" i="1" s="1"/>
  <c r="C25" i="2" s="1"/>
  <c r="AA10" i="3" s="1"/>
  <c r="AA8" i="23" s="1"/>
  <c r="P909" i="1"/>
  <c r="Q909" i="1" s="1"/>
  <c r="AA4" i="2" s="1"/>
  <c r="F34" i="3" s="1"/>
  <c r="P913" i="1"/>
  <c r="Q913" i="1" s="1"/>
  <c r="AA8" i="2" s="1"/>
  <c r="J34" i="3" s="1"/>
  <c r="P917" i="1"/>
  <c r="Q917" i="1" s="1"/>
  <c r="AA12" i="2" s="1"/>
  <c r="N34" i="3" s="1"/>
  <c r="P921" i="1"/>
  <c r="Q921" i="1" s="1"/>
  <c r="AA16" i="2" s="1"/>
  <c r="R34" i="3" s="1"/>
  <c r="P908" i="1"/>
  <c r="Q908" i="1" s="1"/>
  <c r="AA3" i="2" s="1"/>
  <c r="E34" i="3" s="1"/>
  <c r="P928" i="1"/>
  <c r="Q928" i="1" s="1"/>
  <c r="AA23" i="2" s="1"/>
  <c r="Y34" i="3" s="1"/>
  <c r="P932" i="1"/>
  <c r="Q932" i="1" s="1"/>
  <c r="AA27" i="2" s="1"/>
  <c r="AC34" i="3" s="1"/>
  <c r="P1222" i="1"/>
  <c r="Q1222" i="1" s="1"/>
  <c r="AK7" i="2" s="1"/>
  <c r="I44" i="3" s="1"/>
  <c r="P1226" i="1"/>
  <c r="Q1226" i="1" s="1"/>
  <c r="AK11" i="2" s="1"/>
  <c r="M44" i="3" s="1"/>
  <c r="P1230" i="1"/>
  <c r="Q1230" i="1" s="1"/>
  <c r="AK15" i="2" s="1"/>
  <c r="Q44" i="3" s="1"/>
  <c r="P1234" i="1"/>
  <c r="Q1234" i="1" s="1"/>
  <c r="AK19" i="2" s="1"/>
  <c r="U44" i="3" s="1"/>
  <c r="P1236" i="1"/>
  <c r="Q1236" i="1" s="1"/>
  <c r="AK21" i="2" s="1"/>
  <c r="W44" i="3" s="1"/>
  <c r="P1241" i="1"/>
  <c r="Q1241" i="1" s="1"/>
  <c r="AK26" i="2" s="1"/>
  <c r="AB44" i="3" s="1"/>
  <c r="P2955" i="1"/>
  <c r="Q2955" i="1" s="1"/>
  <c r="CO4" i="2" s="1"/>
  <c r="F88" i="3" s="1"/>
  <c r="P2959" i="1"/>
  <c r="Q2959" i="1" s="1"/>
  <c r="CO8" i="2" s="1"/>
  <c r="J88" i="3" s="1"/>
  <c r="P2963" i="1"/>
  <c r="Q2963" i="1" s="1"/>
  <c r="CO12" i="2" s="1"/>
  <c r="N88" i="3" s="1"/>
  <c r="P2967" i="1"/>
  <c r="Q2967" i="1" s="1"/>
  <c r="CO16" i="2" s="1"/>
  <c r="R88" i="3" s="1"/>
  <c r="P2954" i="1"/>
  <c r="Q2954" i="1" s="1"/>
  <c r="CO3" i="2" s="1"/>
  <c r="E88" i="3" s="1"/>
  <c r="P2975" i="1"/>
  <c r="Q2975" i="1" s="1"/>
  <c r="CO24" i="2" s="1"/>
  <c r="Z88" i="3" s="1"/>
  <c r="P2978" i="1"/>
  <c r="Q2978" i="1" s="1"/>
  <c r="CO27" i="2" s="1"/>
  <c r="AC88" i="3" s="1"/>
  <c r="P3390" i="1"/>
  <c r="Q3390" i="1" s="1"/>
  <c r="DC5" i="2" s="1"/>
  <c r="G102" i="3" s="1"/>
  <c r="P3394" i="1"/>
  <c r="Q3394" i="1" s="1"/>
  <c r="DC9" i="2" s="1"/>
  <c r="K102" i="3" s="1"/>
  <c r="P3398" i="1"/>
  <c r="Q3398" i="1" s="1"/>
  <c r="DC13" i="2" s="1"/>
  <c r="O102" i="3" s="1"/>
  <c r="P3402" i="1"/>
  <c r="Q3402" i="1" s="1"/>
  <c r="DC17" i="2" s="1"/>
  <c r="S102" i="3" s="1"/>
  <c r="P3405" i="1"/>
  <c r="Q3405" i="1" s="1"/>
  <c r="DC20" i="2" s="1"/>
  <c r="V102" i="3" s="1"/>
  <c r="P3409" i="1"/>
  <c r="Q3409" i="1" s="1"/>
  <c r="DC24" i="2" s="1"/>
  <c r="Z102" i="3" s="1"/>
  <c r="P3413" i="1"/>
  <c r="Q3413" i="1" s="1"/>
  <c r="DC28" i="2" s="1"/>
  <c r="AD102" i="3" s="1"/>
  <c r="P3702" i="1"/>
  <c r="Q3702" i="1" s="1"/>
  <c r="DM7" i="2" s="1"/>
  <c r="I112" i="3" s="1"/>
  <c r="P3706" i="1"/>
  <c r="Q3706" i="1" s="1"/>
  <c r="DM11" i="2" s="1"/>
  <c r="M112" i="3" s="1"/>
  <c r="P3710" i="1"/>
  <c r="Q3710" i="1" s="1"/>
  <c r="DM15" i="2" s="1"/>
  <c r="Q112" i="3" s="1"/>
  <c r="P3714" i="1"/>
  <c r="Q3714" i="1" s="1"/>
  <c r="DM19" i="2" s="1"/>
  <c r="U112" i="3" s="1"/>
  <c r="P3716" i="1"/>
  <c r="Q3716" i="1" s="1"/>
  <c r="DM21" i="2" s="1"/>
  <c r="W112" i="3" s="1"/>
  <c r="P3722" i="1"/>
  <c r="Q3722" i="1" s="1"/>
  <c r="DM27" i="2" s="1"/>
  <c r="AC112" i="3" s="1"/>
  <c r="P137" i="1"/>
  <c r="Q137" i="1" s="1"/>
  <c r="B7" i="2" s="1"/>
  <c r="I9" i="3" s="1"/>
  <c r="I7" i="23" s="1"/>
  <c r="P142" i="1"/>
  <c r="Q142" i="1" s="1"/>
  <c r="B12" i="2" s="1"/>
  <c r="N9" i="3" s="1"/>
  <c r="N7" i="23" s="1"/>
  <c r="P146" i="1"/>
  <c r="Q146" i="1" s="1"/>
  <c r="B16" i="2" s="1"/>
  <c r="R9" i="3" s="1"/>
  <c r="R7" i="23" s="1"/>
  <c r="P150" i="1"/>
  <c r="Q150" i="1" s="1"/>
  <c r="B20" i="2" s="1"/>
  <c r="V9" i="3" s="1"/>
  <c r="V7" i="23" s="1"/>
  <c r="P155" i="1"/>
  <c r="Q155" i="1" s="1"/>
  <c r="B25" i="2" s="1"/>
  <c r="AA9" i="3" s="1"/>
  <c r="AA7" i="23" s="1"/>
  <c r="P569" i="1"/>
  <c r="Q569" i="1" s="1"/>
  <c r="P5" i="2" s="1"/>
  <c r="G23" i="3" s="1"/>
  <c r="G21" i="23" s="1"/>
  <c r="P573" i="1"/>
  <c r="Q573" i="1" s="1"/>
  <c r="P9" i="2" s="1"/>
  <c r="K23" i="3" s="1"/>
  <c r="K21" i="23" s="1"/>
  <c r="P577" i="1"/>
  <c r="Q577" i="1" s="1"/>
  <c r="P13" i="2" s="1"/>
  <c r="O23" i="3" s="1"/>
  <c r="O21" i="23" s="1"/>
  <c r="P581" i="1"/>
  <c r="Q581" i="1" s="1"/>
  <c r="P17" i="2" s="1"/>
  <c r="S23" i="3" s="1"/>
  <c r="S21" i="23" s="1"/>
  <c r="P584" i="1"/>
  <c r="Q584" i="1" s="1"/>
  <c r="P20" i="2" s="1"/>
  <c r="V23" i="3" s="1"/>
  <c r="V21" i="23" s="1"/>
  <c r="P589" i="1"/>
  <c r="Q589" i="1" s="1"/>
  <c r="P25" i="2" s="1"/>
  <c r="AA23" i="3" s="1"/>
  <c r="AA21" i="23" s="1"/>
  <c r="P591" i="1"/>
  <c r="Q591" i="1" s="1"/>
  <c r="P27" i="2" s="1"/>
  <c r="AC23" i="3" s="1"/>
  <c r="AC21" i="23" s="1"/>
  <c r="P849" i="1"/>
  <c r="Q849" i="1" s="1"/>
  <c r="Y6" i="2" s="1"/>
  <c r="H32" i="3" s="1"/>
  <c r="P853" i="1"/>
  <c r="Q853" i="1" s="1"/>
  <c r="Y10" i="2" s="1"/>
  <c r="L32" i="3" s="1"/>
  <c r="P857" i="1"/>
  <c r="Q857" i="1" s="1"/>
  <c r="Y14" i="2" s="1"/>
  <c r="P32" i="3" s="1"/>
  <c r="P861" i="1"/>
  <c r="Q861" i="1" s="1"/>
  <c r="Y18" i="2" s="1"/>
  <c r="T32" i="3" s="1"/>
  <c r="P865" i="1"/>
  <c r="Q865" i="1" s="1"/>
  <c r="Y22" i="2" s="1"/>
  <c r="X32" i="3" s="1"/>
  <c r="P867" i="1"/>
  <c r="Q867" i="1" s="1"/>
  <c r="Y24" i="2" s="1"/>
  <c r="Z32" i="3" s="1"/>
  <c r="P872" i="1"/>
  <c r="Q872" i="1" s="1"/>
  <c r="Y29" i="2" s="1"/>
  <c r="AE32" i="3" s="1"/>
  <c r="P1189" i="1"/>
  <c r="Q1189" i="1" s="1"/>
  <c r="AJ5" i="2" s="1"/>
  <c r="G43" i="3" s="1"/>
  <c r="P1193" i="1"/>
  <c r="Q1193" i="1" s="1"/>
  <c r="AJ9" i="2" s="1"/>
  <c r="K43" i="3" s="1"/>
  <c r="P1197" i="1"/>
  <c r="Q1197" i="1" s="1"/>
  <c r="AJ13" i="2" s="1"/>
  <c r="O43" i="3" s="1"/>
  <c r="P1201" i="1"/>
  <c r="Q1201" i="1" s="1"/>
  <c r="AJ17" i="2" s="1"/>
  <c r="S43" i="3" s="1"/>
  <c r="P1204" i="1"/>
  <c r="Q1204" i="1" s="1"/>
  <c r="AJ20" i="2" s="1"/>
  <c r="V43" i="3" s="1"/>
  <c r="P1209" i="1"/>
  <c r="Q1209" i="1" s="1"/>
  <c r="AJ25" i="2" s="1"/>
  <c r="AA43" i="3" s="1"/>
  <c r="P1211" i="1"/>
  <c r="Q1211" i="1" s="1"/>
  <c r="AJ27" i="2" s="1"/>
  <c r="AC43" i="3" s="1"/>
  <c r="P1904" i="1"/>
  <c r="Q1904" i="1" s="1"/>
  <c r="BG7" i="2" s="1"/>
  <c r="I62" i="3" s="1"/>
  <c r="P1908" i="1"/>
  <c r="Q1908" i="1" s="1"/>
  <c r="BG11" i="2" s="1"/>
  <c r="M62" i="3" s="1"/>
  <c r="P1912" i="1"/>
  <c r="Q1912" i="1" s="1"/>
  <c r="BG15" i="2" s="1"/>
  <c r="Q62" i="3" s="1"/>
  <c r="P1916" i="1"/>
  <c r="Q1916" i="1" s="1"/>
  <c r="BG19" i="2" s="1"/>
  <c r="U62" i="3" s="1"/>
  <c r="P1918" i="1"/>
  <c r="Q1918" i="1" s="1"/>
  <c r="BG21" i="2" s="1"/>
  <c r="W62" i="3" s="1"/>
  <c r="P1924" i="1"/>
  <c r="Q1924" i="1" s="1"/>
  <c r="BG27" i="2" s="1"/>
  <c r="P2463" i="1"/>
  <c r="Q2463" i="1" s="1"/>
  <c r="BY8" i="2" s="1"/>
  <c r="J80" i="3" s="1"/>
  <c r="P2471" i="1"/>
  <c r="Q2471" i="1" s="1"/>
  <c r="BY16" i="2" s="1"/>
  <c r="R80" i="3" s="1"/>
  <c r="P2462" i="1"/>
  <c r="Q2462" i="1" s="1"/>
  <c r="BY7" i="2" s="1"/>
  <c r="I80" i="3" s="1"/>
  <c r="P2470" i="1"/>
  <c r="Q2470" i="1" s="1"/>
  <c r="BY15" i="2" s="1"/>
  <c r="Q80" i="3" s="1"/>
  <c r="P2477" i="1"/>
  <c r="Q2477" i="1" s="1"/>
  <c r="BY22" i="2" s="1"/>
  <c r="X80" i="3" s="1"/>
  <c r="P2479" i="1"/>
  <c r="Q2479" i="1" s="1"/>
  <c r="BY24" i="2" s="1"/>
  <c r="Z80" i="3" s="1"/>
  <c r="P2484" i="1"/>
  <c r="Q2484" i="1" s="1"/>
  <c r="BY29" i="2" s="1"/>
  <c r="AE80" i="3" s="1"/>
  <c r="P2924" i="1"/>
  <c r="Q2924" i="1" s="1"/>
  <c r="CN4" i="2" s="1"/>
  <c r="F87" i="3" s="1"/>
  <c r="P2928" i="1"/>
  <c r="Q2928" i="1" s="1"/>
  <c r="CN8" i="2" s="1"/>
  <c r="J87" i="3" s="1"/>
  <c r="P2932" i="1"/>
  <c r="Q2932" i="1" s="1"/>
  <c r="CN12" i="2" s="1"/>
  <c r="N87" i="3" s="1"/>
  <c r="P2936" i="1"/>
  <c r="Q2936" i="1" s="1"/>
  <c r="CN16" i="2" s="1"/>
  <c r="R87" i="3" s="1"/>
  <c r="P2923" i="1"/>
  <c r="Q2923" i="1" s="1"/>
  <c r="CN3" i="2" s="1"/>
  <c r="E87" i="3" s="1"/>
  <c r="P2945" i="1"/>
  <c r="Q2945" i="1" s="1"/>
  <c r="CN25" i="2" s="1"/>
  <c r="AA87" i="3" s="1"/>
  <c r="P2946" i="1"/>
  <c r="Q2946" i="1" s="1"/>
  <c r="CN26" i="2" s="1"/>
  <c r="AB87" i="3" s="1"/>
  <c r="P3513" i="1"/>
  <c r="Q3513" i="1" s="1"/>
  <c r="DG4" i="2" s="1"/>
  <c r="F106" i="3" s="1"/>
  <c r="P3517" i="1"/>
  <c r="Q3517" i="1" s="1"/>
  <c r="DG8" i="2" s="1"/>
  <c r="J106" i="3" s="1"/>
  <c r="P3521" i="1"/>
  <c r="Q3521" i="1" s="1"/>
  <c r="DG12" i="2" s="1"/>
  <c r="N106" i="3" s="1"/>
  <c r="P3525" i="1"/>
  <c r="Q3525" i="1" s="1"/>
  <c r="DG16" i="2" s="1"/>
  <c r="R106" i="3" s="1"/>
  <c r="P3512" i="1"/>
  <c r="Q3512" i="1" s="1"/>
  <c r="DG3" i="2" s="1"/>
  <c r="E106" i="3" s="1"/>
  <c r="P3533" i="1"/>
  <c r="Q3533" i="1" s="1"/>
  <c r="DG24" i="2" s="1"/>
  <c r="Z106" i="3" s="1"/>
  <c r="P3537" i="1"/>
  <c r="Q3537" i="1" s="1"/>
  <c r="DG28" i="2" s="1"/>
  <c r="AD106" i="3" s="1"/>
  <c r="P3824" i="1"/>
  <c r="Q3824" i="1" s="1"/>
  <c r="DQ5" i="2" s="1"/>
  <c r="G116" i="3" s="1"/>
  <c r="P3828" i="1"/>
  <c r="Q3828" i="1" s="1"/>
  <c r="DQ9" i="2" s="1"/>
  <c r="K116" i="3" s="1"/>
  <c r="P3832" i="1"/>
  <c r="Q3832" i="1" s="1"/>
  <c r="DQ13" i="2" s="1"/>
  <c r="O116" i="3" s="1"/>
  <c r="P3836" i="1"/>
  <c r="Q3836" i="1" s="1"/>
  <c r="DQ17" i="2" s="1"/>
  <c r="S116" i="3" s="1"/>
  <c r="P3839" i="1"/>
  <c r="Q3839" i="1" s="1"/>
  <c r="DQ20" i="2" s="1"/>
  <c r="V116" i="3" s="1"/>
  <c r="P3842" i="1"/>
  <c r="Q3842" i="1" s="1"/>
  <c r="DQ23" i="2" s="1"/>
  <c r="Y116" i="3" s="1"/>
  <c r="P3846" i="1"/>
  <c r="Q3846" i="1" s="1"/>
  <c r="DQ27" i="2" s="1"/>
  <c r="AC116" i="3" s="1"/>
  <c r="P475" i="1"/>
  <c r="Q475" i="1" s="1"/>
  <c r="M4" i="2" s="1"/>
  <c r="F20" i="3" s="1"/>
  <c r="F18" i="23" s="1"/>
  <c r="P479" i="1"/>
  <c r="Q479" i="1" s="1"/>
  <c r="M8" i="2" s="1"/>
  <c r="J20" i="3" s="1"/>
  <c r="J18" i="23" s="1"/>
  <c r="P483" i="1"/>
  <c r="Q483" i="1" s="1"/>
  <c r="M12" i="2" s="1"/>
  <c r="N20" i="3" s="1"/>
  <c r="N18" i="23" s="1"/>
  <c r="P487" i="1"/>
  <c r="Q487" i="1" s="1"/>
  <c r="M16" i="2" s="1"/>
  <c r="R20" i="3" s="1"/>
  <c r="R18" i="23" s="1"/>
  <c r="P474" i="1"/>
  <c r="Q474" i="1" s="1"/>
  <c r="M3" i="2" s="1"/>
  <c r="E20" i="3" s="1"/>
  <c r="E18" i="23" s="1"/>
  <c r="P494" i="1"/>
  <c r="Q494" i="1" s="1"/>
  <c r="M23" i="2" s="1"/>
  <c r="Y20" i="3" s="1"/>
  <c r="Y18" i="23" s="1"/>
  <c r="P498" i="1"/>
  <c r="Q498" i="1" s="1"/>
  <c r="M27" i="2" s="1"/>
  <c r="AC20" i="3" s="1"/>
  <c r="AC18" i="23" s="1"/>
  <c r="P786" i="1"/>
  <c r="Q786" i="1" s="1"/>
  <c r="W5" i="2" s="1"/>
  <c r="G30" i="3" s="1"/>
  <c r="P790" i="1"/>
  <c r="Q790" i="1" s="1"/>
  <c r="W9" i="2" s="1"/>
  <c r="K30" i="3" s="1"/>
  <c r="P794" i="1"/>
  <c r="Q794" i="1" s="1"/>
  <c r="W13" i="2" s="1"/>
  <c r="O30" i="3" s="1"/>
  <c r="P798" i="1"/>
  <c r="Q798" i="1" s="1"/>
  <c r="W17" i="2" s="1"/>
  <c r="S30" i="3" s="1"/>
  <c r="P801" i="1"/>
  <c r="Q801" i="1" s="1"/>
  <c r="W20" i="2" s="1"/>
  <c r="V30" i="3" s="1"/>
  <c r="P806" i="1"/>
  <c r="Q806" i="1" s="1"/>
  <c r="W25" i="2" s="1"/>
  <c r="AA30" i="3" s="1"/>
  <c r="P809" i="1"/>
  <c r="Q809" i="1" s="1"/>
  <c r="W28" i="2" s="1"/>
  <c r="AD30" i="3" s="1"/>
  <c r="P1097" i="1"/>
  <c r="Q1097" i="1" s="1"/>
  <c r="AG6" i="2" s="1"/>
  <c r="H40" i="3" s="1"/>
  <c r="P1101" i="1"/>
  <c r="Q1101" i="1" s="1"/>
  <c r="AG10" i="2" s="1"/>
  <c r="L40" i="3" s="1"/>
  <c r="P1105" i="1"/>
  <c r="Q1105" i="1" s="1"/>
  <c r="AG14" i="2" s="1"/>
  <c r="P40" i="3" s="1"/>
  <c r="P1109" i="1"/>
  <c r="Q1109" i="1" s="1"/>
  <c r="AG18" i="2" s="1"/>
  <c r="T40" i="3" s="1"/>
  <c r="P1113" i="1"/>
  <c r="Q1113" i="1" s="1"/>
  <c r="AG22" i="2" s="1"/>
  <c r="X40" i="3" s="1"/>
  <c r="P1116" i="1"/>
  <c r="Q1116" i="1" s="1"/>
  <c r="AG25" i="2" s="1"/>
  <c r="AA40" i="3" s="1"/>
  <c r="P1120" i="1"/>
  <c r="Q1120" i="1" s="1"/>
  <c r="AG29" i="2" s="1"/>
  <c r="AE40" i="3" s="1"/>
  <c r="P1687" i="1"/>
  <c r="Q1687" i="1" s="1"/>
  <c r="AZ7" i="2" s="1"/>
  <c r="I59" i="3" s="1"/>
  <c r="P1691" i="1"/>
  <c r="Q1691" i="1" s="1"/>
  <c r="AZ11" i="2" s="1"/>
  <c r="M59" i="3" s="1"/>
  <c r="P1695" i="1"/>
  <c r="Q1695" i="1" s="1"/>
  <c r="AZ15" i="2" s="1"/>
  <c r="Q59" i="3" s="1"/>
  <c r="P1699" i="1"/>
  <c r="Q1699" i="1" s="1"/>
  <c r="AZ19" i="2" s="1"/>
  <c r="U59" i="3" s="1"/>
  <c r="P1701" i="1"/>
  <c r="Q1701" i="1" s="1"/>
  <c r="AZ21" i="2" s="1"/>
  <c r="W59" i="3" s="1"/>
  <c r="P1706" i="1"/>
  <c r="Q1706" i="1" s="1"/>
  <c r="AZ26" i="2" s="1"/>
  <c r="AB59" i="3" s="1"/>
  <c r="P2831" i="1"/>
  <c r="Q2831" i="1" s="1"/>
  <c r="CK4" i="2" s="1"/>
  <c r="F84" i="3" s="1"/>
  <c r="P2835" i="1"/>
  <c r="Q2835" i="1" s="1"/>
  <c r="CK8" i="2" s="1"/>
  <c r="J84" i="3" s="1"/>
  <c r="P2839" i="1"/>
  <c r="Q2839" i="1" s="1"/>
  <c r="CK12" i="2" s="1"/>
  <c r="N84" i="3" s="1"/>
  <c r="P2843" i="1"/>
  <c r="Q2843" i="1" s="1"/>
  <c r="CK16" i="2" s="1"/>
  <c r="R84" i="3" s="1"/>
  <c r="P2830" i="1"/>
  <c r="Q2830" i="1" s="1"/>
  <c r="CK3" i="2" s="1"/>
  <c r="E84" i="3" s="1"/>
  <c r="P2851" i="1"/>
  <c r="Q2851" i="1" s="1"/>
  <c r="CK24" i="2" s="1"/>
  <c r="Z84" i="3" s="1"/>
  <c r="P2853" i="1"/>
  <c r="Q2853" i="1" s="1"/>
  <c r="CK26" i="2" s="1"/>
  <c r="AB84" i="3" s="1"/>
  <c r="P3175" i="1"/>
  <c r="Q3175" i="1" s="1"/>
  <c r="CV7" i="2" s="1"/>
  <c r="I95" i="3" s="1"/>
  <c r="P3179" i="1"/>
  <c r="Q3179" i="1" s="1"/>
  <c r="CV11" i="2" s="1"/>
  <c r="M95" i="3" s="1"/>
  <c r="P3183" i="1"/>
  <c r="Q3183" i="1" s="1"/>
  <c r="CV15" i="2" s="1"/>
  <c r="Q95" i="3" s="1"/>
  <c r="P3187" i="1"/>
  <c r="Q3187" i="1" s="1"/>
  <c r="CV19" i="2" s="1"/>
  <c r="U95" i="3" s="1"/>
  <c r="P3189" i="1"/>
  <c r="Q3189" i="1" s="1"/>
  <c r="CV21" i="2" s="1"/>
  <c r="W95" i="3" s="1"/>
  <c r="P3196" i="1"/>
  <c r="Q3196" i="1" s="1"/>
  <c r="CV28" i="2" s="1"/>
  <c r="AD95" i="3" s="1"/>
  <c r="P3576" i="1"/>
  <c r="Q3576" i="1" s="1"/>
  <c r="DI5" i="2" s="1"/>
  <c r="G108" i="3" s="1"/>
  <c r="P3580" i="1"/>
  <c r="Q3580" i="1" s="1"/>
  <c r="DI9" i="2" s="1"/>
  <c r="K108" i="3" s="1"/>
  <c r="P3584" i="1"/>
  <c r="Q3584" i="1" s="1"/>
  <c r="DI13" i="2" s="1"/>
  <c r="O108" i="3" s="1"/>
  <c r="P3588" i="1"/>
  <c r="Q3588" i="1" s="1"/>
  <c r="DI17" i="2" s="1"/>
  <c r="S108" i="3" s="1"/>
  <c r="P3591" i="1"/>
  <c r="Q3591" i="1" s="1"/>
  <c r="DI20" i="2" s="1"/>
  <c r="V108" i="3" s="1"/>
  <c r="P3596" i="1"/>
  <c r="Q3596" i="1" s="1"/>
  <c r="DI25" i="2" s="1"/>
  <c r="AA108" i="3" s="1"/>
  <c r="P3598" i="1"/>
  <c r="Q3598" i="1" s="1"/>
  <c r="DI27" i="2" s="1"/>
  <c r="AC108" i="3" s="1"/>
  <c r="P291" i="1"/>
  <c r="Q291" i="1" s="1"/>
  <c r="G6" i="2" s="1"/>
  <c r="H14" i="3" s="1"/>
  <c r="H12" i="23" s="1"/>
  <c r="P295" i="1"/>
  <c r="Q295" i="1" s="1"/>
  <c r="G10" i="2" s="1"/>
  <c r="L14" i="3" s="1"/>
  <c r="L12" i="23" s="1"/>
  <c r="P299" i="1"/>
  <c r="Q299" i="1" s="1"/>
  <c r="G14" i="2" s="1"/>
  <c r="P14" i="3" s="1"/>
  <c r="P12" i="23" s="1"/>
  <c r="P303" i="1"/>
  <c r="Q303" i="1" s="1"/>
  <c r="G18" i="2" s="1"/>
  <c r="T14" i="3" s="1"/>
  <c r="T12" i="23" s="1"/>
  <c r="P307" i="1"/>
  <c r="Q307" i="1" s="1"/>
  <c r="G22" i="2" s="1"/>
  <c r="X14" i="3" s="1"/>
  <c r="X12" i="23" s="1"/>
  <c r="P311" i="1"/>
  <c r="Q311" i="1" s="1"/>
  <c r="G26" i="2" s="1"/>
  <c r="AB14" i="3" s="1"/>
  <c r="AB12" i="23" s="1"/>
  <c r="P314" i="1"/>
  <c r="Q314" i="1" s="1"/>
  <c r="G29" i="2" s="1"/>
  <c r="AE14" i="3" s="1"/>
  <c r="AE12" i="23" s="1"/>
  <c r="P2337" i="1"/>
  <c r="Q2337" i="1" s="1"/>
  <c r="BU6" i="2" s="1"/>
  <c r="H76" i="3" s="1"/>
  <c r="P2341" i="1"/>
  <c r="Q2341" i="1" s="1"/>
  <c r="BU10" i="2" s="1"/>
  <c r="L76" i="3" s="1"/>
  <c r="P2345" i="1"/>
  <c r="Q2345" i="1" s="1"/>
  <c r="BU14" i="2" s="1"/>
  <c r="P76" i="3" s="1"/>
  <c r="P2349" i="1"/>
  <c r="Q2349" i="1" s="1"/>
  <c r="BU18" i="2" s="1"/>
  <c r="T76" i="3" s="1"/>
  <c r="P2353" i="1"/>
  <c r="Q2353" i="1" s="1"/>
  <c r="BU22" i="2" s="1"/>
  <c r="X76" i="3" s="1"/>
  <c r="P2356" i="1"/>
  <c r="Q2356" i="1" s="1"/>
  <c r="BU25" i="2" s="1"/>
  <c r="AA76" i="3" s="1"/>
  <c r="P2360" i="1"/>
  <c r="Q2360" i="1" s="1"/>
  <c r="BU29" i="2" s="1"/>
  <c r="AE76" i="3" s="1"/>
  <c r="P2801" i="1"/>
  <c r="Q2801" i="1" s="1"/>
  <c r="CJ5" i="2" s="1"/>
  <c r="G83" i="3" s="1"/>
  <c r="P2805" i="1"/>
  <c r="Q2805" i="1" s="1"/>
  <c r="CJ9" i="2" s="1"/>
  <c r="K83" i="3" s="1"/>
  <c r="P2809" i="1"/>
  <c r="Q2809" i="1" s="1"/>
  <c r="CJ13" i="2" s="1"/>
  <c r="O83" i="3" s="1"/>
  <c r="P2813" i="1"/>
  <c r="Q2813" i="1" s="1"/>
  <c r="CJ17" i="2" s="1"/>
  <c r="S83" i="3" s="1"/>
  <c r="P2816" i="1"/>
  <c r="Q2816" i="1" s="1"/>
  <c r="CJ20" i="2" s="1"/>
  <c r="V83" i="3" s="1"/>
  <c r="P2819" i="1"/>
  <c r="Q2819" i="1" s="1"/>
  <c r="CJ23" i="2" s="1"/>
  <c r="Y83" i="3" s="1"/>
  <c r="P2823" i="1"/>
  <c r="Q2823" i="1" s="1"/>
  <c r="CJ27" i="2" s="1"/>
  <c r="AC83" i="3" s="1"/>
  <c r="P261" i="1"/>
  <c r="Q261" i="1" s="1"/>
  <c r="F7" i="2" s="1"/>
  <c r="I13" i="3" s="1"/>
  <c r="I11" i="23" s="1"/>
  <c r="P265" i="1"/>
  <c r="Q265" i="1" s="1"/>
  <c r="F11" i="2" s="1"/>
  <c r="M13" i="3" s="1"/>
  <c r="M11" i="23" s="1"/>
  <c r="P269" i="1"/>
  <c r="Q269" i="1" s="1"/>
  <c r="F15" i="2" s="1"/>
  <c r="Q13" i="3" s="1"/>
  <c r="Q11" i="23" s="1"/>
  <c r="P273" i="1"/>
  <c r="Q273" i="1" s="1"/>
  <c r="F19" i="2" s="1"/>
  <c r="U13" i="3" s="1"/>
  <c r="U11" i="23" s="1"/>
  <c r="P275" i="1"/>
  <c r="Q275" i="1" s="1"/>
  <c r="F21" i="2" s="1"/>
  <c r="W13" i="3" s="1"/>
  <c r="W11" i="23" s="1"/>
  <c r="P279" i="1"/>
  <c r="Q279" i="1" s="1"/>
  <c r="F25" i="2" s="1"/>
  <c r="AA13" i="3" s="1"/>
  <c r="AA11" i="23" s="1"/>
  <c r="P724" i="1"/>
  <c r="Q724" i="1" s="1"/>
  <c r="U5" i="2" s="1"/>
  <c r="G28" i="3" s="1"/>
  <c r="P728" i="1"/>
  <c r="Q728" i="1" s="1"/>
  <c r="U9" i="2" s="1"/>
  <c r="K28" i="3" s="1"/>
  <c r="P732" i="1"/>
  <c r="Q732" i="1" s="1"/>
  <c r="U13" i="2" s="1"/>
  <c r="O28" i="3" s="1"/>
  <c r="P736" i="1"/>
  <c r="Q736" i="1" s="1"/>
  <c r="U17" i="2" s="1"/>
  <c r="S28" i="3" s="1"/>
  <c r="P739" i="1"/>
  <c r="Q739" i="1" s="1"/>
  <c r="U20" i="2" s="1"/>
  <c r="V28" i="3" s="1"/>
  <c r="P744" i="1"/>
  <c r="Q744" i="1" s="1"/>
  <c r="U25" i="2" s="1"/>
  <c r="AA28" i="3" s="1"/>
  <c r="P746" i="1"/>
  <c r="Q746" i="1" s="1"/>
  <c r="U27" i="2" s="1"/>
  <c r="AC28" i="3" s="1"/>
  <c r="P828" i="1"/>
  <c r="Q828" i="1" s="1"/>
  <c r="X16" i="2" s="1"/>
  <c r="R31" i="3" s="1"/>
  <c r="P1160" i="1"/>
  <c r="Q1160" i="1" s="1"/>
  <c r="AI7" i="2" s="1"/>
  <c r="I42" i="3" s="1"/>
  <c r="P1172" i="1"/>
  <c r="Q1172" i="1" s="1"/>
  <c r="AI19" i="2" s="1"/>
  <c r="U42" i="3" s="1"/>
  <c r="P1727" i="1"/>
  <c r="Q1727" i="1" s="1"/>
  <c r="BA16" i="2" s="1"/>
  <c r="R60" i="3" s="1"/>
  <c r="P156" i="1"/>
  <c r="Q156" i="1" s="1"/>
  <c r="B26" i="2" s="1"/>
  <c r="AB9" i="3" s="1"/>
  <c r="AB7" i="23" s="1"/>
  <c r="P230" i="1"/>
  <c r="Q230" i="1" s="1"/>
  <c r="E7" i="2" s="1"/>
  <c r="I12" i="3" s="1"/>
  <c r="I10" i="23" s="1"/>
  <c r="P234" i="1"/>
  <c r="Q234" i="1" s="1"/>
  <c r="E11" i="2" s="1"/>
  <c r="M12" i="3" s="1"/>
  <c r="M10" i="23" s="1"/>
  <c r="P238" i="1"/>
  <c r="Q238" i="1" s="1"/>
  <c r="E15" i="2" s="1"/>
  <c r="Q12" i="3" s="1"/>
  <c r="Q10" i="23" s="1"/>
  <c r="P242" i="1"/>
  <c r="Q242" i="1" s="1"/>
  <c r="E19" i="2" s="1"/>
  <c r="U12" i="3" s="1"/>
  <c r="U10" i="23" s="1"/>
  <c r="P244" i="1"/>
  <c r="Q244" i="1" s="1"/>
  <c r="E21" i="2" s="1"/>
  <c r="W12" i="3" s="1"/>
  <c r="W10" i="23" s="1"/>
  <c r="P248" i="1"/>
  <c r="Q248" i="1" s="1"/>
  <c r="E25" i="2" s="1"/>
  <c r="AA12" i="3" s="1"/>
  <c r="AA10" i="23" s="1"/>
  <c r="P323" i="1"/>
  <c r="Q323" i="1" s="1"/>
  <c r="H7" i="2" s="1"/>
  <c r="I15" i="3" s="1"/>
  <c r="I13" i="23" s="1"/>
  <c r="P327" i="1"/>
  <c r="Q327" i="1" s="1"/>
  <c r="H11" i="2" s="1"/>
  <c r="M15" i="3" s="1"/>
  <c r="M13" i="23" s="1"/>
  <c r="P331" i="1"/>
  <c r="Q331" i="1" s="1"/>
  <c r="H15" i="2" s="1"/>
  <c r="Q15" i="3" s="1"/>
  <c r="Q13" i="23" s="1"/>
  <c r="P335" i="1"/>
  <c r="Q335" i="1" s="1"/>
  <c r="H19" i="2" s="1"/>
  <c r="U15" i="3" s="1"/>
  <c r="U13" i="23" s="1"/>
  <c r="P337" i="1"/>
  <c r="Q337" i="1" s="1"/>
  <c r="H21" i="2" s="1"/>
  <c r="W15" i="3" s="1"/>
  <c r="W13" i="23" s="1"/>
  <c r="P343" i="1"/>
  <c r="Q343" i="1" s="1"/>
  <c r="H27" i="2" s="1"/>
  <c r="AC15" i="3" s="1"/>
  <c r="AC13" i="23" s="1"/>
  <c r="P662" i="1"/>
  <c r="Q662" i="1" s="1"/>
  <c r="S5" i="2" s="1"/>
  <c r="G26" i="3" s="1"/>
  <c r="P666" i="1"/>
  <c r="Q666" i="1" s="1"/>
  <c r="S9" i="2" s="1"/>
  <c r="K26" i="3" s="1"/>
  <c r="P670" i="1"/>
  <c r="Q670" i="1" s="1"/>
  <c r="S13" i="2" s="1"/>
  <c r="O26" i="3" s="1"/>
  <c r="P674" i="1"/>
  <c r="Q674" i="1" s="1"/>
  <c r="S17" i="2" s="1"/>
  <c r="S26" i="3" s="1"/>
  <c r="P677" i="1"/>
  <c r="Q677" i="1" s="1"/>
  <c r="S20" i="2" s="1"/>
  <c r="V26" i="3" s="1"/>
  <c r="P682" i="1"/>
  <c r="Q682" i="1" s="1"/>
  <c r="S25" i="2" s="1"/>
  <c r="AA26" i="3" s="1"/>
  <c r="P685" i="1"/>
  <c r="Q685" i="1" s="1"/>
  <c r="S28" i="2" s="1"/>
  <c r="AD26" i="3" s="1"/>
  <c r="P942" i="1"/>
  <c r="Q942" i="1" s="1"/>
  <c r="AB6" i="2" s="1"/>
  <c r="H35" i="3" s="1"/>
  <c r="P946" i="1"/>
  <c r="Q946" i="1" s="1"/>
  <c r="AB10" i="2" s="1"/>
  <c r="L35" i="3" s="1"/>
  <c r="P950" i="1"/>
  <c r="Q950" i="1" s="1"/>
  <c r="AB14" i="2" s="1"/>
  <c r="P35" i="3" s="1"/>
  <c r="P954" i="1"/>
  <c r="Q954" i="1" s="1"/>
  <c r="AB18" i="2" s="1"/>
  <c r="T35" i="3" s="1"/>
  <c r="P958" i="1"/>
  <c r="Q958" i="1" s="1"/>
  <c r="AB22" i="2" s="1"/>
  <c r="X35" i="3" s="1"/>
  <c r="P961" i="1"/>
  <c r="Q961" i="1" s="1"/>
  <c r="AB25" i="2" s="1"/>
  <c r="AA35" i="3" s="1"/>
  <c r="P965" i="1"/>
  <c r="Q965" i="1" s="1"/>
  <c r="AB29" i="2" s="1"/>
  <c r="AE35" i="3" s="1"/>
  <c r="P1284" i="1"/>
  <c r="Q1284" i="1" s="1"/>
  <c r="AM7" i="2" s="1"/>
  <c r="I46" i="3" s="1"/>
  <c r="P1288" i="1"/>
  <c r="Q1288" i="1" s="1"/>
  <c r="AM11" i="2" s="1"/>
  <c r="M46" i="3" s="1"/>
  <c r="P1292" i="1"/>
  <c r="Q1292" i="1" s="1"/>
  <c r="AM15" i="2" s="1"/>
  <c r="Q46" i="3" s="1"/>
  <c r="P1296" i="1"/>
  <c r="Q1296" i="1" s="1"/>
  <c r="AM19" i="2" s="1"/>
  <c r="U46" i="3" s="1"/>
  <c r="P1298" i="1"/>
  <c r="Q1298" i="1" s="1"/>
  <c r="AM21" i="2" s="1"/>
  <c r="W46" i="3" s="1"/>
  <c r="P1303" i="1"/>
  <c r="Q1303" i="1" s="1"/>
  <c r="AM26" i="2" s="1"/>
  <c r="AB46" i="3" s="1"/>
  <c r="P2989" i="1"/>
  <c r="Q2989" i="1" s="1"/>
  <c r="CP7" i="2" s="1"/>
  <c r="I89" i="3" s="1"/>
  <c r="P2993" i="1"/>
  <c r="Q2993" i="1" s="1"/>
  <c r="CP11" i="2" s="1"/>
  <c r="M89" i="3" s="1"/>
  <c r="P2997" i="1"/>
  <c r="Q2997" i="1" s="1"/>
  <c r="CP15" i="2" s="1"/>
  <c r="Q89" i="3" s="1"/>
  <c r="P3001" i="1"/>
  <c r="Q3001" i="1" s="1"/>
  <c r="CP19" i="2" s="1"/>
  <c r="U89" i="3" s="1"/>
  <c r="P3003" i="1"/>
  <c r="Q3003" i="1" s="1"/>
  <c r="CP21" i="2" s="1"/>
  <c r="W89" i="3" s="1"/>
  <c r="P3010" i="1"/>
  <c r="Q3010" i="1" s="1"/>
  <c r="CP28" i="2" s="1"/>
  <c r="AD89" i="3" s="1"/>
  <c r="P3421" i="1"/>
  <c r="Q3421" i="1" s="1"/>
  <c r="DD5" i="2" s="1"/>
  <c r="G103" i="3" s="1"/>
  <c r="P3425" i="1"/>
  <c r="Q3425" i="1" s="1"/>
  <c r="DD9" i="2" s="1"/>
  <c r="K103" i="3" s="1"/>
  <c r="P3429" i="1"/>
  <c r="Q3429" i="1" s="1"/>
  <c r="DD13" i="2" s="1"/>
  <c r="O103" i="3" s="1"/>
  <c r="P3433" i="1"/>
  <c r="Q3433" i="1" s="1"/>
  <c r="DD17" i="2" s="1"/>
  <c r="S103" i="3" s="1"/>
  <c r="P3436" i="1"/>
  <c r="Q3436" i="1" s="1"/>
  <c r="DD20" i="2" s="1"/>
  <c r="V103" i="3" s="1"/>
  <c r="P3439" i="1"/>
  <c r="Q3439" i="1" s="1"/>
  <c r="DD23" i="2" s="1"/>
  <c r="Y103" i="3" s="1"/>
  <c r="P3443" i="1"/>
  <c r="Q3443" i="1" s="1"/>
  <c r="DD27" i="2" s="1"/>
  <c r="AC103" i="3" s="1"/>
  <c r="P3764" i="1"/>
  <c r="Q3764" i="1" s="1"/>
  <c r="DO7" i="2" s="1"/>
  <c r="I114" i="3" s="1"/>
  <c r="P3768" i="1"/>
  <c r="Q3768" i="1" s="1"/>
  <c r="DO11" i="2" s="1"/>
  <c r="M114" i="3" s="1"/>
  <c r="P3772" i="1"/>
  <c r="Q3772" i="1" s="1"/>
  <c r="DO15" i="2" s="1"/>
  <c r="Q114" i="3" s="1"/>
  <c r="P3776" i="1"/>
  <c r="Q3776" i="1" s="1"/>
  <c r="DO19" i="2" s="1"/>
  <c r="U114" i="3" s="1"/>
  <c r="P3778" i="1"/>
  <c r="Q3778" i="1" s="1"/>
  <c r="DO21" i="2" s="1"/>
  <c r="W114" i="3" s="1"/>
  <c r="P3785" i="1"/>
  <c r="Q3785" i="1" s="1"/>
  <c r="DO28" i="2" s="1"/>
  <c r="AD114" i="3" s="1"/>
  <c r="P2183" i="1"/>
  <c r="Q2183" i="1" s="1"/>
  <c r="BP7" i="2" s="1"/>
  <c r="I71" i="3" s="1"/>
  <c r="P2187" i="1"/>
  <c r="Q2187" i="1" s="1"/>
  <c r="BP11" i="2" s="1"/>
  <c r="M71" i="3" s="1"/>
  <c r="P2191" i="1"/>
  <c r="Q2191" i="1" s="1"/>
  <c r="BP15" i="2" s="1"/>
  <c r="Q71" i="3" s="1"/>
  <c r="P2195" i="1"/>
  <c r="Q2195" i="1" s="1"/>
  <c r="BP19" i="2" s="1"/>
  <c r="U71" i="3" s="1"/>
  <c r="P2197" i="1"/>
  <c r="Q2197" i="1" s="1"/>
  <c r="BP21" i="2" s="1"/>
  <c r="W71" i="3" s="1"/>
  <c r="P2204" i="1"/>
  <c r="Q2204" i="1" s="1"/>
  <c r="BP28" i="2" s="1"/>
  <c r="AD71" i="3" s="1"/>
  <c r="P3119" i="1"/>
  <c r="P3118" i="1"/>
  <c r="P3125" i="1"/>
  <c r="P3120" i="1"/>
  <c r="P3124" i="1"/>
  <c r="P3129" i="1"/>
  <c r="P3130" i="1"/>
  <c r="P351" i="1"/>
  <c r="Q351" i="1" s="1"/>
  <c r="I4" i="2" s="1"/>
  <c r="F16" i="3" s="1"/>
  <c r="F14" i="23" s="1"/>
  <c r="P355" i="1"/>
  <c r="Q355" i="1" s="1"/>
  <c r="I8" i="2" s="1"/>
  <c r="J16" i="3" s="1"/>
  <c r="J14" i="23" s="1"/>
  <c r="P359" i="1"/>
  <c r="Q359" i="1" s="1"/>
  <c r="I12" i="2" s="1"/>
  <c r="N16" i="3" s="1"/>
  <c r="N14" i="23" s="1"/>
  <c r="P363" i="1"/>
  <c r="Q363" i="1" s="1"/>
  <c r="I16" i="2" s="1"/>
  <c r="R16" i="3" s="1"/>
  <c r="R14" i="23" s="1"/>
  <c r="P350" i="1"/>
  <c r="Q350" i="1" s="1"/>
  <c r="I3" i="2" s="1"/>
  <c r="E16" i="3" s="1"/>
  <c r="E14" i="23" s="1"/>
  <c r="P370" i="1"/>
  <c r="Q370" i="1" s="1"/>
  <c r="I23" i="2" s="1"/>
  <c r="Y16" i="3" s="1"/>
  <c r="Y14" i="23" s="1"/>
  <c r="P373" i="1"/>
  <c r="Q373" i="1" s="1"/>
  <c r="I26" i="2" s="1"/>
  <c r="AB16" i="3" s="1"/>
  <c r="AB14" i="23" s="1"/>
  <c r="P694" i="1"/>
  <c r="Q694" i="1" s="1"/>
  <c r="T6" i="2" s="1"/>
  <c r="H27" i="3" s="1"/>
  <c r="P698" i="1"/>
  <c r="Q698" i="1" s="1"/>
  <c r="T10" i="2" s="1"/>
  <c r="L27" i="3" s="1"/>
  <c r="P702" i="1"/>
  <c r="Q702" i="1" s="1"/>
  <c r="T14" i="2" s="1"/>
  <c r="P27" i="3" s="1"/>
  <c r="P706" i="1"/>
  <c r="Q706" i="1" s="1"/>
  <c r="T18" i="2" s="1"/>
  <c r="T27" i="3" s="1"/>
  <c r="P710" i="1"/>
  <c r="Q710" i="1" s="1"/>
  <c r="T22" i="2" s="1"/>
  <c r="X27" i="3" s="1"/>
  <c r="P713" i="1"/>
  <c r="Q713" i="1" s="1"/>
  <c r="T25" i="2" s="1"/>
  <c r="AA27" i="3" s="1"/>
  <c r="P717" i="1"/>
  <c r="Q717" i="1" s="1"/>
  <c r="T29" i="2" s="1"/>
  <c r="AE27" i="3" s="1"/>
  <c r="P971" i="1"/>
  <c r="Q971" i="1" s="1"/>
  <c r="AC4" i="2" s="1"/>
  <c r="F36" i="3" s="1"/>
  <c r="P975" i="1"/>
  <c r="Q975" i="1" s="1"/>
  <c r="AC8" i="2" s="1"/>
  <c r="J36" i="3" s="1"/>
  <c r="P979" i="1"/>
  <c r="Q979" i="1" s="1"/>
  <c r="AC12" i="2" s="1"/>
  <c r="N36" i="3" s="1"/>
  <c r="P983" i="1"/>
  <c r="Q983" i="1" s="1"/>
  <c r="AC16" i="2" s="1"/>
  <c r="R36" i="3" s="1"/>
  <c r="P970" i="1"/>
  <c r="Q970" i="1" s="1"/>
  <c r="AC3" i="2" s="1"/>
  <c r="E36" i="3" s="1"/>
  <c r="P990" i="1"/>
  <c r="Q990" i="1" s="1"/>
  <c r="AC23" i="2" s="1"/>
  <c r="Y36" i="3" s="1"/>
  <c r="P993" i="1"/>
  <c r="Q993" i="1" s="1"/>
  <c r="AC26" i="2" s="1"/>
  <c r="AB36" i="3" s="1"/>
  <c r="P1314" i="1"/>
  <c r="Q1314" i="1" s="1"/>
  <c r="AN6" i="2" s="1"/>
  <c r="H47" i="3" s="1"/>
  <c r="P1318" i="1"/>
  <c r="Q1318" i="1" s="1"/>
  <c r="AN10" i="2" s="1"/>
  <c r="L47" i="3" s="1"/>
  <c r="P1322" i="1"/>
  <c r="Q1322" i="1" s="1"/>
  <c r="AN14" i="2" s="1"/>
  <c r="P47" i="3" s="1"/>
  <c r="P1326" i="1"/>
  <c r="Q1326" i="1" s="1"/>
  <c r="AN18" i="2" s="1"/>
  <c r="T47" i="3" s="1"/>
  <c r="P1330" i="1"/>
  <c r="Q1330" i="1" s="1"/>
  <c r="AN22" i="2" s="1"/>
  <c r="X47" i="3" s="1"/>
  <c r="P1333" i="1"/>
  <c r="Q1333" i="1" s="1"/>
  <c r="AN25" i="2" s="1"/>
  <c r="AA47" i="3" s="1"/>
  <c r="P1337" i="1"/>
  <c r="Q1337" i="1" s="1"/>
  <c r="AN29" i="2" s="1"/>
  <c r="AE47" i="3" s="1"/>
  <c r="P2059" i="1"/>
  <c r="Q2059" i="1" s="1"/>
  <c r="BL7" i="2" s="1"/>
  <c r="I67" i="3" s="1"/>
  <c r="P2063" i="1"/>
  <c r="Q2063" i="1" s="1"/>
  <c r="BL11" i="2" s="1"/>
  <c r="M67" i="3" s="1"/>
  <c r="P2067" i="1"/>
  <c r="Q2067" i="1" s="1"/>
  <c r="BL15" i="2" s="1"/>
  <c r="Q67" i="3" s="1"/>
  <c r="P2071" i="1"/>
  <c r="Q2071" i="1" s="1"/>
  <c r="BL19" i="2" s="1"/>
  <c r="U67" i="3" s="1"/>
  <c r="P2073" i="1"/>
  <c r="Q2073" i="1" s="1"/>
  <c r="BL21" i="2" s="1"/>
  <c r="W67" i="3" s="1"/>
  <c r="P2078" i="1"/>
  <c r="Q2078" i="1" s="1"/>
  <c r="BL26" i="2" s="1"/>
  <c r="AB67" i="3" s="1"/>
  <c r="P2437" i="1"/>
  <c r="Q2437" i="1" s="1"/>
  <c r="BX13" i="2" s="1"/>
  <c r="O79" i="3" s="1"/>
  <c r="P2428" i="1"/>
  <c r="Q2428" i="1" s="1"/>
  <c r="BX4" i="2" s="1"/>
  <c r="F79" i="3" s="1"/>
  <c r="P2432" i="1"/>
  <c r="Q2432" i="1" s="1"/>
  <c r="BX8" i="2" s="1"/>
  <c r="J79" i="3" s="1"/>
  <c r="P2436" i="1"/>
  <c r="Q2436" i="1" s="1"/>
  <c r="BX12" i="2" s="1"/>
  <c r="N79" i="3" s="1"/>
  <c r="P2427" i="1"/>
  <c r="Q2427" i="1" s="1"/>
  <c r="BX3" i="2" s="1"/>
  <c r="E79" i="3" s="1"/>
  <c r="P2448" i="1"/>
  <c r="Q2448" i="1" s="1"/>
  <c r="BX24" i="2" s="1"/>
  <c r="Z79" i="3" s="1"/>
  <c r="P2450" i="1"/>
  <c r="Q2450" i="1" s="1"/>
  <c r="BX26" i="2" s="1"/>
  <c r="AB79" i="3" s="1"/>
  <c r="P2895" i="1"/>
  <c r="Q2895" i="1" s="1"/>
  <c r="CM6" i="2" s="1"/>
  <c r="H86" i="3" s="1"/>
  <c r="P2899" i="1"/>
  <c r="Q2899" i="1" s="1"/>
  <c r="CM10" i="2" s="1"/>
  <c r="L86" i="3" s="1"/>
  <c r="P2903" i="1"/>
  <c r="Q2903" i="1" s="1"/>
  <c r="CM14" i="2" s="1"/>
  <c r="P86" i="3" s="1"/>
  <c r="P2907" i="1"/>
  <c r="Q2907" i="1" s="1"/>
  <c r="CM18" i="2" s="1"/>
  <c r="T86" i="3" s="1"/>
  <c r="P2911" i="1"/>
  <c r="Q2911" i="1" s="1"/>
  <c r="CM22" i="2" s="1"/>
  <c r="X86" i="3" s="1"/>
  <c r="P2914" i="1"/>
  <c r="Q2914" i="1" s="1"/>
  <c r="CM25" i="2" s="1"/>
  <c r="AA86" i="3" s="1"/>
  <c r="P2918" i="1"/>
  <c r="Q2918" i="1" s="1"/>
  <c r="CM29" i="2" s="1"/>
  <c r="AE86" i="3" s="1"/>
  <c r="P3297" i="1"/>
  <c r="Q3297" i="1" s="1"/>
  <c r="CZ5" i="2" s="1"/>
  <c r="G99" i="3" s="1"/>
  <c r="P3305" i="1"/>
  <c r="Q3305" i="1" s="1"/>
  <c r="CZ13" i="2" s="1"/>
  <c r="O99" i="3" s="1"/>
  <c r="P3296" i="1"/>
  <c r="Q3296" i="1" s="1"/>
  <c r="CZ4" i="2" s="1"/>
  <c r="F99" i="3" s="1"/>
  <c r="P3304" i="1"/>
  <c r="Q3304" i="1" s="1"/>
  <c r="CZ12" i="2" s="1"/>
  <c r="N99" i="3" s="1"/>
  <c r="P3295" i="1"/>
  <c r="Q3295" i="1" s="1"/>
  <c r="CZ3" i="2" s="1"/>
  <c r="E99" i="3" s="1"/>
  <c r="P3316" i="1"/>
  <c r="Q3316" i="1" s="1"/>
  <c r="CZ24" i="2" s="1"/>
  <c r="Z99" i="3" s="1"/>
  <c r="P3318" i="1"/>
  <c r="Q3318" i="1" s="1"/>
  <c r="CZ26" i="2" s="1"/>
  <c r="AB99" i="3" s="1"/>
  <c r="P3639" i="1"/>
  <c r="Q3639" i="1" s="1"/>
  <c r="DK6" i="2" s="1"/>
  <c r="H110" i="3" s="1"/>
  <c r="P3643" i="1"/>
  <c r="Q3643" i="1" s="1"/>
  <c r="DK10" i="2" s="1"/>
  <c r="L110" i="3" s="1"/>
  <c r="P3647" i="1"/>
  <c r="Q3647" i="1" s="1"/>
  <c r="DK14" i="2" s="1"/>
  <c r="P110" i="3" s="1"/>
  <c r="P3651" i="1"/>
  <c r="Q3651" i="1" s="1"/>
  <c r="DK18" i="2" s="1"/>
  <c r="T110" i="3" s="1"/>
  <c r="P3655" i="1"/>
  <c r="Q3655" i="1" s="1"/>
  <c r="DK22" i="2" s="1"/>
  <c r="X110" i="3" s="1"/>
  <c r="P3658" i="1"/>
  <c r="Q3658" i="1" s="1"/>
  <c r="DK25" i="2" s="1"/>
  <c r="AA110" i="3" s="1"/>
  <c r="P1808" i="1"/>
  <c r="P1815" i="1"/>
  <c r="P1810" i="1"/>
  <c r="P1813" i="1"/>
  <c r="P1826" i="1"/>
  <c r="P1829" i="1"/>
  <c r="P1963" i="1"/>
  <c r="Q1963" i="1" s="1"/>
  <c r="BI4" i="2" s="1"/>
  <c r="F64" i="3" s="1"/>
  <c r="P1967" i="1"/>
  <c r="Q1967" i="1" s="1"/>
  <c r="BI8" i="2" s="1"/>
  <c r="J64" i="3" s="1"/>
  <c r="P1971" i="1"/>
  <c r="Q1971" i="1" s="1"/>
  <c r="BI12" i="2" s="1"/>
  <c r="N64" i="3" s="1"/>
  <c r="P1975" i="1"/>
  <c r="Q1975" i="1" s="1"/>
  <c r="BI16" i="2" s="1"/>
  <c r="R64" i="3" s="1"/>
  <c r="P1962" i="1"/>
  <c r="Q1962" i="1" s="1"/>
  <c r="BI3" i="2" s="1"/>
  <c r="E64" i="3" s="1"/>
  <c r="P1983" i="1"/>
  <c r="Q1983" i="1" s="1"/>
  <c r="BI24" i="2" s="1"/>
  <c r="Z64" i="3" s="1"/>
  <c r="P1986" i="1"/>
  <c r="Q1986" i="1" s="1"/>
  <c r="BI27" i="2" s="1"/>
  <c r="AC64" i="3" s="1"/>
  <c r="P168" i="1"/>
  <c r="Q168" i="1" s="1"/>
  <c r="C7" i="2" s="1"/>
  <c r="I10" i="3" s="1"/>
  <c r="I8" i="23" s="1"/>
  <c r="P172" i="1"/>
  <c r="Q172" i="1" s="1"/>
  <c r="C11" i="2" s="1"/>
  <c r="M10" i="3" s="1"/>
  <c r="M8" i="23" s="1"/>
  <c r="P176" i="1"/>
  <c r="Q176" i="1" s="1"/>
  <c r="C15" i="2" s="1"/>
  <c r="Q10" i="3" s="1"/>
  <c r="Q8" i="23" s="1"/>
  <c r="P180" i="1"/>
  <c r="Q180" i="1" s="1"/>
  <c r="C19" i="2" s="1"/>
  <c r="U10" i="3" s="1"/>
  <c r="U8" i="23" s="1"/>
  <c r="P182" i="1"/>
  <c r="Q182" i="1" s="1"/>
  <c r="C21" i="2" s="1"/>
  <c r="W10" i="3" s="1"/>
  <c r="W8" i="23" s="1"/>
  <c r="P188" i="1"/>
  <c r="Q188" i="1" s="1"/>
  <c r="C27" i="2" s="1"/>
  <c r="AC10" i="3" s="1"/>
  <c r="AC8" i="23" s="1"/>
  <c r="P912" i="1"/>
  <c r="Q912" i="1" s="1"/>
  <c r="AA7" i="2" s="1"/>
  <c r="I34" i="3" s="1"/>
  <c r="P916" i="1"/>
  <c r="Q916" i="1" s="1"/>
  <c r="AA11" i="2" s="1"/>
  <c r="M34" i="3" s="1"/>
  <c r="P920" i="1"/>
  <c r="Q920" i="1" s="1"/>
  <c r="AA15" i="2" s="1"/>
  <c r="Q34" i="3" s="1"/>
  <c r="P924" i="1"/>
  <c r="Q924" i="1" s="1"/>
  <c r="AA19" i="2" s="1"/>
  <c r="U34" i="3" s="1"/>
  <c r="P926" i="1"/>
  <c r="Q926" i="1" s="1"/>
  <c r="AA21" i="2" s="1"/>
  <c r="W34" i="3" s="1"/>
  <c r="P931" i="1"/>
  <c r="Q931" i="1" s="1"/>
  <c r="AA26" i="2" s="1"/>
  <c r="AB34" i="3" s="1"/>
  <c r="P1221" i="1"/>
  <c r="Q1221" i="1" s="1"/>
  <c r="AK6" i="2" s="1"/>
  <c r="H44" i="3" s="1"/>
  <c r="P1225" i="1"/>
  <c r="Q1225" i="1" s="1"/>
  <c r="AK10" i="2" s="1"/>
  <c r="L44" i="3" s="1"/>
  <c r="P1229" i="1"/>
  <c r="Q1229" i="1" s="1"/>
  <c r="AK14" i="2" s="1"/>
  <c r="P44" i="3" s="1"/>
  <c r="P1233" i="1"/>
  <c r="Q1233" i="1" s="1"/>
  <c r="AK18" i="2" s="1"/>
  <c r="T44" i="3" s="1"/>
  <c r="P1237" i="1"/>
  <c r="Q1237" i="1" s="1"/>
  <c r="AK22" i="2" s="1"/>
  <c r="X44" i="3" s="1"/>
  <c r="P1240" i="1"/>
  <c r="Q1240" i="1" s="1"/>
  <c r="AK25" i="2" s="1"/>
  <c r="AA44" i="3" s="1"/>
  <c r="P1244" i="1"/>
  <c r="Q1244" i="1" s="1"/>
  <c r="AK29" i="2" s="1"/>
  <c r="AE44" i="3" s="1"/>
  <c r="P2958" i="1"/>
  <c r="Q2958" i="1" s="1"/>
  <c r="CO7" i="2" s="1"/>
  <c r="I88" i="3" s="1"/>
  <c r="P2962" i="1"/>
  <c r="Q2962" i="1" s="1"/>
  <c r="CO11" i="2" s="1"/>
  <c r="M88" i="3" s="1"/>
  <c r="P2966" i="1"/>
  <c r="Q2966" i="1" s="1"/>
  <c r="CO15" i="2" s="1"/>
  <c r="Q88" i="3" s="1"/>
  <c r="P2970" i="1"/>
  <c r="Q2970" i="1" s="1"/>
  <c r="CO19" i="2" s="1"/>
  <c r="U88" i="3" s="1"/>
  <c r="P2972" i="1"/>
  <c r="Q2972" i="1" s="1"/>
  <c r="CO21" i="2" s="1"/>
  <c r="W88" i="3" s="1"/>
  <c r="P2977" i="1"/>
  <c r="Q2977" i="1" s="1"/>
  <c r="CO26" i="2" s="1"/>
  <c r="AB88" i="3" s="1"/>
  <c r="P3389" i="1"/>
  <c r="Q3389" i="1" s="1"/>
  <c r="DC4" i="2" s="1"/>
  <c r="F102" i="3" s="1"/>
  <c r="P3393" i="1"/>
  <c r="Q3393" i="1" s="1"/>
  <c r="DC8" i="2" s="1"/>
  <c r="J102" i="3" s="1"/>
  <c r="P3397" i="1"/>
  <c r="Q3397" i="1" s="1"/>
  <c r="DC12" i="2" s="1"/>
  <c r="N102" i="3" s="1"/>
  <c r="P3401" i="1"/>
  <c r="Q3401" i="1" s="1"/>
  <c r="DC16" i="2" s="1"/>
  <c r="R102" i="3" s="1"/>
  <c r="P3388" i="1"/>
  <c r="Q3388" i="1" s="1"/>
  <c r="DC3" i="2" s="1"/>
  <c r="E102" i="3" s="1"/>
  <c r="P3410" i="1"/>
  <c r="Q3410" i="1" s="1"/>
  <c r="DC25" i="2" s="1"/>
  <c r="AA102" i="3" s="1"/>
  <c r="P3412" i="1"/>
  <c r="Q3412" i="1" s="1"/>
  <c r="DC27" i="2" s="1"/>
  <c r="AC102" i="3" s="1"/>
  <c r="P3701" i="1"/>
  <c r="Q3701" i="1" s="1"/>
  <c r="DM6" i="2" s="1"/>
  <c r="H112" i="3" s="1"/>
  <c r="P3705" i="1"/>
  <c r="Q3705" i="1" s="1"/>
  <c r="DM10" i="2" s="1"/>
  <c r="L112" i="3" s="1"/>
  <c r="P3709" i="1"/>
  <c r="Q3709" i="1" s="1"/>
  <c r="DM14" i="2" s="1"/>
  <c r="P112" i="3" s="1"/>
  <c r="P3713" i="1"/>
  <c r="Q3713" i="1" s="1"/>
  <c r="DM18" i="2" s="1"/>
  <c r="T112" i="3" s="1"/>
  <c r="P3717" i="1"/>
  <c r="Q3717" i="1" s="1"/>
  <c r="DM22" i="2" s="1"/>
  <c r="X112" i="3" s="1"/>
  <c r="P3720" i="1"/>
  <c r="Q3720" i="1" s="1"/>
  <c r="DM25" i="2" s="1"/>
  <c r="AA112" i="3" s="1"/>
  <c r="P3724" i="1"/>
  <c r="Q3724" i="1" s="1"/>
  <c r="DM29" i="2" s="1"/>
  <c r="AE112" i="3" s="1"/>
  <c r="P136" i="1"/>
  <c r="Q136" i="1" s="1"/>
  <c r="B6" i="2" s="1"/>
  <c r="H9" i="3" s="1"/>
  <c r="H7" i="23" s="1"/>
  <c r="P141" i="1"/>
  <c r="Q141" i="1" s="1"/>
  <c r="B11" i="2" s="1"/>
  <c r="M9" i="3" s="1"/>
  <c r="M7" i="23" s="1"/>
  <c r="P145" i="1"/>
  <c r="Q145" i="1" s="1"/>
  <c r="B15" i="2" s="1"/>
  <c r="Q9" i="3" s="1"/>
  <c r="Q7" i="23" s="1"/>
  <c r="P149" i="1"/>
  <c r="Q149" i="1" s="1"/>
  <c r="B19" i="2" s="1"/>
  <c r="U9" i="3" s="1"/>
  <c r="U7" i="23" s="1"/>
  <c r="P154" i="1"/>
  <c r="Q154" i="1" s="1"/>
  <c r="B24" i="2" s="1"/>
  <c r="Z9" i="3" s="1"/>
  <c r="Z7" i="23" s="1"/>
  <c r="P568" i="1"/>
  <c r="Q568" i="1" s="1"/>
  <c r="P4" i="2" s="1"/>
  <c r="F23" i="3" s="1"/>
  <c r="F21" i="23" s="1"/>
  <c r="P572" i="1"/>
  <c r="Q572" i="1" s="1"/>
  <c r="P8" i="2" s="1"/>
  <c r="J23" i="3" s="1"/>
  <c r="J21" i="23" s="1"/>
  <c r="P576" i="1"/>
  <c r="Q576" i="1" s="1"/>
  <c r="P12" i="2" s="1"/>
  <c r="N23" i="3" s="1"/>
  <c r="N21" i="23" s="1"/>
  <c r="P580" i="1"/>
  <c r="Q580" i="1" s="1"/>
  <c r="P16" i="2" s="1"/>
  <c r="R23" i="3" s="1"/>
  <c r="R21" i="23" s="1"/>
  <c r="P567" i="1"/>
  <c r="Q567" i="1" s="1"/>
  <c r="P3" i="2" s="1"/>
  <c r="E23" i="3" s="1"/>
  <c r="E21" i="23" s="1"/>
  <c r="P587" i="1"/>
  <c r="Q587" i="1" s="1"/>
  <c r="P23" i="2" s="1"/>
  <c r="Y23" i="3" s="1"/>
  <c r="Y21" i="23" s="1"/>
  <c r="P590" i="1"/>
  <c r="Q590" i="1" s="1"/>
  <c r="P26" i="2" s="1"/>
  <c r="AB23" i="3" s="1"/>
  <c r="AB21" i="23" s="1"/>
  <c r="P848" i="1"/>
  <c r="Q848" i="1" s="1"/>
  <c r="Y5" i="2" s="1"/>
  <c r="G32" i="3" s="1"/>
  <c r="P852" i="1"/>
  <c r="Q852" i="1" s="1"/>
  <c r="Y9" i="2" s="1"/>
  <c r="K32" i="3" s="1"/>
  <c r="P856" i="1"/>
  <c r="Q856" i="1" s="1"/>
  <c r="Y13" i="2" s="1"/>
  <c r="O32" i="3" s="1"/>
  <c r="P860" i="1"/>
  <c r="Q860" i="1" s="1"/>
  <c r="Y17" i="2" s="1"/>
  <c r="S32" i="3" s="1"/>
  <c r="P863" i="1"/>
  <c r="Q863" i="1" s="1"/>
  <c r="Y20" i="2" s="1"/>
  <c r="V32" i="3" s="1"/>
  <c r="P868" i="1"/>
  <c r="Q868" i="1" s="1"/>
  <c r="Y25" i="2" s="1"/>
  <c r="AA32" i="3" s="1"/>
  <c r="P870" i="1"/>
  <c r="Q870" i="1" s="1"/>
  <c r="Y27" i="2" s="1"/>
  <c r="AC32" i="3" s="1"/>
  <c r="P1188" i="1"/>
  <c r="Q1188" i="1" s="1"/>
  <c r="AJ4" i="2" s="1"/>
  <c r="F43" i="3" s="1"/>
  <c r="P1192" i="1"/>
  <c r="Q1192" i="1" s="1"/>
  <c r="AJ8" i="2" s="1"/>
  <c r="J43" i="3" s="1"/>
  <c r="P1196" i="1"/>
  <c r="Q1196" i="1" s="1"/>
  <c r="AJ12" i="2" s="1"/>
  <c r="N43" i="3" s="1"/>
  <c r="P1200" i="1"/>
  <c r="Q1200" i="1" s="1"/>
  <c r="AJ16" i="2" s="1"/>
  <c r="R43" i="3" s="1"/>
  <c r="P1187" i="1"/>
  <c r="Q1187" i="1" s="1"/>
  <c r="AJ3" i="2" s="1"/>
  <c r="E43" i="3" s="1"/>
  <c r="P1207" i="1"/>
  <c r="Q1207" i="1" s="1"/>
  <c r="AJ23" i="2" s="1"/>
  <c r="Y43" i="3" s="1"/>
  <c r="P1210" i="1"/>
  <c r="Q1210" i="1" s="1"/>
  <c r="AJ26" i="2" s="1"/>
  <c r="AB43" i="3" s="1"/>
  <c r="P1903" i="1"/>
  <c r="Q1903" i="1" s="1"/>
  <c r="BG6" i="2" s="1"/>
  <c r="H62" i="3" s="1"/>
  <c r="P1907" i="1"/>
  <c r="Q1907" i="1" s="1"/>
  <c r="BG10" i="2" s="1"/>
  <c r="L62" i="3" s="1"/>
  <c r="P1911" i="1"/>
  <c r="Q1911" i="1" s="1"/>
  <c r="BG14" i="2" s="1"/>
  <c r="P62" i="3" s="1"/>
  <c r="P1915" i="1"/>
  <c r="Q1915" i="1" s="1"/>
  <c r="BG18" i="2" s="1"/>
  <c r="T62" i="3" s="1"/>
  <c r="P1919" i="1"/>
  <c r="Q1919" i="1" s="1"/>
  <c r="BG22" i="2" s="1"/>
  <c r="X62" i="3" s="1"/>
  <c r="P1920" i="1"/>
  <c r="Q1920" i="1" s="1"/>
  <c r="BG23" i="2" s="1"/>
  <c r="Y62" i="3" s="1"/>
  <c r="P1926" i="1"/>
  <c r="Q1926" i="1" s="1"/>
  <c r="BG29" i="2" s="1"/>
  <c r="P2461" i="1"/>
  <c r="Q2461" i="1" s="1"/>
  <c r="BY6" i="2" s="1"/>
  <c r="H80" i="3" s="1"/>
  <c r="P2469" i="1"/>
  <c r="Q2469" i="1" s="1"/>
  <c r="BY14" i="2" s="1"/>
  <c r="P80" i="3" s="1"/>
  <c r="P2460" i="1"/>
  <c r="Q2460" i="1" s="1"/>
  <c r="BY5" i="2" s="1"/>
  <c r="G80" i="3" s="1"/>
  <c r="P2468" i="1"/>
  <c r="Q2468" i="1" s="1"/>
  <c r="BY13" i="2" s="1"/>
  <c r="O80" i="3" s="1"/>
  <c r="P2475" i="1"/>
  <c r="Q2475" i="1" s="1"/>
  <c r="BY20" i="2" s="1"/>
  <c r="V80" i="3" s="1"/>
  <c r="P2478" i="1"/>
  <c r="Q2478" i="1" s="1"/>
  <c r="BY23" i="2" s="1"/>
  <c r="Y80" i="3" s="1"/>
  <c r="P2482" i="1"/>
  <c r="Q2482" i="1" s="1"/>
  <c r="BY27" i="2" s="1"/>
  <c r="AC80" i="3" s="1"/>
  <c r="P2927" i="1"/>
  <c r="Q2927" i="1" s="1"/>
  <c r="CN7" i="2" s="1"/>
  <c r="I87" i="3" s="1"/>
  <c r="P2931" i="1"/>
  <c r="Q2931" i="1" s="1"/>
  <c r="CN11" i="2" s="1"/>
  <c r="M87" i="3" s="1"/>
  <c r="P2935" i="1"/>
  <c r="Q2935" i="1" s="1"/>
  <c r="CN15" i="2" s="1"/>
  <c r="Q87" i="3" s="1"/>
  <c r="P2939" i="1"/>
  <c r="Q2939" i="1" s="1"/>
  <c r="CN19" i="2" s="1"/>
  <c r="U87" i="3" s="1"/>
  <c r="P2941" i="1"/>
  <c r="Q2941" i="1" s="1"/>
  <c r="CN21" i="2" s="1"/>
  <c r="W87" i="3" s="1"/>
  <c r="P2947" i="1"/>
  <c r="Q2947" i="1" s="1"/>
  <c r="CN27" i="2" s="1"/>
  <c r="AC87" i="3" s="1"/>
  <c r="P3516" i="1"/>
  <c r="Q3516" i="1" s="1"/>
  <c r="DG7" i="2" s="1"/>
  <c r="I106" i="3" s="1"/>
  <c r="P3520" i="1"/>
  <c r="Q3520" i="1" s="1"/>
  <c r="DG11" i="2" s="1"/>
  <c r="M106" i="3" s="1"/>
  <c r="P3524" i="1"/>
  <c r="Q3524" i="1" s="1"/>
  <c r="DG15" i="2" s="1"/>
  <c r="Q106" i="3" s="1"/>
  <c r="P3528" i="1"/>
  <c r="Q3528" i="1" s="1"/>
  <c r="DG19" i="2" s="1"/>
  <c r="U106" i="3" s="1"/>
  <c r="P3530" i="1"/>
  <c r="Q3530" i="1" s="1"/>
  <c r="DG21" i="2" s="1"/>
  <c r="W106" i="3" s="1"/>
  <c r="P3535" i="1"/>
  <c r="Q3535" i="1" s="1"/>
  <c r="DG26" i="2" s="1"/>
  <c r="AB106" i="3" s="1"/>
  <c r="P3823" i="1"/>
  <c r="Q3823" i="1" s="1"/>
  <c r="DQ4" i="2" s="1"/>
  <c r="F116" i="3" s="1"/>
  <c r="P3827" i="1"/>
  <c r="Q3827" i="1" s="1"/>
  <c r="DQ8" i="2" s="1"/>
  <c r="J116" i="3" s="1"/>
  <c r="P3831" i="1"/>
  <c r="Q3831" i="1" s="1"/>
  <c r="DQ12" i="2" s="1"/>
  <c r="N116" i="3" s="1"/>
  <c r="P3835" i="1"/>
  <c r="Q3835" i="1" s="1"/>
  <c r="DQ16" i="2" s="1"/>
  <c r="R116" i="3" s="1"/>
  <c r="P3822" i="1"/>
  <c r="Q3822" i="1" s="1"/>
  <c r="DQ3" i="2" s="1"/>
  <c r="E116" i="3" s="1"/>
  <c r="P3844" i="1"/>
  <c r="Q3844" i="1" s="1"/>
  <c r="DQ25" i="2" s="1"/>
  <c r="AA116" i="3" s="1"/>
  <c r="P3845" i="1"/>
  <c r="Q3845" i="1" s="1"/>
  <c r="DQ26" i="2" s="1"/>
  <c r="AB116" i="3" s="1"/>
  <c r="P478" i="1"/>
  <c r="Q478" i="1" s="1"/>
  <c r="M7" i="2" s="1"/>
  <c r="I20" i="3" s="1"/>
  <c r="I18" i="23" s="1"/>
  <c r="P482" i="1"/>
  <c r="Q482" i="1" s="1"/>
  <c r="M11" i="2" s="1"/>
  <c r="M20" i="3" s="1"/>
  <c r="M18" i="23" s="1"/>
  <c r="P486" i="1"/>
  <c r="Q486" i="1" s="1"/>
  <c r="M15" i="2" s="1"/>
  <c r="Q20" i="3" s="1"/>
  <c r="Q18" i="23" s="1"/>
  <c r="P490" i="1"/>
  <c r="Q490" i="1" s="1"/>
  <c r="M19" i="2" s="1"/>
  <c r="U20" i="3" s="1"/>
  <c r="U18" i="23" s="1"/>
  <c r="P492" i="1"/>
  <c r="Q492" i="1" s="1"/>
  <c r="M21" i="2" s="1"/>
  <c r="W20" i="3" s="1"/>
  <c r="W18" i="23" s="1"/>
  <c r="P497" i="1"/>
  <c r="Q497" i="1" s="1"/>
  <c r="M26" i="2" s="1"/>
  <c r="AB20" i="3" s="1"/>
  <c r="AB18" i="23" s="1"/>
  <c r="P785" i="1"/>
  <c r="Q785" i="1" s="1"/>
  <c r="W4" i="2" s="1"/>
  <c r="F30" i="3" s="1"/>
  <c r="P789" i="1"/>
  <c r="Q789" i="1" s="1"/>
  <c r="W8" i="2" s="1"/>
  <c r="J30" i="3" s="1"/>
  <c r="P793" i="1"/>
  <c r="Q793" i="1" s="1"/>
  <c r="W12" i="2" s="1"/>
  <c r="N30" i="3" s="1"/>
  <c r="P797" i="1"/>
  <c r="Q797" i="1" s="1"/>
  <c r="W16" i="2" s="1"/>
  <c r="R30" i="3" s="1"/>
  <c r="P784" i="1"/>
  <c r="Q784" i="1" s="1"/>
  <c r="W3" i="2" s="1"/>
  <c r="E30" i="3" s="1"/>
  <c r="P804" i="1"/>
  <c r="Q804" i="1" s="1"/>
  <c r="W23" i="2" s="1"/>
  <c r="Y30" i="3" s="1"/>
  <c r="P808" i="1"/>
  <c r="Q808" i="1" s="1"/>
  <c r="W27" i="2" s="1"/>
  <c r="AC30" i="3" s="1"/>
  <c r="P1096" i="1"/>
  <c r="Q1096" i="1" s="1"/>
  <c r="AG5" i="2" s="1"/>
  <c r="G40" i="3" s="1"/>
  <c r="P1100" i="1"/>
  <c r="Q1100" i="1" s="1"/>
  <c r="AG9" i="2" s="1"/>
  <c r="K40" i="3" s="1"/>
  <c r="P1104" i="1"/>
  <c r="Q1104" i="1" s="1"/>
  <c r="AG13" i="2" s="1"/>
  <c r="O40" i="3" s="1"/>
  <c r="P1108" i="1"/>
  <c r="Q1108" i="1" s="1"/>
  <c r="AG17" i="2" s="1"/>
  <c r="S40" i="3" s="1"/>
  <c r="P1111" i="1"/>
  <c r="Q1111" i="1" s="1"/>
  <c r="AG20" i="2" s="1"/>
  <c r="V40" i="3" s="1"/>
  <c r="P1115" i="1"/>
  <c r="Q1115" i="1" s="1"/>
  <c r="AG24" i="2" s="1"/>
  <c r="Z40" i="3" s="1"/>
  <c r="P1119" i="1"/>
  <c r="Q1119" i="1" s="1"/>
  <c r="AG28" i="2" s="1"/>
  <c r="AD40" i="3" s="1"/>
  <c r="P1686" i="1"/>
  <c r="Q1686" i="1" s="1"/>
  <c r="AZ6" i="2" s="1"/>
  <c r="H59" i="3" s="1"/>
  <c r="P1690" i="1"/>
  <c r="Q1690" i="1" s="1"/>
  <c r="AZ10" i="2" s="1"/>
  <c r="L59" i="3" s="1"/>
  <c r="P1694" i="1"/>
  <c r="Q1694" i="1" s="1"/>
  <c r="AZ14" i="2" s="1"/>
  <c r="P59" i="3" s="1"/>
  <c r="P1698" i="1"/>
  <c r="Q1698" i="1" s="1"/>
  <c r="AZ18" i="2" s="1"/>
  <c r="T59" i="3" s="1"/>
  <c r="P1702" i="1"/>
  <c r="Q1702" i="1" s="1"/>
  <c r="AZ22" i="2" s="1"/>
  <c r="X59" i="3" s="1"/>
  <c r="P1705" i="1"/>
  <c r="Q1705" i="1" s="1"/>
  <c r="AZ25" i="2" s="1"/>
  <c r="AA59" i="3" s="1"/>
  <c r="P1709" i="1"/>
  <c r="Q1709" i="1" s="1"/>
  <c r="AZ29" i="2" s="1"/>
  <c r="AE59" i="3" s="1"/>
  <c r="P2834" i="1"/>
  <c r="Q2834" i="1" s="1"/>
  <c r="CK7" i="2" s="1"/>
  <c r="I84" i="3" s="1"/>
  <c r="P2838" i="1"/>
  <c r="Q2838" i="1" s="1"/>
  <c r="CK11" i="2" s="1"/>
  <c r="M84" i="3" s="1"/>
  <c r="P2842" i="1"/>
  <c r="Q2842" i="1" s="1"/>
  <c r="CK15" i="2" s="1"/>
  <c r="Q84" i="3" s="1"/>
  <c r="P2846" i="1"/>
  <c r="Q2846" i="1" s="1"/>
  <c r="CK19" i="2" s="1"/>
  <c r="U84" i="3" s="1"/>
  <c r="P2848" i="1"/>
  <c r="Q2848" i="1" s="1"/>
  <c r="CK21" i="2" s="1"/>
  <c r="W84" i="3" s="1"/>
  <c r="P2855" i="1"/>
  <c r="Q2855" i="1" s="1"/>
  <c r="CK28" i="2" s="1"/>
  <c r="AD84" i="3" s="1"/>
  <c r="P3174" i="1"/>
  <c r="Q3174" i="1" s="1"/>
  <c r="CV6" i="2" s="1"/>
  <c r="H95" i="3" s="1"/>
  <c r="P3178" i="1"/>
  <c r="Q3178" i="1" s="1"/>
  <c r="CV10" i="2" s="1"/>
  <c r="L95" i="3" s="1"/>
  <c r="P3182" i="1"/>
  <c r="Q3182" i="1" s="1"/>
  <c r="CV14" i="2" s="1"/>
  <c r="P95" i="3" s="1"/>
  <c r="P3186" i="1"/>
  <c r="Q3186" i="1" s="1"/>
  <c r="CV18" i="2" s="1"/>
  <c r="T95" i="3" s="1"/>
  <c r="P3190" i="1"/>
  <c r="Q3190" i="1" s="1"/>
  <c r="CV22" i="2" s="1"/>
  <c r="X95" i="3" s="1"/>
  <c r="P3193" i="1"/>
  <c r="Q3193" i="1" s="1"/>
  <c r="CV25" i="2" s="1"/>
  <c r="AA95" i="3" s="1"/>
  <c r="P3197" i="1"/>
  <c r="Q3197" i="1" s="1"/>
  <c r="CV29" i="2" s="1"/>
  <c r="AE95" i="3" s="1"/>
  <c r="P3575" i="1"/>
  <c r="Q3575" i="1" s="1"/>
  <c r="DI4" i="2" s="1"/>
  <c r="F108" i="3" s="1"/>
  <c r="P3579" i="1"/>
  <c r="Q3579" i="1" s="1"/>
  <c r="DI8" i="2" s="1"/>
  <c r="J108" i="3" s="1"/>
  <c r="P3583" i="1"/>
  <c r="Q3583" i="1" s="1"/>
  <c r="DI12" i="2" s="1"/>
  <c r="N108" i="3" s="1"/>
  <c r="P3587" i="1"/>
  <c r="Q3587" i="1" s="1"/>
  <c r="DI16" i="2" s="1"/>
  <c r="R108" i="3" s="1"/>
  <c r="P3574" i="1"/>
  <c r="Q3574" i="1" s="1"/>
  <c r="DI3" i="2" s="1"/>
  <c r="E108" i="3" s="1"/>
  <c r="P3595" i="1"/>
  <c r="Q3595" i="1" s="1"/>
  <c r="DI24" i="2" s="1"/>
  <c r="Z108" i="3" s="1"/>
  <c r="P3599" i="1"/>
  <c r="Q3599" i="1" s="1"/>
  <c r="DI28" i="2" s="1"/>
  <c r="AD108" i="3" s="1"/>
  <c r="P290" i="1"/>
  <c r="Q290" i="1" s="1"/>
  <c r="G5" i="2" s="1"/>
  <c r="G14" i="3" s="1"/>
  <c r="G12" i="23" s="1"/>
  <c r="P294" i="1"/>
  <c r="Q294" i="1" s="1"/>
  <c r="G9" i="2" s="1"/>
  <c r="K14" i="3" s="1"/>
  <c r="K12" i="23" s="1"/>
  <c r="P298" i="1"/>
  <c r="Q298" i="1" s="1"/>
  <c r="G13" i="2" s="1"/>
  <c r="O14" i="3" s="1"/>
  <c r="O12" i="23" s="1"/>
  <c r="P302" i="1"/>
  <c r="Q302" i="1" s="1"/>
  <c r="G17" i="2" s="1"/>
  <c r="S14" i="3" s="1"/>
  <c r="S12" i="23" s="1"/>
  <c r="P305" i="1"/>
  <c r="Q305" i="1" s="1"/>
  <c r="G20" i="2" s="1"/>
  <c r="V14" i="3" s="1"/>
  <c r="V12" i="23" s="1"/>
  <c r="P309" i="1"/>
  <c r="Q309" i="1" s="1"/>
  <c r="G24" i="2" s="1"/>
  <c r="Z14" i="3" s="1"/>
  <c r="Z12" i="23" s="1"/>
  <c r="P313" i="1"/>
  <c r="Q313" i="1" s="1"/>
  <c r="G28" i="2" s="1"/>
  <c r="AD14" i="3" s="1"/>
  <c r="AD12" i="23" s="1"/>
  <c r="P2336" i="1"/>
  <c r="Q2336" i="1" s="1"/>
  <c r="BU5" i="2" s="1"/>
  <c r="G76" i="3" s="1"/>
  <c r="P2340" i="1"/>
  <c r="Q2340" i="1" s="1"/>
  <c r="BU9" i="2" s="1"/>
  <c r="K76" i="3" s="1"/>
  <c r="P2344" i="1"/>
  <c r="Q2344" i="1" s="1"/>
  <c r="BU13" i="2" s="1"/>
  <c r="O76" i="3" s="1"/>
  <c r="P2348" i="1"/>
  <c r="Q2348" i="1" s="1"/>
  <c r="BU17" i="2" s="1"/>
  <c r="S76" i="3" s="1"/>
  <c r="P2351" i="1"/>
  <c r="Q2351" i="1" s="1"/>
  <c r="BU20" i="2" s="1"/>
  <c r="V76" i="3" s="1"/>
  <c r="P2354" i="1"/>
  <c r="Q2354" i="1" s="1"/>
  <c r="BU23" i="2" s="1"/>
  <c r="Y76" i="3" s="1"/>
  <c r="P2359" i="1"/>
  <c r="Q2359" i="1" s="1"/>
  <c r="BU28" i="2" s="1"/>
  <c r="AD76" i="3" s="1"/>
  <c r="P2800" i="1"/>
  <c r="Q2800" i="1" s="1"/>
  <c r="CJ4" i="2" s="1"/>
  <c r="F83" i="3" s="1"/>
  <c r="P2804" i="1"/>
  <c r="Q2804" i="1" s="1"/>
  <c r="CJ8" i="2" s="1"/>
  <c r="J83" i="3" s="1"/>
  <c r="P2808" i="1"/>
  <c r="Q2808" i="1" s="1"/>
  <c r="CJ12" i="2" s="1"/>
  <c r="N83" i="3" s="1"/>
  <c r="P2812" i="1"/>
  <c r="Q2812" i="1" s="1"/>
  <c r="CJ16" i="2" s="1"/>
  <c r="R83" i="3" s="1"/>
  <c r="P2799" i="1"/>
  <c r="Q2799" i="1" s="1"/>
  <c r="CJ3" i="2" s="1"/>
  <c r="E83" i="3" s="1"/>
  <c r="P2821" i="1"/>
  <c r="Q2821" i="1" s="1"/>
  <c r="CJ25" i="2" s="1"/>
  <c r="AA83" i="3" s="1"/>
  <c r="P2822" i="1"/>
  <c r="Q2822" i="1" s="1"/>
  <c r="CJ26" i="2" s="1"/>
  <c r="AB83" i="3" s="1"/>
  <c r="P260" i="1"/>
  <c r="Q260" i="1" s="1"/>
  <c r="F6" i="2" s="1"/>
  <c r="H13" i="3" s="1"/>
  <c r="H11" i="23" s="1"/>
  <c r="P264" i="1"/>
  <c r="Q264" i="1" s="1"/>
  <c r="F10" i="2" s="1"/>
  <c r="L13" i="3" s="1"/>
  <c r="L11" i="23" s="1"/>
  <c r="P268" i="1"/>
  <c r="Q268" i="1" s="1"/>
  <c r="F14" i="2" s="1"/>
  <c r="P13" i="3" s="1"/>
  <c r="P11" i="23" s="1"/>
  <c r="P272" i="1"/>
  <c r="Q272" i="1" s="1"/>
  <c r="F18" i="2" s="1"/>
  <c r="T13" i="3" s="1"/>
  <c r="T11" i="23" s="1"/>
  <c r="P276" i="1"/>
  <c r="Q276" i="1" s="1"/>
  <c r="F22" i="2" s="1"/>
  <c r="X13" i="3" s="1"/>
  <c r="X11" i="23" s="1"/>
  <c r="P282" i="1"/>
  <c r="Q282" i="1" s="1"/>
  <c r="F28" i="2" s="1"/>
  <c r="AD13" i="3" s="1"/>
  <c r="AD11" i="23" s="1"/>
  <c r="P283" i="1"/>
  <c r="Q283" i="1" s="1"/>
  <c r="F29" i="2" s="1"/>
  <c r="AE13" i="3" s="1"/>
  <c r="AE11" i="23" s="1"/>
  <c r="P723" i="1"/>
  <c r="Q723" i="1" s="1"/>
  <c r="U4" i="2" s="1"/>
  <c r="F28" i="3" s="1"/>
  <c r="P727" i="1"/>
  <c r="Q727" i="1" s="1"/>
  <c r="U8" i="2" s="1"/>
  <c r="J28" i="3" s="1"/>
  <c r="P731" i="1"/>
  <c r="Q731" i="1" s="1"/>
  <c r="U12" i="2" s="1"/>
  <c r="N28" i="3" s="1"/>
  <c r="P735" i="1"/>
  <c r="Q735" i="1" s="1"/>
  <c r="U16" i="2" s="1"/>
  <c r="R28" i="3" s="1"/>
  <c r="P722" i="1"/>
  <c r="Q722" i="1" s="1"/>
  <c r="U3" i="2" s="1"/>
  <c r="E28" i="3" s="1"/>
  <c r="P742" i="1"/>
  <c r="Q742" i="1" s="1"/>
  <c r="U23" i="2" s="1"/>
  <c r="Y28" i="3" s="1"/>
  <c r="P745" i="1"/>
  <c r="Q745" i="1" s="1"/>
  <c r="U26" i="2" s="1"/>
  <c r="AB28" i="3" s="1"/>
  <c r="P539" i="1"/>
  <c r="Q539" i="1" s="1"/>
  <c r="O6" i="2" s="1"/>
  <c r="H22" i="3" s="1"/>
  <c r="H20" i="23" s="1"/>
  <c r="P547" i="1"/>
  <c r="Q547" i="1" s="1"/>
  <c r="O14" i="2" s="1"/>
  <c r="P22" i="3" s="1"/>
  <c r="P20" i="23" s="1"/>
  <c r="P558" i="1"/>
  <c r="Q558" i="1" s="1"/>
  <c r="O25" i="2" s="1"/>
  <c r="AA22" i="3" s="1"/>
  <c r="AA20" i="23" s="1"/>
  <c r="P1164" i="1"/>
  <c r="Q1164" i="1" s="1"/>
  <c r="AI11" i="2" s="1"/>
  <c r="M42" i="3" s="1"/>
  <c r="P1719" i="1"/>
  <c r="Q1719" i="1" s="1"/>
  <c r="BA8" i="2" s="1"/>
  <c r="J60" i="3" s="1"/>
  <c r="P538" i="1"/>
  <c r="Q538" i="1" s="1"/>
  <c r="O5" i="2" s="1"/>
  <c r="G22" i="3" s="1"/>
  <c r="G20" i="23" s="1"/>
  <c r="P542" i="1"/>
  <c r="Q542" i="1" s="1"/>
  <c r="O9" i="2" s="1"/>
  <c r="K22" i="3" s="1"/>
  <c r="K20" i="23" s="1"/>
  <c r="P546" i="1"/>
  <c r="Q546" i="1" s="1"/>
  <c r="O13" i="2" s="1"/>
  <c r="O22" i="3" s="1"/>
  <c r="O20" i="23" s="1"/>
  <c r="P550" i="1"/>
  <c r="Q550" i="1" s="1"/>
  <c r="O17" i="2" s="1"/>
  <c r="S22" i="3" s="1"/>
  <c r="S20" i="23" s="1"/>
  <c r="P553" i="1"/>
  <c r="Q553" i="1" s="1"/>
  <c r="O20" i="2" s="1"/>
  <c r="V22" i="3" s="1"/>
  <c r="V20" i="23" s="1"/>
  <c r="P557" i="1"/>
  <c r="Q557" i="1" s="1"/>
  <c r="O24" i="2" s="1"/>
  <c r="Z22" i="3" s="1"/>
  <c r="Z20" i="23" s="1"/>
  <c r="P560" i="1"/>
  <c r="Q560" i="1" s="1"/>
  <c r="O27" i="2" s="1"/>
  <c r="AC22" i="3" s="1"/>
  <c r="AC20" i="23" s="1"/>
  <c r="P819" i="1"/>
  <c r="Q819" i="1" s="1"/>
  <c r="X7" i="2" s="1"/>
  <c r="I31" i="3" s="1"/>
  <c r="P823" i="1"/>
  <c r="Q823" i="1" s="1"/>
  <c r="X11" i="2" s="1"/>
  <c r="M31" i="3" s="1"/>
  <c r="P827" i="1"/>
  <c r="Q827" i="1" s="1"/>
  <c r="X15" i="2" s="1"/>
  <c r="Q31" i="3" s="1"/>
  <c r="P831" i="1"/>
  <c r="Q831" i="1" s="1"/>
  <c r="X19" i="2" s="1"/>
  <c r="U31" i="3" s="1"/>
  <c r="P833" i="1"/>
  <c r="Q833" i="1" s="1"/>
  <c r="X21" i="2" s="1"/>
  <c r="W31" i="3" s="1"/>
  <c r="P840" i="1"/>
  <c r="Q840" i="1" s="1"/>
  <c r="X28" i="2" s="1"/>
  <c r="AD31" i="3" s="1"/>
  <c r="P1159" i="1"/>
  <c r="Q1159" i="1" s="1"/>
  <c r="AI6" i="2" s="1"/>
  <c r="H42" i="3" s="1"/>
  <c r="P1163" i="1"/>
  <c r="Q1163" i="1" s="1"/>
  <c r="AI10" i="2" s="1"/>
  <c r="L42" i="3" s="1"/>
  <c r="P1167" i="1"/>
  <c r="Q1167" i="1" s="1"/>
  <c r="AI14" i="2" s="1"/>
  <c r="P42" i="3" s="1"/>
  <c r="P1171" i="1"/>
  <c r="Q1171" i="1" s="1"/>
  <c r="AI18" i="2" s="1"/>
  <c r="T42" i="3" s="1"/>
  <c r="P1175" i="1"/>
  <c r="Q1175" i="1" s="1"/>
  <c r="AI22" i="2" s="1"/>
  <c r="X42" i="3" s="1"/>
  <c r="P1178" i="1"/>
  <c r="Q1178" i="1" s="1"/>
  <c r="AI25" i="2" s="1"/>
  <c r="AA42" i="3" s="1"/>
  <c r="P1182" i="1"/>
  <c r="Q1182" i="1" s="1"/>
  <c r="AI29" i="2" s="1"/>
  <c r="AE42" i="3" s="1"/>
  <c r="P1718" i="1"/>
  <c r="Q1718" i="1" s="1"/>
  <c r="BA7" i="2" s="1"/>
  <c r="I60" i="3" s="1"/>
  <c r="P1722" i="1"/>
  <c r="Q1722" i="1" s="1"/>
  <c r="BA11" i="2" s="1"/>
  <c r="M60" i="3" s="1"/>
  <c r="P1726" i="1"/>
  <c r="Q1726" i="1" s="1"/>
  <c r="BA15" i="2" s="1"/>
  <c r="Q60" i="3" s="1"/>
  <c r="P1730" i="1"/>
  <c r="Q1730" i="1" s="1"/>
  <c r="BA19" i="2" s="1"/>
  <c r="U60" i="3" s="1"/>
  <c r="P1732" i="1"/>
  <c r="Q1732" i="1" s="1"/>
  <c r="BA21" i="2" s="1"/>
  <c r="W60" i="3" s="1"/>
  <c r="P1739" i="1"/>
  <c r="Q1739" i="1" s="1"/>
  <c r="BA28" i="2" s="1"/>
  <c r="AD60" i="3" s="1"/>
  <c r="P2292" i="1"/>
  <c r="Q2292" i="1" s="1"/>
  <c r="BS23" i="2" s="1"/>
  <c r="Y74" i="3" s="1"/>
  <c r="P2297" i="1"/>
  <c r="Q2297" i="1" s="1"/>
  <c r="BS28" i="2" s="1"/>
  <c r="AD74" i="3" s="1"/>
  <c r="P212" i="1"/>
  <c r="Q212" i="1" s="1"/>
  <c r="D20" i="2" s="1"/>
  <c r="V11" i="3" s="1"/>
  <c r="V9" i="23" s="1"/>
  <c r="P463" i="1"/>
  <c r="Q463" i="1" s="1"/>
  <c r="L23" i="2" s="1"/>
  <c r="Y19" i="3" s="1"/>
  <c r="Y17" i="23" s="1"/>
  <c r="P1083" i="1"/>
  <c r="Q1083" i="1" s="1"/>
  <c r="AF23" i="2" s="1"/>
  <c r="Y39" i="3" s="1"/>
  <c r="P1577" i="1"/>
  <c r="Q1577" i="1" s="1"/>
  <c r="AV21" i="2" s="1"/>
  <c r="W55" i="3" s="1"/>
  <c r="P1951" i="1"/>
  <c r="Q1951" i="1" s="1"/>
  <c r="BH23" i="2" s="1"/>
  <c r="Y63" i="3" s="1"/>
  <c r="P1954" i="1"/>
  <c r="Q1954" i="1" s="1"/>
  <c r="BH26" i="2" s="1"/>
  <c r="AB63" i="3" s="1"/>
  <c r="P3162" i="1"/>
  <c r="Q3162" i="1" s="1"/>
  <c r="CU25" i="2" s="1"/>
  <c r="AA94" i="3" s="1"/>
  <c r="P3563" i="1"/>
  <c r="Q3563" i="1" s="1"/>
  <c r="DH23" i="2" s="1"/>
  <c r="Y107" i="3" s="1"/>
  <c r="P3568" i="1"/>
  <c r="Q3568" i="1" s="1"/>
  <c r="DH28" i="2" s="1"/>
  <c r="AD107" i="3" s="1"/>
  <c r="P2323" i="1"/>
  <c r="Q2323" i="1" s="1"/>
  <c r="BT23" i="2" s="1"/>
  <c r="Y75" i="3" s="1"/>
  <c r="P3069" i="1"/>
  <c r="Q3069" i="1" s="1"/>
  <c r="CR25" i="2" s="1"/>
  <c r="AA91" i="3" s="1"/>
  <c r="P3327" i="1"/>
  <c r="Q3327" i="1" s="1"/>
  <c r="DA4" i="2" s="1"/>
  <c r="F100" i="3" s="1"/>
  <c r="P3335" i="1"/>
  <c r="Q3335" i="1" s="1"/>
  <c r="DA12" i="2" s="1"/>
  <c r="N100" i="3" s="1"/>
  <c r="P3326" i="1"/>
  <c r="Q3326" i="1" s="1"/>
  <c r="DA3" i="2" s="1"/>
  <c r="E100" i="3" s="1"/>
  <c r="P3334" i="1"/>
  <c r="Q3334" i="1" s="1"/>
  <c r="DA11" i="2" s="1"/>
  <c r="M100" i="3" s="1"/>
  <c r="P3342" i="1"/>
  <c r="Q3342" i="1" s="1"/>
  <c r="DA19" i="2" s="1"/>
  <c r="U100" i="3" s="1"/>
  <c r="P3670" i="1"/>
  <c r="Q3670" i="1" s="1"/>
  <c r="DL6" i="2" s="1"/>
  <c r="H111" i="3" s="1"/>
  <c r="P3674" i="1"/>
  <c r="Q3674" i="1" s="1"/>
  <c r="DL10" i="2" s="1"/>
  <c r="L111" i="3" s="1"/>
  <c r="P3678" i="1"/>
  <c r="Q3678" i="1" s="1"/>
  <c r="DL14" i="2" s="1"/>
  <c r="P111" i="3" s="1"/>
  <c r="P3682" i="1"/>
  <c r="Q3682" i="1" s="1"/>
  <c r="DL18" i="2" s="1"/>
  <c r="T111" i="3" s="1"/>
  <c r="P3687" i="1"/>
  <c r="Q3687" i="1" s="1"/>
  <c r="DL23" i="2" s="1"/>
  <c r="Y111" i="3" s="1"/>
  <c r="P229" i="1"/>
  <c r="Q229" i="1" s="1"/>
  <c r="E6" i="2" s="1"/>
  <c r="H12" i="3" s="1"/>
  <c r="H10" i="23" s="1"/>
  <c r="P233" i="1"/>
  <c r="Q233" i="1" s="1"/>
  <c r="E10" i="2" s="1"/>
  <c r="L12" i="3" s="1"/>
  <c r="L10" i="23" s="1"/>
  <c r="P237" i="1"/>
  <c r="Q237" i="1" s="1"/>
  <c r="E14" i="2" s="1"/>
  <c r="P12" i="3" s="1"/>
  <c r="P10" i="23" s="1"/>
  <c r="P241" i="1"/>
  <c r="Q241" i="1" s="1"/>
  <c r="E18" i="2" s="1"/>
  <c r="T12" i="3" s="1"/>
  <c r="T10" i="23" s="1"/>
  <c r="P245" i="1"/>
  <c r="Q245" i="1" s="1"/>
  <c r="E22" i="2" s="1"/>
  <c r="X12" i="3" s="1"/>
  <c r="X10" i="23" s="1"/>
  <c r="P251" i="1"/>
  <c r="Q251" i="1" s="1"/>
  <c r="E28" i="2" s="1"/>
  <c r="AD12" i="3" s="1"/>
  <c r="AD10" i="23" s="1"/>
  <c r="P252" i="1"/>
  <c r="Q252" i="1" s="1"/>
  <c r="E29" i="2" s="1"/>
  <c r="AE12" i="3" s="1"/>
  <c r="AE10" i="23" s="1"/>
  <c r="P322" i="1"/>
  <c r="Q322" i="1" s="1"/>
  <c r="H6" i="2" s="1"/>
  <c r="H15" i="3" s="1"/>
  <c r="H13" i="23" s="1"/>
  <c r="P326" i="1"/>
  <c r="Q326" i="1" s="1"/>
  <c r="H10" i="2" s="1"/>
  <c r="L15" i="3" s="1"/>
  <c r="L13" i="23" s="1"/>
  <c r="P330" i="1"/>
  <c r="Q330" i="1" s="1"/>
  <c r="H14" i="2" s="1"/>
  <c r="P15" i="3" s="1"/>
  <c r="P13" i="23" s="1"/>
  <c r="P334" i="1"/>
  <c r="Q334" i="1" s="1"/>
  <c r="H18" i="2" s="1"/>
  <c r="T15" i="3" s="1"/>
  <c r="T13" i="23" s="1"/>
  <c r="P338" i="1"/>
  <c r="Q338" i="1" s="1"/>
  <c r="H22" i="2" s="1"/>
  <c r="X15" i="3" s="1"/>
  <c r="X13" i="23" s="1"/>
  <c r="P342" i="1"/>
  <c r="Q342" i="1" s="1"/>
  <c r="H26" i="2" s="1"/>
  <c r="AB15" i="3" s="1"/>
  <c r="AB13" i="23" s="1"/>
  <c r="P345" i="1"/>
  <c r="Q345" i="1" s="1"/>
  <c r="H29" i="2" s="1"/>
  <c r="AE15" i="3" s="1"/>
  <c r="AE13" i="23" s="1"/>
  <c r="P661" i="1"/>
  <c r="Q661" i="1" s="1"/>
  <c r="S4" i="2" s="1"/>
  <c r="F26" i="3" s="1"/>
  <c r="P665" i="1"/>
  <c r="Q665" i="1" s="1"/>
  <c r="S8" i="2" s="1"/>
  <c r="J26" i="3" s="1"/>
  <c r="P669" i="1"/>
  <c r="Q669" i="1" s="1"/>
  <c r="S12" i="2" s="1"/>
  <c r="N26" i="3" s="1"/>
  <c r="P673" i="1"/>
  <c r="Q673" i="1" s="1"/>
  <c r="S16" i="2" s="1"/>
  <c r="R26" i="3" s="1"/>
  <c r="P660" i="1"/>
  <c r="Q660" i="1" s="1"/>
  <c r="S3" i="2" s="1"/>
  <c r="E26" i="3" s="1"/>
  <c r="P680" i="1"/>
  <c r="Q680" i="1" s="1"/>
  <c r="S23" i="2" s="1"/>
  <c r="Y26" i="3" s="1"/>
  <c r="P684" i="1"/>
  <c r="Q684" i="1" s="1"/>
  <c r="S27" i="2" s="1"/>
  <c r="AC26" i="3" s="1"/>
  <c r="P941" i="1"/>
  <c r="Q941" i="1" s="1"/>
  <c r="AB5" i="2" s="1"/>
  <c r="G35" i="3" s="1"/>
  <c r="P945" i="1"/>
  <c r="Q945" i="1" s="1"/>
  <c r="AB9" i="2" s="1"/>
  <c r="K35" i="3" s="1"/>
  <c r="P949" i="1"/>
  <c r="Q949" i="1" s="1"/>
  <c r="AB13" i="2" s="1"/>
  <c r="O35" i="3" s="1"/>
  <c r="P953" i="1"/>
  <c r="Q953" i="1" s="1"/>
  <c r="AB17" i="2" s="1"/>
  <c r="S35" i="3" s="1"/>
  <c r="P956" i="1"/>
  <c r="Q956" i="1" s="1"/>
  <c r="AB20" i="2" s="1"/>
  <c r="V35" i="3" s="1"/>
  <c r="P960" i="1"/>
  <c r="Q960" i="1" s="1"/>
  <c r="AB24" i="2" s="1"/>
  <c r="Z35" i="3" s="1"/>
  <c r="P964" i="1"/>
  <c r="Q964" i="1" s="1"/>
  <c r="AB28" i="2" s="1"/>
  <c r="AD35" i="3" s="1"/>
  <c r="P1283" i="1"/>
  <c r="Q1283" i="1" s="1"/>
  <c r="AM6" i="2" s="1"/>
  <c r="H46" i="3" s="1"/>
  <c r="P1287" i="1"/>
  <c r="Q1287" i="1" s="1"/>
  <c r="AM10" i="2" s="1"/>
  <c r="L46" i="3" s="1"/>
  <c r="P1291" i="1"/>
  <c r="Q1291" i="1" s="1"/>
  <c r="AM14" i="2" s="1"/>
  <c r="P46" i="3" s="1"/>
  <c r="P1295" i="1"/>
  <c r="Q1295" i="1" s="1"/>
  <c r="AM18" i="2" s="1"/>
  <c r="T46" i="3" s="1"/>
  <c r="P1299" i="1"/>
  <c r="Q1299" i="1" s="1"/>
  <c r="AM22" i="2" s="1"/>
  <c r="X46" i="3" s="1"/>
  <c r="P1301" i="1"/>
  <c r="Q1301" i="1" s="1"/>
  <c r="AM24" i="2" s="1"/>
  <c r="Z46" i="3" s="1"/>
  <c r="P1306" i="1"/>
  <c r="Q1306" i="1" s="1"/>
  <c r="AM29" i="2" s="1"/>
  <c r="AE46" i="3" s="1"/>
  <c r="P2988" i="1"/>
  <c r="Q2988" i="1" s="1"/>
  <c r="CP6" i="2" s="1"/>
  <c r="H89" i="3" s="1"/>
  <c r="P2992" i="1"/>
  <c r="Q2992" i="1" s="1"/>
  <c r="CP10" i="2" s="1"/>
  <c r="L89" i="3" s="1"/>
  <c r="P2996" i="1"/>
  <c r="Q2996" i="1" s="1"/>
  <c r="CP14" i="2" s="1"/>
  <c r="P89" i="3" s="1"/>
  <c r="P3000" i="1"/>
  <c r="Q3000" i="1" s="1"/>
  <c r="CP18" i="2" s="1"/>
  <c r="T89" i="3" s="1"/>
  <c r="P3004" i="1"/>
  <c r="Q3004" i="1" s="1"/>
  <c r="CP22" i="2" s="1"/>
  <c r="X89" i="3" s="1"/>
  <c r="P3005" i="1"/>
  <c r="Q3005" i="1" s="1"/>
  <c r="CP23" i="2" s="1"/>
  <c r="Y89" i="3" s="1"/>
  <c r="P3011" i="1"/>
  <c r="Q3011" i="1" s="1"/>
  <c r="CP29" i="2" s="1"/>
  <c r="AE89" i="3" s="1"/>
  <c r="P3420" i="1"/>
  <c r="Q3420" i="1" s="1"/>
  <c r="DD4" i="2" s="1"/>
  <c r="F103" i="3" s="1"/>
  <c r="P3424" i="1"/>
  <c r="Q3424" i="1" s="1"/>
  <c r="DD8" i="2" s="1"/>
  <c r="J103" i="3" s="1"/>
  <c r="P3428" i="1"/>
  <c r="Q3428" i="1" s="1"/>
  <c r="DD12" i="2" s="1"/>
  <c r="N103" i="3" s="1"/>
  <c r="P3432" i="1"/>
  <c r="Q3432" i="1" s="1"/>
  <c r="DD16" i="2" s="1"/>
  <c r="R103" i="3" s="1"/>
  <c r="P3419" i="1"/>
  <c r="Q3419" i="1" s="1"/>
  <c r="DD3" i="2" s="1"/>
  <c r="E103" i="3" s="1"/>
  <c r="P3440" i="1"/>
  <c r="Q3440" i="1" s="1"/>
  <c r="DD24" i="2" s="1"/>
  <c r="Z103" i="3" s="1"/>
  <c r="P3442" i="1"/>
  <c r="Q3442" i="1" s="1"/>
  <c r="DD26" i="2" s="1"/>
  <c r="AB103" i="3" s="1"/>
  <c r="P3763" i="1"/>
  <c r="Q3763" i="1" s="1"/>
  <c r="DO6" i="2" s="1"/>
  <c r="H114" i="3" s="1"/>
  <c r="P3767" i="1"/>
  <c r="Q3767" i="1" s="1"/>
  <c r="DO10" i="2" s="1"/>
  <c r="L114" i="3" s="1"/>
  <c r="P3771" i="1"/>
  <c r="Q3771" i="1" s="1"/>
  <c r="DO14" i="2" s="1"/>
  <c r="P114" i="3" s="1"/>
  <c r="P3775" i="1"/>
  <c r="Q3775" i="1" s="1"/>
  <c r="DO18" i="2" s="1"/>
  <c r="T114" i="3" s="1"/>
  <c r="P3779" i="1"/>
  <c r="Q3779" i="1" s="1"/>
  <c r="DO22" i="2" s="1"/>
  <c r="X114" i="3" s="1"/>
  <c r="P3781" i="1"/>
  <c r="Q3781" i="1" s="1"/>
  <c r="DO24" i="2" s="1"/>
  <c r="Z114" i="3" s="1"/>
  <c r="P3786" i="1"/>
  <c r="Q3786" i="1" s="1"/>
  <c r="DO29" i="2" s="1"/>
  <c r="AE114" i="3" s="1"/>
  <c r="P2182" i="1"/>
  <c r="Q2182" i="1" s="1"/>
  <c r="BP6" i="2" s="1"/>
  <c r="H71" i="3" s="1"/>
  <c r="P2186" i="1"/>
  <c r="Q2186" i="1" s="1"/>
  <c r="BP10" i="2" s="1"/>
  <c r="L71" i="3" s="1"/>
  <c r="P2190" i="1"/>
  <c r="Q2190" i="1" s="1"/>
  <c r="BP14" i="2" s="1"/>
  <c r="P71" i="3" s="1"/>
  <c r="P2194" i="1"/>
  <c r="Q2194" i="1" s="1"/>
  <c r="BP18" i="2" s="1"/>
  <c r="T71" i="3" s="1"/>
  <c r="P2198" i="1"/>
  <c r="Q2198" i="1" s="1"/>
  <c r="BP22" i="2" s="1"/>
  <c r="X71" i="3" s="1"/>
  <c r="P2200" i="1"/>
  <c r="Q2200" i="1" s="1"/>
  <c r="BP24" i="2" s="1"/>
  <c r="Z71" i="3" s="1"/>
  <c r="P2205" i="1"/>
  <c r="Q2205" i="1" s="1"/>
  <c r="BP29" i="2" s="1"/>
  <c r="AE71" i="3" s="1"/>
  <c r="P3109" i="1"/>
  <c r="P3123" i="1"/>
  <c r="P3113" i="1"/>
  <c r="P3122" i="1"/>
  <c r="P3127" i="1"/>
  <c r="P3132" i="1"/>
  <c r="P140" i="1"/>
  <c r="Q140" i="1" s="1"/>
  <c r="B10" i="2" s="1"/>
  <c r="L9" i="3" s="1"/>
  <c r="L7" i="23" s="1"/>
  <c r="P354" i="1"/>
  <c r="Q354" i="1" s="1"/>
  <c r="I7" i="2" s="1"/>
  <c r="I16" i="3" s="1"/>
  <c r="I14" i="23" s="1"/>
  <c r="P358" i="1"/>
  <c r="Q358" i="1" s="1"/>
  <c r="I11" i="2" s="1"/>
  <c r="M16" i="3" s="1"/>
  <c r="M14" i="23" s="1"/>
  <c r="P362" i="1"/>
  <c r="Q362" i="1" s="1"/>
  <c r="I15" i="2" s="1"/>
  <c r="Q16" i="3" s="1"/>
  <c r="Q14" i="23" s="1"/>
  <c r="P366" i="1"/>
  <c r="Q366" i="1" s="1"/>
  <c r="I19" i="2" s="1"/>
  <c r="U16" i="3" s="1"/>
  <c r="U14" i="23" s="1"/>
  <c r="P368" i="1"/>
  <c r="Q368" i="1" s="1"/>
  <c r="I21" i="2" s="1"/>
  <c r="W16" i="3" s="1"/>
  <c r="W14" i="23" s="1"/>
  <c r="P375" i="1"/>
  <c r="Q375" i="1" s="1"/>
  <c r="I28" i="2" s="1"/>
  <c r="AD16" i="3" s="1"/>
  <c r="AD14" i="23" s="1"/>
  <c r="P693" i="1"/>
  <c r="Q693" i="1" s="1"/>
  <c r="T5" i="2" s="1"/>
  <c r="G27" i="3" s="1"/>
  <c r="P697" i="1"/>
  <c r="Q697" i="1" s="1"/>
  <c r="T9" i="2" s="1"/>
  <c r="K27" i="3" s="1"/>
  <c r="P701" i="1"/>
  <c r="Q701" i="1" s="1"/>
  <c r="T13" i="2" s="1"/>
  <c r="O27" i="3" s="1"/>
  <c r="P705" i="1"/>
  <c r="Q705" i="1" s="1"/>
  <c r="T17" i="2" s="1"/>
  <c r="S27" i="3" s="1"/>
  <c r="P708" i="1"/>
  <c r="Q708" i="1" s="1"/>
  <c r="T20" i="2" s="1"/>
  <c r="V27" i="3" s="1"/>
  <c r="P712" i="1"/>
  <c r="Q712" i="1" s="1"/>
  <c r="T24" i="2" s="1"/>
  <c r="Z27" i="3" s="1"/>
  <c r="P715" i="1"/>
  <c r="Q715" i="1" s="1"/>
  <c r="T27" i="2" s="1"/>
  <c r="AC27" i="3" s="1"/>
  <c r="P974" i="1"/>
  <c r="Q974" i="1" s="1"/>
  <c r="AC7" i="2" s="1"/>
  <c r="I36" i="3" s="1"/>
  <c r="P978" i="1"/>
  <c r="Q978" i="1" s="1"/>
  <c r="AC11" i="2" s="1"/>
  <c r="M36" i="3" s="1"/>
  <c r="P982" i="1"/>
  <c r="Q982" i="1" s="1"/>
  <c r="AC15" i="2" s="1"/>
  <c r="Q36" i="3" s="1"/>
  <c r="P986" i="1"/>
  <c r="Q986" i="1" s="1"/>
  <c r="AC19" i="2" s="1"/>
  <c r="U36" i="3" s="1"/>
  <c r="P988" i="1"/>
  <c r="Q988" i="1" s="1"/>
  <c r="AC21" i="2" s="1"/>
  <c r="W36" i="3" s="1"/>
  <c r="P995" i="1"/>
  <c r="Q995" i="1" s="1"/>
  <c r="AC28" i="2" s="1"/>
  <c r="AD36" i="3" s="1"/>
  <c r="P1313" i="1"/>
  <c r="Q1313" i="1" s="1"/>
  <c r="AN5" i="2" s="1"/>
  <c r="G47" i="3" s="1"/>
  <c r="P1317" i="1"/>
  <c r="Q1317" i="1" s="1"/>
  <c r="AN9" i="2" s="1"/>
  <c r="K47" i="3" s="1"/>
  <c r="P1321" i="1"/>
  <c r="Q1321" i="1" s="1"/>
  <c r="AN13" i="2" s="1"/>
  <c r="O47" i="3" s="1"/>
  <c r="P1325" i="1"/>
  <c r="Q1325" i="1" s="1"/>
  <c r="AN17" i="2" s="1"/>
  <c r="S47" i="3" s="1"/>
  <c r="P1328" i="1"/>
  <c r="Q1328" i="1" s="1"/>
  <c r="AN20" i="2" s="1"/>
  <c r="V47" i="3" s="1"/>
  <c r="P1332" i="1"/>
  <c r="Q1332" i="1" s="1"/>
  <c r="AN24" i="2" s="1"/>
  <c r="Z47" i="3" s="1"/>
  <c r="P1335" i="1"/>
  <c r="Q1335" i="1" s="1"/>
  <c r="AN27" i="2" s="1"/>
  <c r="AC47" i="3" s="1"/>
  <c r="P2058" i="1"/>
  <c r="Q2058" i="1" s="1"/>
  <c r="BL6" i="2" s="1"/>
  <c r="H67" i="3" s="1"/>
  <c r="P2062" i="1"/>
  <c r="Q2062" i="1" s="1"/>
  <c r="BL10" i="2" s="1"/>
  <c r="L67" i="3" s="1"/>
  <c r="P2066" i="1"/>
  <c r="Q2066" i="1" s="1"/>
  <c r="BL14" i="2" s="1"/>
  <c r="P67" i="3" s="1"/>
  <c r="P2070" i="1"/>
  <c r="Q2070" i="1" s="1"/>
  <c r="BL18" i="2" s="1"/>
  <c r="T67" i="3" s="1"/>
  <c r="P2074" i="1"/>
  <c r="Q2074" i="1" s="1"/>
  <c r="BL22" i="2" s="1"/>
  <c r="X67" i="3" s="1"/>
  <c r="P2075" i="1"/>
  <c r="Q2075" i="1" s="1"/>
  <c r="BL23" i="2" s="1"/>
  <c r="Y67" i="3" s="1"/>
  <c r="P2081" i="1"/>
  <c r="Q2081" i="1" s="1"/>
  <c r="BL29" i="2" s="1"/>
  <c r="AE67" i="3" s="1"/>
  <c r="P2443" i="1"/>
  <c r="Q2443" i="1" s="1"/>
  <c r="BX19" i="2" s="1"/>
  <c r="U79" i="3" s="1"/>
  <c r="P2431" i="1"/>
  <c r="Q2431" i="1" s="1"/>
  <c r="BX7" i="2" s="1"/>
  <c r="I79" i="3" s="1"/>
  <c r="P2435" i="1"/>
  <c r="Q2435" i="1" s="1"/>
  <c r="BX11" i="2" s="1"/>
  <c r="M79" i="3" s="1"/>
  <c r="P2442" i="1"/>
  <c r="Q2442" i="1" s="1"/>
  <c r="BX18" i="2" s="1"/>
  <c r="T79" i="3" s="1"/>
  <c r="P2445" i="1"/>
  <c r="Q2445" i="1" s="1"/>
  <c r="BX21" i="2" s="1"/>
  <c r="W79" i="3" s="1"/>
  <c r="P2452" i="1"/>
  <c r="Q2452" i="1" s="1"/>
  <c r="BX28" i="2" s="1"/>
  <c r="AD79" i="3" s="1"/>
  <c r="P2894" i="1"/>
  <c r="Q2894" i="1" s="1"/>
  <c r="CM5" i="2" s="1"/>
  <c r="G86" i="3" s="1"/>
  <c r="P2898" i="1"/>
  <c r="Q2898" i="1" s="1"/>
  <c r="CM9" i="2" s="1"/>
  <c r="K86" i="3" s="1"/>
  <c r="P2902" i="1"/>
  <c r="Q2902" i="1" s="1"/>
  <c r="CM13" i="2" s="1"/>
  <c r="O86" i="3" s="1"/>
  <c r="P2906" i="1"/>
  <c r="Q2906" i="1" s="1"/>
  <c r="CM17" i="2" s="1"/>
  <c r="S86" i="3" s="1"/>
  <c r="P2909" i="1"/>
  <c r="Q2909" i="1" s="1"/>
  <c r="CM20" i="2" s="1"/>
  <c r="V86" i="3" s="1"/>
  <c r="P2912" i="1"/>
  <c r="Q2912" i="1" s="1"/>
  <c r="CM23" i="2" s="1"/>
  <c r="Y86" i="3" s="1"/>
  <c r="P2916" i="1"/>
  <c r="Q2916" i="1" s="1"/>
  <c r="CM27" i="2" s="1"/>
  <c r="AC86" i="3" s="1"/>
  <c r="P3303" i="1"/>
  <c r="Q3303" i="1" s="1"/>
  <c r="CZ11" i="2" s="1"/>
  <c r="M99" i="3" s="1"/>
  <c r="P3311" i="1"/>
  <c r="Q3311" i="1" s="1"/>
  <c r="CZ19" i="2" s="1"/>
  <c r="U99" i="3" s="1"/>
  <c r="P3302" i="1"/>
  <c r="Q3302" i="1" s="1"/>
  <c r="CZ10" i="2" s="1"/>
  <c r="L99" i="3" s="1"/>
  <c r="P3310" i="1"/>
  <c r="Q3310" i="1" s="1"/>
  <c r="CZ18" i="2" s="1"/>
  <c r="T99" i="3" s="1"/>
  <c r="P3313" i="1"/>
  <c r="Q3313" i="1" s="1"/>
  <c r="CZ21" i="2" s="1"/>
  <c r="W99" i="3" s="1"/>
  <c r="P3320" i="1"/>
  <c r="Q3320" i="1" s="1"/>
  <c r="CZ28" i="2" s="1"/>
  <c r="AD99" i="3" s="1"/>
  <c r="P3638" i="1"/>
  <c r="Q3638" i="1" s="1"/>
  <c r="DK5" i="2" s="1"/>
  <c r="G110" i="3" s="1"/>
  <c r="P3642" i="1"/>
  <c r="Q3642" i="1" s="1"/>
  <c r="DK9" i="2" s="1"/>
  <c r="K110" i="3" s="1"/>
  <c r="P3646" i="1"/>
  <c r="Q3646" i="1" s="1"/>
  <c r="DK13" i="2" s="1"/>
  <c r="O110" i="3" s="1"/>
  <c r="P3650" i="1"/>
  <c r="Q3650" i="1" s="1"/>
  <c r="DK17" i="2" s="1"/>
  <c r="S110" i="3" s="1"/>
  <c r="P3653" i="1"/>
  <c r="Q3653" i="1" s="1"/>
  <c r="DK20" i="2" s="1"/>
  <c r="V110" i="3" s="1"/>
  <c r="P3656" i="1"/>
  <c r="Q3656" i="1" s="1"/>
  <c r="DK23" i="2" s="1"/>
  <c r="Y110" i="3" s="1"/>
  <c r="P3660" i="1"/>
  <c r="Q3660" i="1" s="1"/>
  <c r="DK27" i="2" s="1"/>
  <c r="AC110" i="3" s="1"/>
  <c r="P1812" i="1"/>
  <c r="P1819" i="1"/>
  <c r="P1814" i="1"/>
  <c r="P1817" i="1"/>
  <c r="P1824" i="1"/>
  <c r="P1830" i="1"/>
  <c r="P1833" i="1"/>
  <c r="P1966" i="1"/>
  <c r="Q1966" i="1" s="1"/>
  <c r="BI7" i="2" s="1"/>
  <c r="I64" i="3" s="1"/>
  <c r="P1970" i="1"/>
  <c r="Q1970" i="1" s="1"/>
  <c r="BI11" i="2" s="1"/>
  <c r="M64" i="3" s="1"/>
  <c r="P1974" i="1"/>
  <c r="Q1974" i="1" s="1"/>
  <c r="BI15" i="2" s="1"/>
  <c r="Q64" i="3" s="1"/>
  <c r="P1978" i="1"/>
  <c r="Q1978" i="1" s="1"/>
  <c r="BI19" i="2" s="1"/>
  <c r="U64" i="3" s="1"/>
  <c r="P1980" i="1"/>
  <c r="Q1980" i="1" s="1"/>
  <c r="BI21" i="2" s="1"/>
  <c r="W64" i="3" s="1"/>
  <c r="P1985" i="1"/>
  <c r="Q1985" i="1" s="1"/>
  <c r="BI26" i="2" s="1"/>
  <c r="AB64" i="3" s="1"/>
  <c r="P167" i="1"/>
  <c r="Q167" i="1" s="1"/>
  <c r="C6" i="2" s="1"/>
  <c r="H10" i="3" s="1"/>
  <c r="H8" i="23" s="1"/>
  <c r="P171" i="1"/>
  <c r="Q171" i="1" s="1"/>
  <c r="C10" i="2" s="1"/>
  <c r="L10" i="3" s="1"/>
  <c r="L8" i="23" s="1"/>
  <c r="P175" i="1"/>
  <c r="Q175" i="1" s="1"/>
  <c r="C14" i="2" s="1"/>
  <c r="P10" i="3" s="1"/>
  <c r="P8" i="23" s="1"/>
  <c r="P179" i="1"/>
  <c r="Q179" i="1" s="1"/>
  <c r="C18" i="2" s="1"/>
  <c r="T10" i="3" s="1"/>
  <c r="T8" i="23" s="1"/>
  <c r="P183" i="1"/>
  <c r="Q183" i="1" s="1"/>
  <c r="C22" i="2" s="1"/>
  <c r="X10" i="3" s="1"/>
  <c r="X8" i="23" s="1"/>
  <c r="P187" i="1"/>
  <c r="Q187" i="1" s="1"/>
  <c r="C26" i="2" s="1"/>
  <c r="AB10" i="3" s="1"/>
  <c r="AB8" i="23" s="1"/>
  <c r="P190" i="1"/>
  <c r="Q190" i="1" s="1"/>
  <c r="C29" i="2" s="1"/>
  <c r="AE10" i="3" s="1"/>
  <c r="AE8" i="23" s="1"/>
  <c r="P911" i="1"/>
  <c r="Q911" i="1" s="1"/>
  <c r="AA6" i="2" s="1"/>
  <c r="H34" i="3" s="1"/>
  <c r="P915" i="1"/>
  <c r="Q915" i="1" s="1"/>
  <c r="AA10" i="2" s="1"/>
  <c r="L34" i="3" s="1"/>
  <c r="P919" i="1"/>
  <c r="Q919" i="1" s="1"/>
  <c r="AA14" i="2" s="1"/>
  <c r="P34" i="3" s="1"/>
  <c r="P923" i="1"/>
  <c r="Q923" i="1" s="1"/>
  <c r="AA18" i="2" s="1"/>
  <c r="T34" i="3" s="1"/>
  <c r="P927" i="1"/>
  <c r="Q927" i="1" s="1"/>
  <c r="AA22" i="2" s="1"/>
  <c r="X34" i="3" s="1"/>
  <c r="P929" i="1"/>
  <c r="Q929" i="1" s="1"/>
  <c r="AA24" i="2" s="1"/>
  <c r="Z34" i="3" s="1"/>
  <c r="P934" i="1"/>
  <c r="Q934" i="1" s="1"/>
  <c r="AA29" i="2" s="1"/>
  <c r="AE34" i="3" s="1"/>
  <c r="P1220" i="1"/>
  <c r="Q1220" i="1" s="1"/>
  <c r="AK5" i="2" s="1"/>
  <c r="G44" i="3" s="1"/>
  <c r="P1224" i="1"/>
  <c r="Q1224" i="1" s="1"/>
  <c r="AK9" i="2" s="1"/>
  <c r="K44" i="3" s="1"/>
  <c r="P1228" i="1"/>
  <c r="Q1228" i="1" s="1"/>
  <c r="AK13" i="2" s="1"/>
  <c r="O44" i="3" s="1"/>
  <c r="P1232" i="1"/>
  <c r="Q1232" i="1" s="1"/>
  <c r="AK17" i="2" s="1"/>
  <c r="S44" i="3" s="1"/>
  <c r="P1235" i="1"/>
  <c r="Q1235" i="1" s="1"/>
  <c r="AK20" i="2" s="1"/>
  <c r="V44" i="3" s="1"/>
  <c r="P1239" i="1"/>
  <c r="Q1239" i="1" s="1"/>
  <c r="AK24" i="2" s="1"/>
  <c r="Z44" i="3" s="1"/>
  <c r="P1243" i="1"/>
  <c r="Q1243" i="1" s="1"/>
  <c r="AK28" i="2" s="1"/>
  <c r="AD44" i="3" s="1"/>
  <c r="P2957" i="1"/>
  <c r="Q2957" i="1" s="1"/>
  <c r="CO6" i="2" s="1"/>
  <c r="H88" i="3" s="1"/>
  <c r="P2961" i="1"/>
  <c r="Q2961" i="1" s="1"/>
  <c r="CO10" i="2" s="1"/>
  <c r="L88" i="3" s="1"/>
  <c r="P2965" i="1"/>
  <c r="Q2965" i="1" s="1"/>
  <c r="CO14" i="2" s="1"/>
  <c r="P88" i="3" s="1"/>
  <c r="P2969" i="1"/>
  <c r="Q2969" i="1" s="1"/>
  <c r="CO18" i="2" s="1"/>
  <c r="T88" i="3" s="1"/>
  <c r="P2973" i="1"/>
  <c r="Q2973" i="1" s="1"/>
  <c r="CO22" i="2" s="1"/>
  <c r="X88" i="3" s="1"/>
  <c r="P2976" i="1"/>
  <c r="Q2976" i="1" s="1"/>
  <c r="CO25" i="2" s="1"/>
  <c r="AA88" i="3" s="1"/>
  <c r="P2980" i="1"/>
  <c r="Q2980" i="1" s="1"/>
  <c r="CO29" i="2" s="1"/>
  <c r="AE88" i="3" s="1"/>
  <c r="P3392" i="1"/>
  <c r="Q3392" i="1" s="1"/>
  <c r="DC7" i="2" s="1"/>
  <c r="I102" i="3" s="1"/>
  <c r="P3396" i="1"/>
  <c r="Q3396" i="1" s="1"/>
  <c r="DC11" i="2" s="1"/>
  <c r="M102" i="3" s="1"/>
  <c r="P3400" i="1"/>
  <c r="Q3400" i="1" s="1"/>
  <c r="DC15" i="2" s="1"/>
  <c r="Q102" i="3" s="1"/>
  <c r="P3404" i="1"/>
  <c r="Q3404" i="1" s="1"/>
  <c r="DC19" i="2" s="1"/>
  <c r="U102" i="3" s="1"/>
  <c r="P3406" i="1"/>
  <c r="Q3406" i="1" s="1"/>
  <c r="DC21" i="2" s="1"/>
  <c r="W102" i="3" s="1"/>
  <c r="P3411" i="1"/>
  <c r="Q3411" i="1" s="1"/>
  <c r="DC26" i="2" s="1"/>
  <c r="AB102" i="3" s="1"/>
  <c r="P3700" i="1"/>
  <c r="Q3700" i="1" s="1"/>
  <c r="DM5" i="2" s="1"/>
  <c r="G112" i="3" s="1"/>
  <c r="P3704" i="1"/>
  <c r="Q3704" i="1" s="1"/>
  <c r="DM9" i="2" s="1"/>
  <c r="K112" i="3" s="1"/>
  <c r="P3708" i="1"/>
  <c r="Q3708" i="1" s="1"/>
  <c r="DM13" i="2" s="1"/>
  <c r="O112" i="3" s="1"/>
  <c r="P3712" i="1"/>
  <c r="Q3712" i="1" s="1"/>
  <c r="DM17" i="2" s="1"/>
  <c r="S112" i="3" s="1"/>
  <c r="P3715" i="1"/>
  <c r="Q3715" i="1" s="1"/>
  <c r="DM20" i="2" s="1"/>
  <c r="V112" i="3" s="1"/>
  <c r="P3718" i="1"/>
  <c r="Q3718" i="1" s="1"/>
  <c r="DM23" i="2" s="1"/>
  <c r="Y112" i="3" s="1"/>
  <c r="P3723" i="1"/>
  <c r="Q3723" i="1" s="1"/>
  <c r="DM28" i="2" s="1"/>
  <c r="AD112" i="3" s="1"/>
  <c r="P135" i="1"/>
  <c r="Q135" i="1" s="1"/>
  <c r="B5" i="2" s="1"/>
  <c r="G9" i="3" s="1"/>
  <c r="G7" i="23" s="1"/>
  <c r="P139" i="1"/>
  <c r="Q139" i="1" s="1"/>
  <c r="B9" i="2" s="1"/>
  <c r="K9" i="3" s="1"/>
  <c r="K7" i="23" s="1"/>
  <c r="P144" i="1"/>
  <c r="Q144" i="1" s="1"/>
  <c r="B14" i="2" s="1"/>
  <c r="P9" i="3" s="1"/>
  <c r="P7" i="23" s="1"/>
  <c r="P148" i="1"/>
  <c r="Q148" i="1" s="1"/>
  <c r="B18" i="2" s="1"/>
  <c r="T9" i="3" s="1"/>
  <c r="T7" i="23" s="1"/>
  <c r="P133" i="1"/>
  <c r="Q133" i="1" s="1"/>
  <c r="B3" i="2" s="1"/>
  <c r="E9" i="3" s="1"/>
  <c r="E7" i="23" s="1"/>
  <c r="P159" i="1"/>
  <c r="Q159" i="1" s="1"/>
  <c r="B29" i="2" s="1"/>
  <c r="AE9" i="3" s="1"/>
  <c r="AE7" i="23" s="1"/>
  <c r="P571" i="1"/>
  <c r="Q571" i="1" s="1"/>
  <c r="P7" i="2" s="1"/>
  <c r="I23" i="3" s="1"/>
  <c r="I21" i="23" s="1"/>
  <c r="P575" i="1"/>
  <c r="Q575" i="1" s="1"/>
  <c r="P11" i="2" s="1"/>
  <c r="M23" i="3" s="1"/>
  <c r="M21" i="23" s="1"/>
  <c r="P579" i="1"/>
  <c r="Q579" i="1" s="1"/>
  <c r="P15" i="2" s="1"/>
  <c r="Q23" i="3" s="1"/>
  <c r="Q21" i="23" s="1"/>
  <c r="P583" i="1"/>
  <c r="Q583" i="1" s="1"/>
  <c r="P19" i="2" s="1"/>
  <c r="U23" i="3" s="1"/>
  <c r="U21" i="23" s="1"/>
  <c r="P585" i="1"/>
  <c r="Q585" i="1" s="1"/>
  <c r="P21" i="2" s="1"/>
  <c r="W23" i="3" s="1"/>
  <c r="W21" i="23" s="1"/>
  <c r="P592" i="1"/>
  <c r="Q592" i="1" s="1"/>
  <c r="P28" i="2" s="1"/>
  <c r="AD23" i="3" s="1"/>
  <c r="AD21" i="23" s="1"/>
  <c r="P847" i="1"/>
  <c r="Q847" i="1" s="1"/>
  <c r="Y4" i="2" s="1"/>
  <c r="F32" i="3" s="1"/>
  <c r="P851" i="1"/>
  <c r="Q851" i="1" s="1"/>
  <c r="Y8" i="2" s="1"/>
  <c r="J32" i="3" s="1"/>
  <c r="P855" i="1"/>
  <c r="Q855" i="1" s="1"/>
  <c r="Y12" i="2" s="1"/>
  <c r="N32" i="3" s="1"/>
  <c r="P859" i="1"/>
  <c r="Q859" i="1" s="1"/>
  <c r="Y16" i="2" s="1"/>
  <c r="R32" i="3" s="1"/>
  <c r="P846" i="1"/>
  <c r="Q846" i="1" s="1"/>
  <c r="Y3" i="2" s="1"/>
  <c r="E32" i="3" s="1"/>
  <c r="P866" i="1"/>
  <c r="Q866" i="1" s="1"/>
  <c r="Y23" i="2" s="1"/>
  <c r="Y32" i="3" s="1"/>
  <c r="P869" i="1"/>
  <c r="Q869" i="1" s="1"/>
  <c r="Y26" i="2" s="1"/>
  <c r="AB32" i="3" s="1"/>
  <c r="P1191" i="1"/>
  <c r="Q1191" i="1" s="1"/>
  <c r="AJ7" i="2" s="1"/>
  <c r="I43" i="3" s="1"/>
  <c r="P1195" i="1"/>
  <c r="Q1195" i="1" s="1"/>
  <c r="AJ11" i="2" s="1"/>
  <c r="M43" i="3" s="1"/>
  <c r="P1199" i="1"/>
  <c r="Q1199" i="1" s="1"/>
  <c r="AJ15" i="2" s="1"/>
  <c r="Q43" i="3" s="1"/>
  <c r="P1203" i="1"/>
  <c r="Q1203" i="1" s="1"/>
  <c r="AJ19" i="2" s="1"/>
  <c r="U43" i="3" s="1"/>
  <c r="P1205" i="1"/>
  <c r="Q1205" i="1" s="1"/>
  <c r="AJ21" i="2" s="1"/>
  <c r="W43" i="3" s="1"/>
  <c r="P1212" i="1"/>
  <c r="Q1212" i="1" s="1"/>
  <c r="AJ28" i="2" s="1"/>
  <c r="AD43" i="3" s="1"/>
  <c r="P1902" i="1"/>
  <c r="Q1902" i="1" s="1"/>
  <c r="BG5" i="2" s="1"/>
  <c r="G62" i="3" s="1"/>
  <c r="P1906" i="1"/>
  <c r="Q1906" i="1" s="1"/>
  <c r="BG9" i="2" s="1"/>
  <c r="K62" i="3" s="1"/>
  <c r="P1910" i="1"/>
  <c r="Q1910" i="1" s="1"/>
  <c r="BG13" i="2" s="1"/>
  <c r="O62" i="3" s="1"/>
  <c r="P1914" i="1"/>
  <c r="Q1914" i="1" s="1"/>
  <c r="BG17" i="2" s="1"/>
  <c r="S62" i="3" s="1"/>
  <c r="P1917" i="1"/>
  <c r="Q1917" i="1" s="1"/>
  <c r="BG20" i="2" s="1"/>
  <c r="V62" i="3" s="1"/>
  <c r="P1922" i="1"/>
  <c r="Q1922" i="1" s="1"/>
  <c r="BG25" i="2" s="1"/>
  <c r="AA62" i="3" s="1"/>
  <c r="P1923" i="1"/>
  <c r="Q1923" i="1" s="1"/>
  <c r="BG26" i="2" s="1"/>
  <c r="AB62" i="3" s="1"/>
  <c r="P2459" i="1"/>
  <c r="Q2459" i="1" s="1"/>
  <c r="BY4" i="2" s="1"/>
  <c r="F80" i="3" s="1"/>
  <c r="P2467" i="1"/>
  <c r="Q2467" i="1" s="1"/>
  <c r="BY12" i="2" s="1"/>
  <c r="N80" i="3" s="1"/>
  <c r="P2458" i="1"/>
  <c r="Q2458" i="1" s="1"/>
  <c r="BY3" i="2" s="1"/>
  <c r="E80" i="3" s="1"/>
  <c r="P2466" i="1"/>
  <c r="Q2466" i="1" s="1"/>
  <c r="BY11" i="2" s="1"/>
  <c r="M80" i="3" s="1"/>
  <c r="P2474" i="1"/>
  <c r="Q2474" i="1" s="1"/>
  <c r="BY19" i="2" s="1"/>
  <c r="U80" i="3" s="1"/>
  <c r="P2480" i="1"/>
  <c r="Q2480" i="1" s="1"/>
  <c r="BY25" i="2" s="1"/>
  <c r="AA80" i="3" s="1"/>
  <c r="P2481" i="1"/>
  <c r="Q2481" i="1" s="1"/>
  <c r="BY26" i="2" s="1"/>
  <c r="AB80" i="3" s="1"/>
  <c r="P2926" i="1"/>
  <c r="Q2926" i="1" s="1"/>
  <c r="CN6" i="2" s="1"/>
  <c r="H87" i="3" s="1"/>
  <c r="P2930" i="1"/>
  <c r="Q2930" i="1" s="1"/>
  <c r="CN10" i="2" s="1"/>
  <c r="L87" i="3" s="1"/>
  <c r="P2934" i="1"/>
  <c r="Q2934" i="1" s="1"/>
  <c r="CN14" i="2" s="1"/>
  <c r="P87" i="3" s="1"/>
  <c r="P2938" i="1"/>
  <c r="Q2938" i="1" s="1"/>
  <c r="CN18" i="2" s="1"/>
  <c r="T87" i="3" s="1"/>
  <c r="P2942" i="1"/>
  <c r="Q2942" i="1" s="1"/>
  <c r="CN22" i="2" s="1"/>
  <c r="X87" i="3" s="1"/>
  <c r="P2943" i="1"/>
  <c r="Q2943" i="1" s="1"/>
  <c r="CN23" i="2" s="1"/>
  <c r="Y87" i="3" s="1"/>
  <c r="P2949" i="1"/>
  <c r="Q2949" i="1" s="1"/>
  <c r="CN29" i="2" s="1"/>
  <c r="AE87" i="3" s="1"/>
  <c r="P3515" i="1"/>
  <c r="Q3515" i="1" s="1"/>
  <c r="DG6" i="2" s="1"/>
  <c r="H106" i="3" s="1"/>
  <c r="P3519" i="1"/>
  <c r="Q3519" i="1" s="1"/>
  <c r="DG10" i="2" s="1"/>
  <c r="L106" i="3" s="1"/>
  <c r="P3523" i="1"/>
  <c r="Q3523" i="1" s="1"/>
  <c r="DG14" i="2" s="1"/>
  <c r="P106" i="3" s="1"/>
  <c r="P3527" i="1"/>
  <c r="Q3527" i="1" s="1"/>
  <c r="DG18" i="2" s="1"/>
  <c r="T106" i="3" s="1"/>
  <c r="P3531" i="1"/>
  <c r="Q3531" i="1" s="1"/>
  <c r="DG22" i="2" s="1"/>
  <c r="X106" i="3" s="1"/>
  <c r="P3532" i="1"/>
  <c r="Q3532" i="1" s="1"/>
  <c r="DG23" i="2" s="1"/>
  <c r="Y106" i="3" s="1"/>
  <c r="P3826" i="1"/>
  <c r="Q3826" i="1" s="1"/>
  <c r="DQ7" i="2" s="1"/>
  <c r="I116" i="3" s="1"/>
  <c r="P3830" i="1"/>
  <c r="Q3830" i="1" s="1"/>
  <c r="DQ11" i="2" s="1"/>
  <c r="M116" i="3" s="1"/>
  <c r="P3834" i="1"/>
  <c r="Q3834" i="1" s="1"/>
  <c r="DQ15" i="2" s="1"/>
  <c r="Q116" i="3" s="1"/>
  <c r="P3838" i="1"/>
  <c r="Q3838" i="1" s="1"/>
  <c r="DQ19" i="2" s="1"/>
  <c r="U116" i="3" s="1"/>
  <c r="P3840" i="1"/>
  <c r="Q3840" i="1" s="1"/>
  <c r="DQ21" i="2" s="1"/>
  <c r="W116" i="3" s="1"/>
  <c r="P3847" i="1"/>
  <c r="Q3847" i="1" s="1"/>
  <c r="DQ28" i="2" s="1"/>
  <c r="AD116" i="3" s="1"/>
  <c r="P477" i="1"/>
  <c r="Q477" i="1" s="1"/>
  <c r="M6" i="2" s="1"/>
  <c r="H20" i="3" s="1"/>
  <c r="H18" i="23" s="1"/>
  <c r="P481" i="1"/>
  <c r="Q481" i="1" s="1"/>
  <c r="M10" i="2" s="1"/>
  <c r="L20" i="3" s="1"/>
  <c r="L18" i="23" s="1"/>
  <c r="P485" i="1"/>
  <c r="Q485" i="1" s="1"/>
  <c r="M14" i="2" s="1"/>
  <c r="P20" i="3" s="1"/>
  <c r="P18" i="23" s="1"/>
  <c r="P489" i="1"/>
  <c r="Q489" i="1" s="1"/>
  <c r="M18" i="2" s="1"/>
  <c r="T20" i="3" s="1"/>
  <c r="T18" i="23" s="1"/>
  <c r="P493" i="1"/>
  <c r="Q493" i="1" s="1"/>
  <c r="M22" i="2" s="1"/>
  <c r="X20" i="3" s="1"/>
  <c r="X18" i="23" s="1"/>
  <c r="P496" i="1"/>
  <c r="Q496" i="1" s="1"/>
  <c r="M25" i="2" s="1"/>
  <c r="AA20" i="3" s="1"/>
  <c r="AA18" i="23" s="1"/>
  <c r="P500" i="1"/>
  <c r="Q500" i="1" s="1"/>
  <c r="M29" i="2" s="1"/>
  <c r="AE20" i="3" s="1"/>
  <c r="AE18" i="23" s="1"/>
  <c r="P788" i="1"/>
  <c r="Q788" i="1" s="1"/>
  <c r="W7" i="2" s="1"/>
  <c r="I30" i="3" s="1"/>
  <c r="P792" i="1"/>
  <c r="Q792" i="1" s="1"/>
  <c r="W11" i="2" s="1"/>
  <c r="M30" i="3" s="1"/>
  <c r="P796" i="1"/>
  <c r="Q796" i="1" s="1"/>
  <c r="W15" i="2" s="1"/>
  <c r="Q30" i="3" s="1"/>
  <c r="P800" i="1"/>
  <c r="Q800" i="1" s="1"/>
  <c r="W19" i="2" s="1"/>
  <c r="U30" i="3" s="1"/>
  <c r="P802" i="1"/>
  <c r="Q802" i="1" s="1"/>
  <c r="W21" i="2" s="1"/>
  <c r="W30" i="3" s="1"/>
  <c r="P807" i="1"/>
  <c r="Q807" i="1" s="1"/>
  <c r="W26" i="2" s="1"/>
  <c r="AB30" i="3" s="1"/>
  <c r="P1095" i="1"/>
  <c r="Q1095" i="1" s="1"/>
  <c r="AG4" i="2" s="1"/>
  <c r="F40" i="3" s="1"/>
  <c r="P1099" i="1"/>
  <c r="Q1099" i="1" s="1"/>
  <c r="AG8" i="2" s="1"/>
  <c r="J40" i="3" s="1"/>
  <c r="P1103" i="1"/>
  <c r="Q1103" i="1" s="1"/>
  <c r="AG12" i="2" s="1"/>
  <c r="N40" i="3" s="1"/>
  <c r="P1107" i="1"/>
  <c r="Q1107" i="1" s="1"/>
  <c r="AG16" i="2" s="1"/>
  <c r="R40" i="3" s="1"/>
  <c r="P1094" i="1"/>
  <c r="Q1094" i="1" s="1"/>
  <c r="AG3" i="2" s="1"/>
  <c r="E40" i="3" s="1"/>
  <c r="P1114" i="1"/>
  <c r="Q1114" i="1" s="1"/>
  <c r="AG23" i="2" s="1"/>
  <c r="Y40" i="3" s="1"/>
  <c r="P1118" i="1"/>
  <c r="Q1118" i="1" s="1"/>
  <c r="AG27" i="2" s="1"/>
  <c r="AC40" i="3" s="1"/>
  <c r="P1685" i="1"/>
  <c r="Q1685" i="1" s="1"/>
  <c r="AZ5" i="2" s="1"/>
  <c r="G59" i="3" s="1"/>
  <c r="P1689" i="1"/>
  <c r="Q1689" i="1" s="1"/>
  <c r="AZ9" i="2" s="1"/>
  <c r="K59" i="3" s="1"/>
  <c r="P1693" i="1"/>
  <c r="Q1693" i="1" s="1"/>
  <c r="AZ13" i="2" s="1"/>
  <c r="O59" i="3" s="1"/>
  <c r="P1697" i="1"/>
  <c r="Q1697" i="1" s="1"/>
  <c r="AZ17" i="2" s="1"/>
  <c r="S59" i="3" s="1"/>
  <c r="P1700" i="1"/>
  <c r="Q1700" i="1" s="1"/>
  <c r="AZ20" i="2" s="1"/>
  <c r="V59" i="3" s="1"/>
  <c r="P1704" i="1"/>
  <c r="Q1704" i="1" s="1"/>
  <c r="AZ24" i="2" s="1"/>
  <c r="Z59" i="3" s="1"/>
  <c r="P1708" i="1"/>
  <c r="Q1708" i="1" s="1"/>
  <c r="AZ28" i="2" s="1"/>
  <c r="AD59" i="3" s="1"/>
  <c r="P2833" i="1"/>
  <c r="Q2833" i="1" s="1"/>
  <c r="CK6" i="2" s="1"/>
  <c r="H84" i="3" s="1"/>
  <c r="P2837" i="1"/>
  <c r="Q2837" i="1" s="1"/>
  <c r="CK10" i="2" s="1"/>
  <c r="L84" i="3" s="1"/>
  <c r="P2841" i="1"/>
  <c r="Q2841" i="1" s="1"/>
  <c r="CK14" i="2" s="1"/>
  <c r="P84" i="3" s="1"/>
  <c r="P2845" i="1"/>
  <c r="Q2845" i="1" s="1"/>
  <c r="CK18" i="2" s="1"/>
  <c r="T84" i="3" s="1"/>
  <c r="P2849" i="1"/>
  <c r="Q2849" i="1" s="1"/>
  <c r="CK22" i="2" s="1"/>
  <c r="X84" i="3" s="1"/>
  <c r="P2850" i="1"/>
  <c r="Q2850" i="1" s="1"/>
  <c r="CK23" i="2" s="1"/>
  <c r="Y84" i="3" s="1"/>
  <c r="P2856" i="1"/>
  <c r="Q2856" i="1" s="1"/>
  <c r="CK29" i="2" s="1"/>
  <c r="AE84" i="3" s="1"/>
  <c r="P3173" i="1"/>
  <c r="Q3173" i="1" s="1"/>
  <c r="CV5" i="2" s="1"/>
  <c r="G95" i="3" s="1"/>
  <c r="P3177" i="1"/>
  <c r="Q3177" i="1" s="1"/>
  <c r="CV9" i="2" s="1"/>
  <c r="K95" i="3" s="1"/>
  <c r="P3181" i="1"/>
  <c r="Q3181" i="1" s="1"/>
  <c r="CV13" i="2" s="1"/>
  <c r="O95" i="3" s="1"/>
  <c r="P3185" i="1"/>
  <c r="Q3185" i="1" s="1"/>
  <c r="CV17" i="2" s="1"/>
  <c r="S95" i="3" s="1"/>
  <c r="P3188" i="1"/>
  <c r="Q3188" i="1" s="1"/>
  <c r="CV20" i="2" s="1"/>
  <c r="V95" i="3" s="1"/>
  <c r="P3191" i="1"/>
  <c r="Q3191" i="1" s="1"/>
  <c r="CV23" i="2" s="1"/>
  <c r="Y95" i="3" s="1"/>
  <c r="P3195" i="1"/>
  <c r="Q3195" i="1" s="1"/>
  <c r="CV27" i="2" s="1"/>
  <c r="AC95" i="3" s="1"/>
  <c r="P3578" i="1"/>
  <c r="Q3578" i="1" s="1"/>
  <c r="DI7" i="2" s="1"/>
  <c r="I108" i="3" s="1"/>
  <c r="P3582" i="1"/>
  <c r="Q3582" i="1" s="1"/>
  <c r="DI11" i="2" s="1"/>
  <c r="M108" i="3" s="1"/>
  <c r="P3586" i="1"/>
  <c r="Q3586" i="1" s="1"/>
  <c r="DI15" i="2" s="1"/>
  <c r="Q108" i="3" s="1"/>
  <c r="P3590" i="1"/>
  <c r="Q3590" i="1" s="1"/>
  <c r="DI19" i="2" s="1"/>
  <c r="U108" i="3" s="1"/>
  <c r="P3592" i="1"/>
  <c r="Q3592" i="1" s="1"/>
  <c r="DI21" i="2" s="1"/>
  <c r="W108" i="3" s="1"/>
  <c r="P3597" i="1"/>
  <c r="Q3597" i="1" s="1"/>
  <c r="DI26" i="2" s="1"/>
  <c r="AB108" i="3" s="1"/>
  <c r="P289" i="1"/>
  <c r="Q289" i="1" s="1"/>
  <c r="G4" i="2" s="1"/>
  <c r="F14" i="3" s="1"/>
  <c r="F12" i="23" s="1"/>
  <c r="P293" i="1"/>
  <c r="Q293" i="1" s="1"/>
  <c r="G8" i="2" s="1"/>
  <c r="J14" i="3" s="1"/>
  <c r="J12" i="23" s="1"/>
  <c r="P297" i="1"/>
  <c r="Q297" i="1" s="1"/>
  <c r="G12" i="2" s="1"/>
  <c r="N14" i="3" s="1"/>
  <c r="N12" i="23" s="1"/>
  <c r="P301" i="1"/>
  <c r="Q301" i="1" s="1"/>
  <c r="G16" i="2" s="1"/>
  <c r="R14" i="3" s="1"/>
  <c r="R12" i="23" s="1"/>
  <c r="P288" i="1"/>
  <c r="Q288" i="1" s="1"/>
  <c r="G3" i="2" s="1"/>
  <c r="E14" i="3" s="1"/>
  <c r="E12" i="23" s="1"/>
  <c r="P308" i="1"/>
  <c r="Q308" i="1" s="1"/>
  <c r="G23" i="2" s="1"/>
  <c r="Y14" i="3" s="1"/>
  <c r="Y12" i="23" s="1"/>
  <c r="P310" i="1"/>
  <c r="Q310" i="1" s="1"/>
  <c r="G25" i="2" s="1"/>
  <c r="AA14" i="3" s="1"/>
  <c r="AA12" i="23" s="1"/>
  <c r="P2335" i="1"/>
  <c r="Q2335" i="1" s="1"/>
  <c r="BU4" i="2" s="1"/>
  <c r="F76" i="3" s="1"/>
  <c r="P2339" i="1"/>
  <c r="Q2339" i="1" s="1"/>
  <c r="BU8" i="2" s="1"/>
  <c r="J76" i="3" s="1"/>
  <c r="P2343" i="1"/>
  <c r="Q2343" i="1" s="1"/>
  <c r="BU12" i="2" s="1"/>
  <c r="N76" i="3" s="1"/>
  <c r="P2347" i="1"/>
  <c r="Q2347" i="1" s="1"/>
  <c r="BU16" i="2" s="1"/>
  <c r="R76" i="3" s="1"/>
  <c r="P2334" i="1"/>
  <c r="Q2334" i="1" s="1"/>
  <c r="BU3" i="2" s="1"/>
  <c r="E76" i="3" s="1"/>
  <c r="P2355" i="1"/>
  <c r="Q2355" i="1" s="1"/>
  <c r="BU24" i="2" s="1"/>
  <c r="Z76" i="3" s="1"/>
  <c r="P2357" i="1"/>
  <c r="Q2357" i="1" s="1"/>
  <c r="BU26" i="2" s="1"/>
  <c r="AB76" i="3" s="1"/>
  <c r="P2803" i="1"/>
  <c r="Q2803" i="1" s="1"/>
  <c r="CJ7" i="2" s="1"/>
  <c r="I83" i="3" s="1"/>
  <c r="P2807" i="1"/>
  <c r="Q2807" i="1" s="1"/>
  <c r="CJ11" i="2" s="1"/>
  <c r="M83" i="3" s="1"/>
  <c r="P2811" i="1"/>
  <c r="Q2811" i="1" s="1"/>
  <c r="CJ15" i="2" s="1"/>
  <c r="Q83" i="3" s="1"/>
  <c r="P2815" i="1"/>
  <c r="Q2815" i="1" s="1"/>
  <c r="CJ19" i="2" s="1"/>
  <c r="U83" i="3" s="1"/>
  <c r="P2817" i="1"/>
  <c r="Q2817" i="1" s="1"/>
  <c r="CJ21" i="2" s="1"/>
  <c r="W83" i="3" s="1"/>
  <c r="P2824" i="1"/>
  <c r="Q2824" i="1" s="1"/>
  <c r="CJ28" i="2" s="1"/>
  <c r="P259" i="1"/>
  <c r="Q259" i="1" s="1"/>
  <c r="F5" i="2" s="1"/>
  <c r="G13" i="3" s="1"/>
  <c r="G11" i="23" s="1"/>
  <c r="P263" i="1"/>
  <c r="Q263" i="1" s="1"/>
  <c r="F9" i="2" s="1"/>
  <c r="K13" i="3" s="1"/>
  <c r="K11" i="23" s="1"/>
  <c r="P267" i="1"/>
  <c r="Q267" i="1" s="1"/>
  <c r="F13" i="2" s="1"/>
  <c r="O13" i="3" s="1"/>
  <c r="O11" i="23" s="1"/>
  <c r="P271" i="1"/>
  <c r="Q271" i="1" s="1"/>
  <c r="F17" i="2" s="1"/>
  <c r="S13" i="3" s="1"/>
  <c r="S11" i="23" s="1"/>
  <c r="P274" i="1"/>
  <c r="Q274" i="1" s="1"/>
  <c r="F20" i="2" s="1"/>
  <c r="V13" i="3" s="1"/>
  <c r="V11" i="23" s="1"/>
  <c r="P278" i="1"/>
  <c r="Q278" i="1" s="1"/>
  <c r="F24" i="2" s="1"/>
  <c r="Z13" i="3" s="1"/>
  <c r="Z11" i="23" s="1"/>
  <c r="P281" i="1"/>
  <c r="Q281" i="1" s="1"/>
  <c r="F27" i="2" s="1"/>
  <c r="AC13" i="3" s="1"/>
  <c r="AC11" i="23" s="1"/>
  <c r="P726" i="1"/>
  <c r="Q726" i="1" s="1"/>
  <c r="U7" i="2" s="1"/>
  <c r="I28" i="3" s="1"/>
  <c r="P730" i="1"/>
  <c r="Q730" i="1" s="1"/>
  <c r="U11" i="2" s="1"/>
  <c r="M28" i="3" s="1"/>
  <c r="P734" i="1"/>
  <c r="Q734" i="1" s="1"/>
  <c r="U15" i="2" s="1"/>
  <c r="Q28" i="3" s="1"/>
  <c r="P738" i="1"/>
  <c r="Q738" i="1" s="1"/>
  <c r="U19" i="2" s="1"/>
  <c r="U28" i="3" s="1"/>
  <c r="P740" i="1"/>
  <c r="Q740" i="1" s="1"/>
  <c r="U21" i="2" s="1"/>
  <c r="W28" i="3" s="1"/>
  <c r="P747" i="1"/>
  <c r="Q747" i="1" s="1"/>
  <c r="U28" i="2" s="1"/>
  <c r="AD28" i="3" s="1"/>
  <c r="AJ66" i="3" l="1"/>
  <c r="AL66" i="3"/>
  <c r="AK66" i="3"/>
  <c r="AK104" i="3"/>
  <c r="AK91" i="3"/>
  <c r="AL91" i="3"/>
  <c r="AJ91" i="3"/>
  <c r="AL12" i="3"/>
  <c r="AL10" i="23" s="1"/>
  <c r="AK12" i="3"/>
  <c r="AK10" i="23" s="1"/>
  <c r="AJ12" i="3"/>
  <c r="AJ10" i="23" s="1"/>
  <c r="AL20" i="3"/>
  <c r="AL18" i="23" s="1"/>
  <c r="AK20" i="3"/>
  <c r="AK18" i="23" s="1"/>
  <c r="AJ20" i="3"/>
  <c r="AJ18" i="23" s="1"/>
  <c r="AL39" i="3"/>
  <c r="AK39" i="3"/>
  <c r="AJ39" i="3"/>
  <c r="AL86" i="3"/>
  <c r="AK86" i="3"/>
  <c r="AJ86" i="3"/>
  <c r="AL51" i="3"/>
  <c r="AK51" i="3"/>
  <c r="AJ51" i="3"/>
  <c r="AL14" i="3"/>
  <c r="AL12" i="23" s="1"/>
  <c r="AK14" i="3"/>
  <c r="AK12" i="23" s="1"/>
  <c r="AJ14" i="3"/>
  <c r="AJ12" i="23" s="1"/>
  <c r="AL10" i="3"/>
  <c r="AL8" i="23" s="1"/>
  <c r="AK10" i="3"/>
  <c r="AK8" i="23" s="1"/>
  <c r="AJ10" i="3"/>
  <c r="AJ8" i="23" s="1"/>
  <c r="AL102" i="3"/>
  <c r="AK102" i="3"/>
  <c r="AJ102" i="3"/>
  <c r="AL87" i="3"/>
  <c r="AK87" i="3"/>
  <c r="AJ87" i="3"/>
  <c r="AL34" i="3"/>
  <c r="AK34" i="3"/>
  <c r="AJ34" i="3"/>
  <c r="AL114" i="3"/>
  <c r="AK114" i="3"/>
  <c r="AJ114" i="3"/>
  <c r="AL90" i="3"/>
  <c r="AK90" i="3"/>
  <c r="AJ90" i="3"/>
  <c r="AL35" i="3"/>
  <c r="AK35" i="3"/>
  <c r="AJ35" i="3"/>
  <c r="AL36" i="3"/>
  <c r="AK36" i="3"/>
  <c r="AJ36" i="3"/>
  <c r="AL55" i="3"/>
  <c r="AK55" i="3"/>
  <c r="AJ55" i="3"/>
  <c r="AL88" i="3"/>
  <c r="AK88" i="3"/>
  <c r="AJ88" i="3"/>
  <c r="AL13" i="3"/>
  <c r="AL11" i="23" s="1"/>
  <c r="AK13" i="3"/>
  <c r="AK11" i="23" s="1"/>
  <c r="AJ13" i="3"/>
  <c r="AJ11" i="23" s="1"/>
  <c r="AL28" i="3"/>
  <c r="AK28" i="3"/>
  <c r="AJ28" i="3"/>
  <c r="AL74" i="3"/>
  <c r="AK74" i="3"/>
  <c r="AJ74" i="3"/>
  <c r="AL100" i="3"/>
  <c r="AK100" i="3"/>
  <c r="AJ100" i="3"/>
  <c r="AK111" i="3"/>
  <c r="AL111" i="3"/>
  <c r="AJ111" i="3"/>
  <c r="AL112" i="3"/>
  <c r="AK112" i="3"/>
  <c r="AJ112" i="3"/>
  <c r="AL32" i="3"/>
  <c r="AK32" i="3"/>
  <c r="AJ32" i="3"/>
  <c r="AL38" i="3"/>
  <c r="AK38" i="3"/>
  <c r="AJ38" i="3"/>
  <c r="AL60" i="3"/>
  <c r="AK60" i="3"/>
  <c r="AJ60" i="3"/>
  <c r="AL67" i="3"/>
  <c r="AK67" i="3"/>
  <c r="AJ67" i="3"/>
  <c r="AL19" i="3"/>
  <c r="AL17" i="23" s="1"/>
  <c r="AK19" i="3"/>
  <c r="AK17" i="23" s="1"/>
  <c r="AJ19" i="3"/>
  <c r="AJ17" i="23" s="1"/>
  <c r="AL27" i="3"/>
  <c r="AK27" i="3"/>
  <c r="AJ27" i="3"/>
  <c r="AL42" i="3"/>
  <c r="AK42" i="3"/>
  <c r="AJ42" i="3"/>
  <c r="AL59" i="3"/>
  <c r="AK59" i="3"/>
  <c r="AJ59" i="3"/>
  <c r="AK115" i="3"/>
  <c r="AL115" i="3"/>
  <c r="AJ115" i="3"/>
  <c r="AL116" i="3"/>
  <c r="AK116" i="3"/>
  <c r="AJ116" i="3"/>
  <c r="AL71" i="3"/>
  <c r="AK71" i="3"/>
  <c r="AJ71" i="3"/>
  <c r="AJ104" i="3"/>
  <c r="AL104" i="3"/>
  <c r="AK99" i="3"/>
  <c r="AL99" i="3"/>
  <c r="AJ99" i="3"/>
  <c r="AL11" i="3"/>
  <c r="AL9" i="23" s="1"/>
  <c r="AK11" i="3"/>
  <c r="AK9" i="23" s="1"/>
  <c r="AJ11" i="3"/>
  <c r="AJ9" i="23" s="1"/>
  <c r="AL26" i="3"/>
  <c r="AK26" i="3"/>
  <c r="AJ26" i="3"/>
  <c r="AL108" i="3"/>
  <c r="AK108" i="3"/>
  <c r="AJ108" i="3"/>
  <c r="AL15" i="3"/>
  <c r="AL13" i="23" s="1"/>
  <c r="AK15" i="3"/>
  <c r="AK13" i="23" s="1"/>
  <c r="AJ15" i="3"/>
  <c r="AJ13" i="23" s="1"/>
  <c r="AL75" i="3"/>
  <c r="AK75" i="3"/>
  <c r="AJ75" i="3"/>
  <c r="AL40" i="3"/>
  <c r="AK40" i="3"/>
  <c r="AJ40" i="3"/>
  <c r="AL76" i="3"/>
  <c r="AK76" i="3"/>
  <c r="AJ76" i="3"/>
  <c r="AL78" i="3"/>
  <c r="AK78" i="3"/>
  <c r="AJ78" i="3"/>
  <c r="AL44" i="3"/>
  <c r="AK44" i="3"/>
  <c r="AJ44" i="3"/>
  <c r="AK103" i="3"/>
  <c r="AL103" i="3"/>
  <c r="AJ103" i="3"/>
  <c r="AL9" i="3"/>
  <c r="AL7" i="23" s="1"/>
  <c r="AK9" i="3"/>
  <c r="AK7" i="23" s="1"/>
  <c r="AJ9" i="3"/>
  <c r="AJ7" i="23" s="1"/>
  <c r="AL31" i="3"/>
  <c r="AK31" i="3"/>
  <c r="AJ31" i="3"/>
  <c r="AK107" i="3"/>
  <c r="AL107" i="3"/>
  <c r="AJ107" i="3"/>
  <c r="AL22" i="3"/>
  <c r="AL20" i="23" s="1"/>
  <c r="AK22" i="3"/>
  <c r="AK20" i="23" s="1"/>
  <c r="AJ22" i="3"/>
  <c r="AJ20" i="23" s="1"/>
  <c r="AL46" i="3"/>
  <c r="AK46" i="3"/>
  <c r="AJ46" i="3"/>
  <c r="AL30" i="3"/>
  <c r="AK30" i="3"/>
  <c r="AJ30" i="3"/>
  <c r="AL80" i="3"/>
  <c r="AK80" i="3"/>
  <c r="AJ80" i="3"/>
  <c r="AL94" i="3"/>
  <c r="AK94" i="3"/>
  <c r="AJ94" i="3"/>
  <c r="AL16" i="3"/>
  <c r="AL14" i="23" s="1"/>
  <c r="AK16" i="3"/>
  <c r="AK14" i="23" s="1"/>
  <c r="AJ16" i="3"/>
  <c r="AJ14" i="23" s="1"/>
  <c r="AK95" i="3"/>
  <c r="AL95" i="3"/>
  <c r="AJ95" i="3"/>
  <c r="AL23" i="3"/>
  <c r="AL21" i="23" s="1"/>
  <c r="AK23" i="3"/>
  <c r="AK21" i="23" s="1"/>
  <c r="AJ23" i="3"/>
  <c r="AJ21" i="23" s="1"/>
  <c r="AL110" i="3"/>
  <c r="AK110" i="3"/>
  <c r="AJ110" i="3"/>
  <c r="AL79" i="3"/>
  <c r="AK79" i="3"/>
  <c r="AJ79" i="3"/>
  <c r="AL43" i="3"/>
  <c r="AK43" i="3"/>
  <c r="AJ43" i="3"/>
  <c r="AL47" i="3"/>
  <c r="AK47" i="3"/>
  <c r="AJ47" i="3"/>
  <c r="AL18" i="3"/>
  <c r="AL16" i="23" s="1"/>
  <c r="AK18" i="3"/>
  <c r="AK16" i="23" s="1"/>
  <c r="AJ18" i="3"/>
  <c r="AJ16" i="23" s="1"/>
  <c r="AL106" i="3"/>
  <c r="AK106" i="3"/>
  <c r="AJ106" i="3"/>
  <c r="AK89" i="3"/>
  <c r="AL89" i="3"/>
  <c r="AJ89" i="3"/>
</calcChain>
</file>

<file path=xl/sharedStrings.xml><?xml version="1.0" encoding="utf-8"?>
<sst xmlns="http://schemas.openxmlformats.org/spreadsheetml/2006/main" count="313" uniqueCount="94">
  <si>
    <t>Base Catch</t>
  </si>
  <si>
    <t>Exp. Rate</t>
  </si>
  <si>
    <t xml:space="preserve">  Recoveries by Stratum*  (.mdl files)</t>
  </si>
  <si>
    <t>Stratified Exp. Rate</t>
  </si>
  <si>
    <t>Stock</t>
  </si>
  <si>
    <t>Age</t>
  </si>
  <si>
    <t>AKS</t>
  </si>
  <si>
    <t>NTH</t>
  </si>
  <si>
    <t>FRE</t>
  </si>
  <si>
    <t>FRL</t>
  </si>
  <si>
    <t>RBH</t>
  </si>
  <si>
    <t>RBT</t>
  </si>
  <si>
    <t>GSQ</t>
  </si>
  <si>
    <t>GST</t>
  </si>
  <si>
    <t>GSH</t>
  </si>
  <si>
    <t>NKF</t>
  </si>
  <si>
    <t>PSF</t>
  </si>
  <si>
    <t>PSN</t>
  </si>
  <si>
    <t>PSY</t>
  </si>
  <si>
    <t>NKS</t>
  </si>
  <si>
    <t>SKG</t>
  </si>
  <si>
    <t>STL</t>
  </si>
  <si>
    <t>SNO</t>
  </si>
  <si>
    <t>WCH</t>
  </si>
  <si>
    <t>URB</t>
  </si>
  <si>
    <t>SPR</t>
  </si>
  <si>
    <t>BON</t>
  </si>
  <si>
    <t>CWF</t>
  </si>
  <si>
    <t>LRW</t>
  </si>
  <si>
    <t>WSH</t>
  </si>
  <si>
    <t>CWS</t>
  </si>
  <si>
    <t>SUM</t>
  </si>
  <si>
    <t>ORC</t>
  </si>
  <si>
    <t>WCN</t>
  </si>
  <si>
    <t>LYF</t>
  </si>
  <si>
    <t>MCB</t>
  </si>
  <si>
    <t>*</t>
  </si>
  <si>
    <t>Strata 1 = AK Win/Spr Troll</t>
  </si>
  <si>
    <t>Strata 4 = AK July Inside Troll</t>
  </si>
  <si>
    <t>Strata 2 = AK June Inside Troll</t>
  </si>
  <si>
    <t>Strata 5 = AK July Outside Troll</t>
  </si>
  <si>
    <t xml:space="preserve">Strata 3 = AK June Outside Troll </t>
  </si>
  <si>
    <t>Strata 6 = AK Fall Troll</t>
  </si>
  <si>
    <t>Year</t>
  </si>
  <si>
    <t xml:space="preserve">         FISHERY INDEX (from J.Clark)</t>
  </si>
  <si>
    <t xml:space="preserve">  SCALED EXP. RATE</t>
  </si>
  <si>
    <t>Total</t>
  </si>
  <si>
    <t>FP</t>
  </si>
  <si>
    <t xml:space="preserve"> </t>
  </si>
  <si>
    <t>1,</t>
  </si>
  <si>
    <t>27,</t>
  </si>
  <si>
    <t>00</t>
  </si>
  <si>
    <t>01</t>
  </si>
  <si>
    <t>02</t>
  </si>
  <si>
    <t>03</t>
  </si>
  <si>
    <t>04</t>
  </si>
  <si>
    <t>05</t>
  </si>
  <si>
    <t xml:space="preserve">Alaska Southeast  </t>
  </si>
  <si>
    <t xml:space="preserve">  Age  4</t>
  </si>
  <si>
    <t xml:space="preserve"> Age  5</t>
  </si>
  <si>
    <t xml:space="preserve">Quinsam  </t>
  </si>
  <si>
    <t xml:space="preserve">Robertson Creek  </t>
  </si>
  <si>
    <t xml:space="preserve">  Age  3</t>
  </si>
  <si>
    <t xml:space="preserve"> Age  4</t>
  </si>
  <si>
    <t xml:space="preserve">Salmon River Hatchery  </t>
  </si>
  <si>
    <t xml:space="preserve">Columbia Upriver Brights  </t>
  </si>
  <si>
    <t xml:space="preserve">Willamette Spring Hatchery  </t>
  </si>
  <si>
    <t>06</t>
  </si>
  <si>
    <t>07</t>
  </si>
  <si>
    <t xml:space="preserve"> Age  6</t>
  </si>
  <si>
    <t>08</t>
  </si>
  <si>
    <t>09</t>
  </si>
  <si>
    <t>(9806stk.stk)</t>
  </si>
  <si>
    <t>10</t>
  </si>
  <si>
    <t>11</t>
  </si>
  <si>
    <t>12</t>
  </si>
  <si>
    <t xml:space="preserve">Date          </t>
  </si>
  <si>
    <t xml:space="preserve">Time          </t>
  </si>
  <si>
    <t xml:space="preserve">HRJ Database  </t>
  </si>
  <si>
    <t xml:space="preserve">Stock File    </t>
  </si>
  <si>
    <t xml:space="preserve">Catch File    </t>
  </si>
  <si>
    <t>YEAR</t>
  </si>
  <si>
    <t>SPFI</t>
  </si>
  <si>
    <t>JUNE IN</t>
  </si>
  <si>
    <t>JUNE OUT</t>
  </si>
  <si>
    <t>JULY IN</t>
  </si>
  <si>
    <t>JULY OUT</t>
  </si>
  <si>
    <t>FALL</t>
  </si>
  <si>
    <t xml:space="preserve">             STOCFILE_CLB14.STF</t>
  </si>
  <si>
    <t>SEAK Troll: (2013-2015 = 2010-2012 average)</t>
  </si>
  <si>
    <t xml:space="preserve">             HRJ DATABASE 68 FISHERIES 26MAR2014.MDB</t>
  </si>
  <si>
    <t xml:space="preserve">             8/4/2014 </t>
  </si>
  <si>
    <t xml:space="preserve">             8/4/2014 10:21:15 AM </t>
  </si>
  <si>
    <t xml:space="preserve">             TRCAT7912B.CAT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</si>
</sst>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4" x14ac:knownFonts="1">
    <font>
      <sz val="10"/>
      <name val="Times New Roman"/>
    </font>
    <font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48">
    <xf numFmtId="0" fontId="0" fillId="0" borderId="0" xfId="0"/>
    <xf numFmtId="0" fontId="1" fillId="0" borderId="0" xfId="1"/>
    <xf numFmtId="11" fontId="1" fillId="0" borderId="0" xfId="1" applyNumberFormat="1"/>
    <xf numFmtId="0" fontId="2" fillId="0" borderId="0" xfId="0" applyFont="1"/>
    <xf numFmtId="0" fontId="2" fillId="0" borderId="0" xfId="2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5" fontId="2" fillId="0" borderId="6" xfId="0" applyNumberFormat="1" applyFont="1" applyBorder="1"/>
    <xf numFmtId="0" fontId="2" fillId="0" borderId="0" xfId="0" applyFont="1" applyFill="1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9" xfId="0" applyFont="1" applyBorder="1"/>
    <xf numFmtId="0" fontId="2" fillId="0" borderId="0" xfId="0" applyFont="1" applyBorder="1" applyAlignment="1">
      <alignment horizontal="center"/>
    </xf>
    <xf numFmtId="164" fontId="2" fillId="0" borderId="3" xfId="0" applyNumberFormat="1" applyFont="1" applyBorder="1"/>
    <xf numFmtId="164" fontId="2" fillId="0" borderId="12" xfId="0" applyNumberFormat="1" applyFont="1" applyBorder="1"/>
    <xf numFmtId="164" fontId="2" fillId="0" borderId="0" xfId="0" applyNumberFormat="1" applyFont="1" applyBorder="1"/>
    <xf numFmtId="164" fontId="2" fillId="0" borderId="13" xfId="0" applyNumberFormat="1" applyFont="1" applyBorder="1"/>
    <xf numFmtId="164" fontId="2" fillId="0" borderId="7" xfId="0" applyNumberFormat="1" applyFont="1" applyBorder="1"/>
    <xf numFmtId="164" fontId="2" fillId="0" borderId="0" xfId="0" applyNumberFormat="1" applyFont="1"/>
    <xf numFmtId="164" fontId="2" fillId="0" borderId="14" xfId="0" applyNumberFormat="1" applyFont="1" applyBorder="1"/>
    <xf numFmtId="164" fontId="2" fillId="0" borderId="15" xfId="0" applyNumberFormat="1" applyFont="1" applyBorder="1"/>
    <xf numFmtId="164" fontId="2" fillId="0" borderId="4" xfId="0" applyNumberFormat="1" applyFont="1" applyBorder="1"/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right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164" fontId="2" fillId="0" borderId="16" xfId="0" applyNumberFormat="1" applyFont="1" applyBorder="1"/>
    <xf numFmtId="164" fontId="2" fillId="0" borderId="18" xfId="0" applyNumberFormat="1" applyFont="1" applyBorder="1"/>
    <xf numFmtId="164" fontId="2" fillId="0" borderId="20" xfId="0" applyNumberFormat="1" applyFont="1" applyBorder="1"/>
    <xf numFmtId="164" fontId="2" fillId="0" borderId="19" xfId="0" applyNumberFormat="1" applyFont="1" applyBorder="1"/>
    <xf numFmtId="0" fontId="3" fillId="0" borderId="0" xfId="2" applyFont="1"/>
  </cellXfs>
  <cellStyles count="3">
    <cellStyle name="Normal" xfId="0" builtinId="0"/>
    <cellStyle name="Normal_CLB0010" xfId="1"/>
    <cellStyle name="Normal_spfi99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8209"/>
  <sheetViews>
    <sheetView workbookViewId="0">
      <selection activeCell="J20" sqref="J20:J123"/>
    </sheetView>
  </sheetViews>
  <sheetFormatPr defaultColWidth="9.33203125" defaultRowHeight="12.75" x14ac:dyDescent="0.2"/>
  <cols>
    <col min="1" max="1" width="5.83203125" style="36" customWidth="1"/>
    <col min="2" max="2" width="4.6640625" style="36" customWidth="1"/>
    <col min="3" max="3" width="13.6640625" style="3" customWidth="1"/>
    <col min="4" max="4" width="6.5" style="3" customWidth="1"/>
    <col min="5" max="9" width="6.33203125" style="3" customWidth="1"/>
    <col min="10" max="17" width="8.5" style="3" customWidth="1"/>
    <col min="18" max="16384" width="9.33203125" style="3"/>
  </cols>
  <sheetData>
    <row r="1" spans="1:17" x14ac:dyDescent="0.2">
      <c r="A1" s="5"/>
      <c r="B1" s="6"/>
      <c r="C1" s="6" t="s">
        <v>0</v>
      </c>
      <c r="D1" s="7"/>
      <c r="E1" s="7"/>
      <c r="F1" s="7"/>
      <c r="G1" s="7"/>
      <c r="H1" s="7"/>
      <c r="I1" s="8"/>
      <c r="J1" s="7"/>
      <c r="K1" s="7"/>
      <c r="L1" s="7"/>
      <c r="M1" s="7"/>
      <c r="N1" s="7"/>
      <c r="O1" s="9"/>
    </row>
    <row r="2" spans="1:17" x14ac:dyDescent="0.2">
      <c r="A2" s="10"/>
      <c r="B2" s="11"/>
      <c r="C2" s="11" t="s">
        <v>1</v>
      </c>
      <c r="D2" s="12" t="s">
        <v>2</v>
      </c>
      <c r="F2" s="12"/>
      <c r="G2" s="12"/>
      <c r="H2" s="12"/>
      <c r="I2" s="13"/>
      <c r="J2" s="12"/>
      <c r="K2" s="12"/>
      <c r="L2" s="12" t="s">
        <v>3</v>
      </c>
      <c r="M2" s="12"/>
      <c r="N2" s="12"/>
      <c r="O2" s="14"/>
    </row>
    <row r="3" spans="1:17" ht="13.5" thickBot="1" x14ac:dyDescent="0.25">
      <c r="A3" s="15" t="s">
        <v>4</v>
      </c>
      <c r="B3" s="16" t="s">
        <v>5</v>
      </c>
      <c r="C3" s="40" t="s">
        <v>72</v>
      </c>
      <c r="D3" s="17">
        <v>1</v>
      </c>
      <c r="E3" s="17"/>
      <c r="F3" s="17"/>
      <c r="G3" s="17"/>
      <c r="H3" s="17"/>
      <c r="I3" s="16"/>
      <c r="J3" s="17">
        <v>1</v>
      </c>
      <c r="K3" s="17"/>
      <c r="L3" s="17"/>
      <c r="M3" s="17"/>
      <c r="N3" s="17"/>
      <c r="O3" s="18"/>
    </row>
    <row r="4" spans="1:17" ht="13.5" thickTop="1" x14ac:dyDescent="0.2">
      <c r="A4" s="10" t="s">
        <v>6</v>
      </c>
      <c r="B4" s="11">
        <v>2</v>
      </c>
      <c r="C4" s="19">
        <f>CLB9806STK!F1</f>
        <v>0</v>
      </c>
      <c r="D4" s="12">
        <v>0</v>
      </c>
      <c r="E4" s="12"/>
      <c r="F4" s="12"/>
      <c r="G4" s="12"/>
      <c r="H4" s="12"/>
      <c r="I4" s="13"/>
      <c r="J4" s="12">
        <f>IF(SUM($D4:$I4)&lt;&gt;0,D4/(SUM($D4:$I4))*$C4,0)</f>
        <v>0</v>
      </c>
      <c r="K4" s="12"/>
      <c r="L4" s="12"/>
      <c r="M4" s="12"/>
      <c r="N4" s="12"/>
      <c r="O4" s="14"/>
    </row>
    <row r="5" spans="1:17" x14ac:dyDescent="0.2">
      <c r="A5" s="10"/>
      <c r="B5" s="11">
        <v>3</v>
      </c>
      <c r="C5" s="19">
        <f>CLB9806STK!F2</f>
        <v>1.1263072000000001E-2</v>
      </c>
      <c r="D5" s="12">
        <v>295</v>
      </c>
      <c r="E5" s="12"/>
      <c r="F5" s="12"/>
      <c r="G5" s="12"/>
      <c r="H5" s="12"/>
      <c r="I5" s="13"/>
      <c r="J5" s="12">
        <f>IF(SUM($D5:$I5)&lt;&gt;0,D5/(SUM($D5:$I5))*$C5,0)</f>
        <v>1.1263072000000001E-2</v>
      </c>
      <c r="K5" s="12"/>
      <c r="L5" s="12"/>
      <c r="M5" s="12"/>
      <c r="N5" s="12"/>
      <c r="O5" s="14"/>
      <c r="P5" s="20"/>
      <c r="Q5" s="20"/>
    </row>
    <row r="6" spans="1:17" x14ac:dyDescent="0.2">
      <c r="A6" s="10"/>
      <c r="B6" s="11">
        <v>4</v>
      </c>
      <c r="C6" s="19">
        <f>CLB9806STK!F3</f>
        <v>1.0931428E-2</v>
      </c>
      <c r="D6" s="12">
        <v>263</v>
      </c>
      <c r="E6" s="12"/>
      <c r="F6" s="12"/>
      <c r="G6" s="12"/>
      <c r="H6" s="12"/>
      <c r="I6" s="13"/>
      <c r="J6" s="12">
        <f t="shared" ref="J6:J20" si="0">IF(SUM($D6:$I6)&lt;&gt;0,D6/(SUM($D6:$I6))*$C6,0)</f>
        <v>1.0931428E-2</v>
      </c>
      <c r="K6" s="12"/>
      <c r="L6" s="12"/>
      <c r="M6" s="12"/>
      <c r="N6" s="12"/>
      <c r="O6" s="14"/>
    </row>
    <row r="7" spans="1:17" x14ac:dyDescent="0.2">
      <c r="A7" s="10"/>
      <c r="B7" s="11">
        <v>5</v>
      </c>
      <c r="C7" s="19">
        <f>CLB9806STK!F4</f>
        <v>8.0065778E-4</v>
      </c>
      <c r="D7" s="12">
        <v>9</v>
      </c>
      <c r="E7" s="12"/>
      <c r="F7" s="12"/>
      <c r="G7" s="12"/>
      <c r="H7" s="12"/>
      <c r="I7" s="13"/>
      <c r="J7" s="12">
        <f t="shared" si="0"/>
        <v>8.0065778E-4</v>
      </c>
      <c r="K7" s="12"/>
      <c r="L7" s="12"/>
      <c r="M7" s="12"/>
      <c r="N7" s="12"/>
      <c r="O7" s="14"/>
    </row>
    <row r="8" spans="1:17" x14ac:dyDescent="0.2">
      <c r="A8" s="10" t="s">
        <v>7</v>
      </c>
      <c r="B8" s="11">
        <v>2</v>
      </c>
      <c r="C8" s="19">
        <f>CLB9806STK!F5</f>
        <v>2.8017772E-2</v>
      </c>
      <c r="D8" s="12">
        <v>106</v>
      </c>
      <c r="E8" s="12"/>
      <c r="F8" s="12"/>
      <c r="G8" s="12"/>
      <c r="H8" s="12"/>
      <c r="I8" s="13"/>
      <c r="J8" s="12">
        <f t="shared" si="0"/>
        <v>2.8017772E-2</v>
      </c>
      <c r="K8" s="12"/>
      <c r="L8" s="12"/>
      <c r="M8" s="12"/>
      <c r="N8" s="12"/>
      <c r="O8" s="14"/>
    </row>
    <row r="9" spans="1:17" x14ac:dyDescent="0.2">
      <c r="A9" s="10"/>
      <c r="B9" s="11">
        <v>3</v>
      </c>
      <c r="C9" s="19">
        <f>CLB9806STK!F6</f>
        <v>3.9408863000000002E-2</v>
      </c>
      <c r="D9" s="12">
        <v>205</v>
      </c>
      <c r="E9" s="12"/>
      <c r="F9" s="12"/>
      <c r="G9" s="12"/>
      <c r="H9" s="12"/>
      <c r="I9" s="13"/>
      <c r="J9" s="12">
        <f t="shared" si="0"/>
        <v>3.9408863000000002E-2</v>
      </c>
      <c r="K9" s="12"/>
      <c r="L9" s="12"/>
      <c r="M9" s="12"/>
      <c r="N9" s="12"/>
      <c r="O9" s="14"/>
    </row>
    <row r="10" spans="1:17" x14ac:dyDescent="0.2">
      <c r="A10" s="10"/>
      <c r="B10" s="11">
        <v>4</v>
      </c>
      <c r="C10" s="19">
        <f>CLB9806STK!F7</f>
        <v>4.1887837999999997E-2</v>
      </c>
      <c r="D10" s="12">
        <v>225</v>
      </c>
      <c r="E10" s="12"/>
      <c r="F10" s="12"/>
      <c r="G10" s="12"/>
      <c r="H10" s="12"/>
      <c r="I10" s="13"/>
      <c r="J10" s="12">
        <f t="shared" si="0"/>
        <v>4.1887837999999997E-2</v>
      </c>
      <c r="K10" s="12"/>
      <c r="L10" s="12"/>
      <c r="M10" s="12"/>
      <c r="N10" s="12"/>
      <c r="O10" s="14"/>
    </row>
    <row r="11" spans="1:17" x14ac:dyDescent="0.2">
      <c r="A11" s="10"/>
      <c r="B11" s="11">
        <v>5</v>
      </c>
      <c r="C11" s="19">
        <f>CLB9806STK!F8</f>
        <v>9.0702526000000006E-2</v>
      </c>
      <c r="D11" s="12">
        <v>141</v>
      </c>
      <c r="E11" s="12"/>
      <c r="F11" s="12"/>
      <c r="G11" s="12"/>
      <c r="H11" s="12"/>
      <c r="I11" s="13"/>
      <c r="J11" s="12">
        <f t="shared" si="0"/>
        <v>9.0702526000000006E-2</v>
      </c>
      <c r="K11" s="12"/>
      <c r="L11" s="12"/>
      <c r="M11" s="12"/>
      <c r="N11" s="12"/>
      <c r="O11" s="14"/>
    </row>
    <row r="12" spans="1:17" x14ac:dyDescent="0.2">
      <c r="A12" s="10" t="s">
        <v>8</v>
      </c>
      <c r="B12" s="11">
        <v>2</v>
      </c>
      <c r="C12" s="19">
        <f>CLB9806STK!F9</f>
        <v>1.0445772000000001E-2</v>
      </c>
      <c r="D12" s="12">
        <v>15</v>
      </c>
      <c r="E12" s="12"/>
      <c r="F12" s="12"/>
      <c r="G12" s="12"/>
      <c r="H12" s="12"/>
      <c r="I12" s="13"/>
      <c r="J12" s="12">
        <f t="shared" si="0"/>
        <v>1.0445772000000001E-2</v>
      </c>
      <c r="K12" s="12"/>
      <c r="L12" s="12"/>
      <c r="M12" s="12"/>
      <c r="N12" s="12"/>
      <c r="O12" s="14"/>
    </row>
    <row r="13" spans="1:17" x14ac:dyDescent="0.2">
      <c r="A13" s="10"/>
      <c r="B13" s="11">
        <v>3</v>
      </c>
      <c r="C13" s="19">
        <f>CLB9806STK!F10</f>
        <v>0</v>
      </c>
      <c r="D13" s="12">
        <v>9</v>
      </c>
      <c r="E13" s="12"/>
      <c r="F13" s="12"/>
      <c r="G13" s="12"/>
      <c r="H13" s="12"/>
      <c r="I13" s="13"/>
      <c r="J13" s="12">
        <f t="shared" si="0"/>
        <v>0</v>
      </c>
      <c r="K13" s="12"/>
      <c r="L13" s="12"/>
      <c r="M13" s="12"/>
      <c r="N13" s="12"/>
      <c r="O13" s="14"/>
    </row>
    <row r="14" spans="1:17" x14ac:dyDescent="0.2">
      <c r="A14" s="10"/>
      <c r="B14" s="11">
        <v>4</v>
      </c>
      <c r="C14" s="19">
        <f>CLB9806STK!F11</f>
        <v>4.7702665999999998E-2</v>
      </c>
      <c r="D14" s="12">
        <v>75</v>
      </c>
      <c r="E14" s="12"/>
      <c r="F14" s="12"/>
      <c r="G14" s="12"/>
      <c r="H14" s="12"/>
      <c r="I14" s="13"/>
      <c r="J14" s="12">
        <f t="shared" si="0"/>
        <v>4.7702665999999998E-2</v>
      </c>
      <c r="K14" s="12"/>
      <c r="L14" s="12"/>
      <c r="M14" s="12"/>
      <c r="N14" s="12"/>
      <c r="O14" s="14"/>
    </row>
    <row r="15" spans="1:17" x14ac:dyDescent="0.2">
      <c r="A15" s="10"/>
      <c r="B15" s="11">
        <v>5</v>
      </c>
      <c r="C15" s="19">
        <f>CLB9806STK!F12</f>
        <v>0.12595761</v>
      </c>
      <c r="D15" s="12">
        <v>58</v>
      </c>
      <c r="E15" s="12"/>
      <c r="F15" s="12"/>
      <c r="G15" s="12"/>
      <c r="H15" s="12"/>
      <c r="I15" s="13"/>
      <c r="J15" s="12">
        <f t="shared" si="0"/>
        <v>0.12595761</v>
      </c>
      <c r="K15" s="12"/>
      <c r="L15" s="12"/>
      <c r="M15" s="12"/>
      <c r="N15" s="12"/>
      <c r="O15" s="14"/>
    </row>
    <row r="16" spans="1:17" x14ac:dyDescent="0.2">
      <c r="A16" s="10" t="s">
        <v>9</v>
      </c>
      <c r="B16" s="11">
        <v>2</v>
      </c>
      <c r="C16" s="19">
        <f>CLB9806STK!F13</f>
        <v>7.1676751000000001E-4</v>
      </c>
      <c r="D16" s="3">
        <v>5</v>
      </c>
      <c r="I16" s="13"/>
      <c r="J16" s="12">
        <f t="shared" si="0"/>
        <v>7.1676751000000001E-4</v>
      </c>
      <c r="K16" s="12"/>
      <c r="L16" s="12"/>
      <c r="M16" s="12"/>
      <c r="N16" s="12"/>
      <c r="O16" s="14"/>
    </row>
    <row r="17" spans="1:15" x14ac:dyDescent="0.2">
      <c r="A17" s="10"/>
      <c r="B17" s="11">
        <v>3</v>
      </c>
      <c r="C17" s="19">
        <f>CLB9806STK!F14</f>
        <v>4.8620659000000004E-3</v>
      </c>
      <c r="D17" s="3">
        <v>83</v>
      </c>
      <c r="I17" s="13"/>
      <c r="J17" s="12">
        <f t="shared" si="0"/>
        <v>4.8620659000000004E-3</v>
      </c>
      <c r="K17" s="12"/>
      <c r="L17" s="12"/>
      <c r="M17" s="12"/>
      <c r="N17" s="12"/>
      <c r="O17" s="14"/>
    </row>
    <row r="18" spans="1:15" x14ac:dyDescent="0.2">
      <c r="A18" s="10"/>
      <c r="B18" s="11">
        <v>4</v>
      </c>
      <c r="C18" s="19">
        <f>CLB9806STK!F15</f>
        <v>2.0276252E-3</v>
      </c>
      <c r="D18" s="3">
        <v>38</v>
      </c>
      <c r="I18" s="13"/>
      <c r="J18" s="12">
        <f t="shared" si="0"/>
        <v>2.0276252E-3</v>
      </c>
      <c r="K18" s="12"/>
      <c r="L18" s="12"/>
      <c r="M18" s="12"/>
      <c r="N18" s="12"/>
      <c r="O18" s="14"/>
    </row>
    <row r="19" spans="1:15" x14ac:dyDescent="0.2">
      <c r="A19" s="10"/>
      <c r="B19" s="11">
        <v>5</v>
      </c>
      <c r="C19" s="19">
        <f>CLB9806STK!F16</f>
        <v>2.2303546000000001E-3</v>
      </c>
      <c r="D19" s="3">
        <v>1</v>
      </c>
      <c r="I19" s="13"/>
      <c r="J19" s="12">
        <f t="shared" si="0"/>
        <v>2.2303546000000001E-3</v>
      </c>
      <c r="K19" s="12"/>
      <c r="L19" s="12"/>
      <c r="M19" s="12"/>
      <c r="N19" s="12"/>
      <c r="O19" s="14"/>
    </row>
    <row r="20" spans="1:15" x14ac:dyDescent="0.2">
      <c r="A20" s="10"/>
      <c r="B20" s="11"/>
      <c r="C20" s="19"/>
      <c r="D20" s="12"/>
      <c r="E20" s="12"/>
      <c r="F20" s="12"/>
      <c r="G20" s="12"/>
      <c r="H20" s="12"/>
      <c r="I20" s="13"/>
      <c r="J20" s="12"/>
      <c r="K20" s="12"/>
      <c r="L20" s="12"/>
      <c r="M20" s="12"/>
      <c r="N20" s="12"/>
      <c r="O20" s="14"/>
    </row>
    <row r="21" spans="1:15" x14ac:dyDescent="0.2">
      <c r="A21" s="10"/>
      <c r="B21" s="11"/>
      <c r="C21" s="19"/>
      <c r="D21" s="12"/>
      <c r="E21" s="12"/>
      <c r="F21" s="12"/>
      <c r="G21" s="12"/>
      <c r="H21" s="12"/>
      <c r="I21" s="13"/>
      <c r="J21" s="12"/>
      <c r="K21" s="12"/>
      <c r="L21" s="12"/>
      <c r="M21" s="12"/>
      <c r="N21" s="12"/>
      <c r="O21" s="14"/>
    </row>
    <row r="22" spans="1:15" x14ac:dyDescent="0.2">
      <c r="A22" s="10"/>
      <c r="B22" s="11"/>
      <c r="C22" s="19"/>
      <c r="D22" s="12"/>
      <c r="E22" s="12"/>
      <c r="F22" s="12"/>
      <c r="G22" s="12"/>
      <c r="H22" s="12"/>
      <c r="I22" s="13"/>
      <c r="J22" s="12"/>
      <c r="K22" s="12"/>
      <c r="L22" s="12"/>
      <c r="M22" s="12"/>
      <c r="N22" s="12"/>
      <c r="O22" s="14"/>
    </row>
    <row r="23" spans="1:15" x14ac:dyDescent="0.2">
      <c r="A23" s="10"/>
      <c r="B23" s="11"/>
      <c r="C23" s="19"/>
      <c r="D23" s="12"/>
      <c r="E23" s="12"/>
      <c r="F23" s="12"/>
      <c r="G23" s="12"/>
      <c r="H23" s="12"/>
      <c r="I23" s="13"/>
      <c r="J23" s="12"/>
      <c r="K23" s="12"/>
      <c r="L23" s="12"/>
      <c r="M23" s="12"/>
      <c r="N23" s="12"/>
      <c r="O23" s="14"/>
    </row>
    <row r="24" spans="1:15" x14ac:dyDescent="0.2">
      <c r="A24" s="10"/>
      <c r="B24" s="11"/>
      <c r="C24" s="19"/>
      <c r="D24" s="12"/>
      <c r="E24" s="12"/>
      <c r="F24" s="12"/>
      <c r="G24" s="12"/>
      <c r="H24" s="12"/>
      <c r="I24" s="13"/>
      <c r="J24" s="12"/>
      <c r="K24" s="12"/>
      <c r="L24" s="12"/>
      <c r="M24" s="12"/>
      <c r="N24" s="12"/>
      <c r="O24" s="14"/>
    </row>
    <row r="25" spans="1:15" x14ac:dyDescent="0.2">
      <c r="A25" s="10"/>
      <c r="B25" s="11"/>
      <c r="C25" s="19"/>
      <c r="D25" s="12"/>
      <c r="E25" s="12"/>
      <c r="F25" s="12"/>
      <c r="G25" s="12"/>
      <c r="H25" s="12"/>
      <c r="I25" s="13"/>
      <c r="J25" s="12"/>
      <c r="K25" s="12"/>
      <c r="L25" s="12"/>
      <c r="M25" s="12"/>
      <c r="N25" s="12"/>
      <c r="O25" s="14"/>
    </row>
    <row r="26" spans="1:15" x14ac:dyDescent="0.2">
      <c r="A26" s="10"/>
      <c r="B26" s="11"/>
      <c r="C26" s="19"/>
      <c r="D26" s="12"/>
      <c r="E26" s="12"/>
      <c r="F26" s="12"/>
      <c r="G26" s="12"/>
      <c r="H26" s="12"/>
      <c r="I26" s="13"/>
      <c r="J26" s="12"/>
      <c r="K26" s="12"/>
      <c r="L26" s="12"/>
      <c r="M26" s="12"/>
      <c r="N26" s="12"/>
      <c r="O26" s="14"/>
    </row>
    <row r="27" spans="1:15" x14ac:dyDescent="0.2">
      <c r="A27" s="10"/>
      <c r="B27" s="11"/>
      <c r="C27" s="19"/>
      <c r="D27" s="12"/>
      <c r="E27" s="12"/>
      <c r="F27" s="12"/>
      <c r="G27" s="12"/>
      <c r="H27" s="12"/>
      <c r="I27" s="13"/>
      <c r="J27" s="12"/>
      <c r="K27" s="12"/>
      <c r="L27" s="12"/>
      <c r="M27" s="12"/>
      <c r="N27" s="12"/>
      <c r="O27" s="14"/>
    </row>
    <row r="28" spans="1:15" x14ac:dyDescent="0.2">
      <c r="A28" s="10"/>
      <c r="B28" s="11"/>
      <c r="C28" s="19"/>
      <c r="D28" s="12"/>
      <c r="E28" s="12"/>
      <c r="F28" s="12"/>
      <c r="G28" s="12"/>
      <c r="H28" s="12"/>
      <c r="I28" s="13"/>
      <c r="J28" s="12"/>
      <c r="K28" s="12"/>
      <c r="L28" s="12"/>
      <c r="M28" s="12"/>
      <c r="N28" s="12"/>
      <c r="O28" s="14"/>
    </row>
    <row r="29" spans="1:15" x14ac:dyDescent="0.2">
      <c r="A29" s="10"/>
      <c r="B29" s="11"/>
      <c r="C29" s="19"/>
      <c r="D29" s="12"/>
      <c r="E29" s="12"/>
      <c r="F29" s="12"/>
      <c r="G29" s="12"/>
      <c r="H29" s="12"/>
      <c r="I29" s="13"/>
      <c r="J29" s="12"/>
      <c r="K29" s="12"/>
      <c r="L29" s="12"/>
      <c r="M29" s="12"/>
      <c r="N29" s="12"/>
      <c r="O29" s="14"/>
    </row>
    <row r="30" spans="1:15" x14ac:dyDescent="0.2">
      <c r="A30" s="10"/>
      <c r="B30" s="11"/>
      <c r="C30" s="19"/>
      <c r="D30" s="12"/>
      <c r="E30" s="12"/>
      <c r="F30" s="12"/>
      <c r="G30" s="12"/>
      <c r="H30" s="12"/>
      <c r="I30" s="13"/>
      <c r="J30" s="12"/>
      <c r="K30" s="12"/>
      <c r="L30" s="12"/>
      <c r="M30" s="12"/>
      <c r="N30" s="12"/>
      <c r="O30" s="14"/>
    </row>
    <row r="31" spans="1:15" x14ac:dyDescent="0.2">
      <c r="A31" s="10"/>
      <c r="B31" s="11"/>
      <c r="C31" s="19"/>
      <c r="D31" s="12"/>
      <c r="E31" s="12"/>
      <c r="F31" s="12"/>
      <c r="G31" s="12"/>
      <c r="H31" s="12"/>
      <c r="I31" s="13"/>
      <c r="J31" s="12"/>
      <c r="K31" s="12"/>
      <c r="L31" s="12"/>
      <c r="M31" s="12"/>
      <c r="N31" s="12"/>
      <c r="O31" s="14"/>
    </row>
    <row r="32" spans="1:15" x14ac:dyDescent="0.2">
      <c r="A32" s="10"/>
      <c r="B32" s="11"/>
      <c r="C32" s="19"/>
      <c r="D32" s="12"/>
      <c r="E32" s="12"/>
      <c r="F32" s="12"/>
      <c r="G32" s="12"/>
      <c r="H32" s="12"/>
      <c r="I32" s="13"/>
      <c r="J32" s="12"/>
      <c r="K32" s="12"/>
      <c r="L32" s="12"/>
      <c r="M32" s="12"/>
      <c r="N32" s="12"/>
      <c r="O32" s="14"/>
    </row>
    <row r="33" spans="1:15" x14ac:dyDescent="0.2">
      <c r="A33" s="10"/>
      <c r="B33" s="11"/>
      <c r="C33" s="19"/>
      <c r="D33" s="12"/>
      <c r="E33" s="12"/>
      <c r="F33" s="12"/>
      <c r="G33" s="12"/>
      <c r="H33" s="12"/>
      <c r="I33" s="13"/>
      <c r="J33" s="12"/>
      <c r="K33" s="12"/>
      <c r="L33" s="12"/>
      <c r="M33" s="12"/>
      <c r="N33" s="12"/>
      <c r="O33" s="14"/>
    </row>
    <row r="34" spans="1:15" x14ac:dyDescent="0.2">
      <c r="A34" s="10"/>
      <c r="B34" s="11"/>
      <c r="C34" s="19"/>
      <c r="D34" s="12"/>
      <c r="E34" s="12"/>
      <c r="F34" s="12"/>
      <c r="G34" s="12"/>
      <c r="H34" s="12"/>
      <c r="I34" s="13"/>
      <c r="J34" s="12"/>
      <c r="K34" s="12"/>
      <c r="L34" s="12"/>
      <c r="M34" s="12"/>
      <c r="N34" s="12"/>
      <c r="O34" s="14"/>
    </row>
    <row r="35" spans="1:15" x14ac:dyDescent="0.2">
      <c r="A35" s="10"/>
      <c r="B35" s="11"/>
      <c r="C35" s="19"/>
      <c r="D35" s="12"/>
      <c r="E35" s="12"/>
      <c r="F35" s="12"/>
      <c r="G35" s="12"/>
      <c r="H35" s="12"/>
      <c r="I35" s="13"/>
      <c r="J35" s="12"/>
      <c r="K35" s="12"/>
      <c r="L35" s="12"/>
      <c r="M35" s="12"/>
      <c r="N35" s="12"/>
      <c r="O35" s="14"/>
    </row>
    <row r="36" spans="1:15" x14ac:dyDescent="0.2">
      <c r="A36" s="10"/>
      <c r="B36" s="11"/>
      <c r="C36" s="19"/>
      <c r="D36" s="12"/>
      <c r="E36" s="12"/>
      <c r="F36" s="12"/>
      <c r="G36" s="12"/>
      <c r="H36" s="12"/>
      <c r="I36" s="13"/>
      <c r="J36" s="12"/>
      <c r="K36" s="12"/>
      <c r="L36" s="12"/>
      <c r="M36" s="12"/>
      <c r="N36" s="12"/>
      <c r="O36" s="14"/>
    </row>
    <row r="37" spans="1:15" x14ac:dyDescent="0.2">
      <c r="A37" s="10"/>
      <c r="B37" s="11"/>
      <c r="C37" s="19"/>
      <c r="D37" s="12"/>
      <c r="E37" s="12"/>
      <c r="F37" s="12"/>
      <c r="G37" s="12"/>
      <c r="H37" s="12"/>
      <c r="I37" s="13"/>
      <c r="J37" s="12"/>
      <c r="K37" s="12"/>
      <c r="L37" s="12"/>
      <c r="M37" s="12"/>
      <c r="N37" s="12"/>
      <c r="O37" s="14"/>
    </row>
    <row r="38" spans="1:15" x14ac:dyDescent="0.2">
      <c r="A38" s="10"/>
      <c r="B38" s="11"/>
      <c r="C38" s="19"/>
      <c r="D38" s="12"/>
      <c r="E38" s="12"/>
      <c r="F38" s="12"/>
      <c r="G38" s="12"/>
      <c r="H38" s="12"/>
      <c r="I38" s="13"/>
      <c r="J38" s="12"/>
      <c r="K38" s="12"/>
      <c r="L38" s="12"/>
      <c r="M38" s="12"/>
      <c r="N38" s="12"/>
      <c r="O38" s="14"/>
    </row>
    <row r="39" spans="1:15" x14ac:dyDescent="0.2">
      <c r="A39" s="10"/>
      <c r="B39" s="11"/>
      <c r="C39" s="19"/>
      <c r="D39" s="12"/>
      <c r="E39" s="12"/>
      <c r="F39" s="12"/>
      <c r="G39" s="12"/>
      <c r="H39" s="12"/>
      <c r="I39" s="13"/>
      <c r="J39" s="12"/>
      <c r="K39" s="12"/>
      <c r="L39" s="12"/>
      <c r="M39" s="12"/>
      <c r="N39" s="12"/>
      <c r="O39" s="14"/>
    </row>
    <row r="40" spans="1:15" x14ac:dyDescent="0.2">
      <c r="A40" s="10"/>
      <c r="B40" s="11"/>
      <c r="C40" s="19"/>
      <c r="D40" s="12"/>
      <c r="E40" s="12"/>
      <c r="F40" s="12"/>
      <c r="G40" s="12"/>
      <c r="H40" s="12"/>
      <c r="I40" s="13"/>
      <c r="J40" s="12"/>
      <c r="K40" s="12"/>
      <c r="L40" s="12"/>
      <c r="M40" s="12"/>
      <c r="N40" s="12"/>
      <c r="O40" s="14"/>
    </row>
    <row r="41" spans="1:15" x14ac:dyDescent="0.2">
      <c r="A41" s="10"/>
      <c r="B41" s="11"/>
      <c r="C41" s="19"/>
      <c r="D41" s="12"/>
      <c r="E41" s="12"/>
      <c r="F41" s="12"/>
      <c r="G41" s="12"/>
      <c r="H41" s="12"/>
      <c r="I41" s="13"/>
      <c r="J41" s="12"/>
      <c r="K41" s="12"/>
      <c r="L41" s="12"/>
      <c r="M41" s="12"/>
      <c r="N41" s="12"/>
      <c r="O41" s="14"/>
    </row>
    <row r="42" spans="1:15" x14ac:dyDescent="0.2">
      <c r="A42" s="10"/>
      <c r="B42" s="11"/>
      <c r="C42" s="19"/>
      <c r="D42" s="12"/>
      <c r="E42" s="12"/>
      <c r="F42" s="12"/>
      <c r="G42" s="12"/>
      <c r="H42" s="12"/>
      <c r="I42" s="13"/>
      <c r="J42" s="12"/>
      <c r="K42" s="12"/>
      <c r="L42" s="12"/>
      <c r="M42" s="12"/>
      <c r="N42" s="12"/>
      <c r="O42" s="14"/>
    </row>
    <row r="43" spans="1:15" x14ac:dyDescent="0.2">
      <c r="A43" s="10"/>
      <c r="B43" s="11"/>
      <c r="C43" s="19"/>
      <c r="D43" s="12"/>
      <c r="E43" s="12"/>
      <c r="F43" s="12"/>
      <c r="G43" s="12"/>
      <c r="H43" s="12"/>
      <c r="I43" s="13"/>
      <c r="J43" s="12"/>
      <c r="K43" s="12"/>
      <c r="L43" s="12"/>
      <c r="M43" s="12"/>
      <c r="N43" s="12"/>
      <c r="O43" s="14"/>
    </row>
    <row r="44" spans="1:15" x14ac:dyDescent="0.2">
      <c r="A44" s="10"/>
      <c r="B44" s="11"/>
      <c r="C44" s="19"/>
      <c r="D44" s="12"/>
      <c r="E44" s="12"/>
      <c r="F44" s="12"/>
      <c r="G44" s="12"/>
      <c r="H44" s="12"/>
      <c r="I44" s="13"/>
      <c r="J44" s="12"/>
      <c r="K44" s="12"/>
      <c r="L44" s="12"/>
      <c r="M44" s="12"/>
      <c r="N44" s="12"/>
      <c r="O44" s="14"/>
    </row>
    <row r="45" spans="1:15" x14ac:dyDescent="0.2">
      <c r="A45" s="10"/>
      <c r="B45" s="11"/>
      <c r="C45" s="19"/>
      <c r="D45" s="12"/>
      <c r="E45" s="12"/>
      <c r="F45" s="12"/>
      <c r="G45" s="12"/>
      <c r="H45" s="12"/>
      <c r="I45" s="13"/>
      <c r="J45" s="12"/>
      <c r="K45" s="12"/>
      <c r="L45" s="12"/>
      <c r="M45" s="12"/>
      <c r="N45" s="12"/>
      <c r="O45" s="14"/>
    </row>
    <row r="46" spans="1:15" x14ac:dyDescent="0.2">
      <c r="A46" s="10"/>
      <c r="B46" s="11"/>
      <c r="C46" s="19"/>
      <c r="D46" s="12"/>
      <c r="E46" s="12"/>
      <c r="F46" s="12"/>
      <c r="G46" s="12"/>
      <c r="H46" s="12"/>
      <c r="I46" s="13"/>
      <c r="J46" s="12"/>
      <c r="K46" s="12"/>
      <c r="L46" s="12"/>
      <c r="M46" s="12"/>
      <c r="N46" s="12"/>
      <c r="O46" s="14"/>
    </row>
    <row r="47" spans="1:15" x14ac:dyDescent="0.2">
      <c r="A47" s="10"/>
      <c r="B47" s="11"/>
      <c r="C47" s="19"/>
      <c r="D47" s="12"/>
      <c r="E47" s="12"/>
      <c r="F47" s="12"/>
      <c r="G47" s="12"/>
      <c r="H47" s="12"/>
      <c r="I47" s="13"/>
      <c r="J47" s="12"/>
      <c r="K47" s="12"/>
      <c r="L47" s="12"/>
      <c r="M47" s="12"/>
      <c r="N47" s="12"/>
      <c r="O47" s="14"/>
    </row>
    <row r="48" spans="1:15" x14ac:dyDescent="0.2">
      <c r="A48" s="10"/>
      <c r="B48" s="11"/>
      <c r="C48" s="19"/>
      <c r="D48" s="12"/>
      <c r="E48" s="12"/>
      <c r="F48" s="12"/>
      <c r="G48" s="12"/>
      <c r="H48" s="12"/>
      <c r="I48" s="13"/>
      <c r="J48" s="12"/>
      <c r="K48" s="12"/>
      <c r="L48" s="12"/>
      <c r="M48" s="12"/>
      <c r="N48" s="12"/>
      <c r="O48" s="14"/>
    </row>
    <row r="49" spans="1:15" x14ac:dyDescent="0.2">
      <c r="A49" s="10"/>
      <c r="B49" s="11"/>
      <c r="C49" s="19"/>
      <c r="D49" s="12"/>
      <c r="E49" s="12"/>
      <c r="F49" s="12"/>
      <c r="G49" s="12"/>
      <c r="H49" s="12"/>
      <c r="I49" s="13"/>
      <c r="J49" s="12"/>
      <c r="K49" s="12"/>
      <c r="L49" s="12"/>
      <c r="M49" s="12"/>
      <c r="N49" s="12"/>
      <c r="O49" s="14"/>
    </row>
    <row r="50" spans="1:15" x14ac:dyDescent="0.2">
      <c r="A50" s="10"/>
      <c r="B50" s="11"/>
      <c r="C50" s="19"/>
      <c r="D50" s="12"/>
      <c r="E50" s="12"/>
      <c r="F50" s="12"/>
      <c r="G50" s="12"/>
      <c r="H50" s="12"/>
      <c r="I50" s="13"/>
      <c r="J50" s="12"/>
      <c r="K50" s="12"/>
      <c r="L50" s="12"/>
      <c r="M50" s="12"/>
      <c r="N50" s="12"/>
      <c r="O50" s="14"/>
    </row>
    <row r="51" spans="1:15" x14ac:dyDescent="0.2">
      <c r="A51" s="10"/>
      <c r="B51" s="11"/>
      <c r="C51" s="19"/>
      <c r="D51" s="12"/>
      <c r="E51" s="12"/>
      <c r="F51" s="12"/>
      <c r="G51" s="12"/>
      <c r="H51" s="12"/>
      <c r="I51" s="13"/>
      <c r="J51" s="12"/>
      <c r="K51" s="12"/>
      <c r="L51" s="12"/>
      <c r="M51" s="12"/>
      <c r="N51" s="12"/>
      <c r="O51" s="14"/>
    </row>
    <row r="52" spans="1:15" x14ac:dyDescent="0.2">
      <c r="A52" s="10"/>
      <c r="B52" s="11"/>
      <c r="C52" s="19"/>
      <c r="D52" s="12"/>
      <c r="E52" s="12"/>
      <c r="F52" s="12"/>
      <c r="G52" s="12"/>
      <c r="H52" s="12"/>
      <c r="I52" s="13"/>
      <c r="J52" s="12"/>
      <c r="K52" s="12"/>
      <c r="L52" s="12"/>
      <c r="M52" s="12"/>
      <c r="N52" s="12"/>
      <c r="O52" s="14"/>
    </row>
    <row r="53" spans="1:15" x14ac:dyDescent="0.2">
      <c r="A53" s="10"/>
      <c r="B53" s="11"/>
      <c r="C53" s="19"/>
      <c r="D53" s="12"/>
      <c r="E53" s="12"/>
      <c r="F53" s="12"/>
      <c r="G53" s="12"/>
      <c r="H53" s="12"/>
      <c r="I53" s="13"/>
      <c r="J53" s="12"/>
      <c r="K53" s="12"/>
      <c r="L53" s="12"/>
      <c r="M53" s="12"/>
      <c r="N53" s="12"/>
      <c r="O53" s="14"/>
    </row>
    <row r="54" spans="1:15" x14ac:dyDescent="0.2">
      <c r="A54" s="10"/>
      <c r="B54" s="11"/>
      <c r="C54" s="19"/>
      <c r="D54" s="12"/>
      <c r="E54" s="12"/>
      <c r="F54" s="12"/>
      <c r="G54" s="12"/>
      <c r="H54" s="12"/>
      <c r="I54" s="13"/>
      <c r="J54" s="12"/>
      <c r="K54" s="12"/>
      <c r="L54" s="12"/>
      <c r="M54" s="12"/>
      <c r="N54" s="12"/>
      <c r="O54" s="14"/>
    </row>
    <row r="55" spans="1:15" x14ac:dyDescent="0.2">
      <c r="A55" s="10"/>
      <c r="B55" s="11"/>
      <c r="C55" s="19"/>
      <c r="D55" s="12"/>
      <c r="E55" s="12"/>
      <c r="F55" s="12"/>
      <c r="G55" s="12"/>
      <c r="H55" s="12"/>
      <c r="I55" s="13"/>
      <c r="J55" s="12"/>
      <c r="K55" s="12"/>
      <c r="L55" s="12"/>
      <c r="M55" s="12"/>
      <c r="N55" s="12"/>
      <c r="O55" s="14"/>
    </row>
    <row r="56" spans="1:15" x14ac:dyDescent="0.2">
      <c r="A56" s="10"/>
      <c r="B56" s="11"/>
      <c r="C56" s="19"/>
      <c r="D56" s="12"/>
      <c r="E56" s="12"/>
      <c r="F56" s="12"/>
      <c r="G56" s="12"/>
      <c r="H56" s="12"/>
      <c r="I56" s="13"/>
      <c r="J56" s="12"/>
      <c r="K56" s="12"/>
      <c r="L56" s="12"/>
      <c r="M56" s="12"/>
      <c r="N56" s="12"/>
      <c r="O56" s="14"/>
    </row>
    <row r="57" spans="1:15" x14ac:dyDescent="0.2">
      <c r="A57" s="10"/>
      <c r="B57" s="11"/>
      <c r="C57" s="19"/>
      <c r="D57" s="12"/>
      <c r="E57" s="12"/>
      <c r="F57" s="12"/>
      <c r="G57" s="12"/>
      <c r="H57" s="12"/>
      <c r="I57" s="13"/>
      <c r="J57" s="12"/>
      <c r="K57" s="12"/>
      <c r="L57" s="12"/>
      <c r="M57" s="12"/>
      <c r="N57" s="12"/>
      <c r="O57" s="14"/>
    </row>
    <row r="58" spans="1:15" x14ac:dyDescent="0.2">
      <c r="A58" s="10"/>
      <c r="B58" s="11"/>
      <c r="C58" s="19"/>
      <c r="D58" s="12"/>
      <c r="E58" s="12"/>
      <c r="F58" s="12"/>
      <c r="G58" s="12"/>
      <c r="H58" s="12"/>
      <c r="I58" s="13"/>
      <c r="J58" s="12"/>
      <c r="K58" s="12"/>
      <c r="L58" s="12"/>
      <c r="M58" s="12"/>
      <c r="N58" s="12"/>
      <c r="O58" s="14"/>
    </row>
    <row r="59" spans="1:15" x14ac:dyDescent="0.2">
      <c r="A59" s="10"/>
      <c r="B59" s="11"/>
      <c r="C59" s="19"/>
      <c r="D59" s="12"/>
      <c r="E59" s="12"/>
      <c r="F59" s="12"/>
      <c r="G59" s="12"/>
      <c r="H59" s="12"/>
      <c r="I59" s="13"/>
      <c r="J59" s="12"/>
      <c r="K59" s="12"/>
      <c r="L59" s="12"/>
      <c r="M59" s="12"/>
      <c r="N59" s="12"/>
      <c r="O59" s="14"/>
    </row>
    <row r="60" spans="1:15" x14ac:dyDescent="0.2">
      <c r="A60" s="10"/>
      <c r="B60" s="11"/>
      <c r="C60" s="19"/>
      <c r="D60" s="12"/>
      <c r="E60" s="12"/>
      <c r="F60" s="12"/>
      <c r="G60" s="12"/>
      <c r="H60" s="12"/>
      <c r="I60" s="13"/>
      <c r="J60" s="12"/>
      <c r="K60" s="12"/>
      <c r="L60" s="12"/>
      <c r="M60" s="12"/>
      <c r="N60" s="12"/>
      <c r="O60" s="14"/>
    </row>
    <row r="61" spans="1:15" x14ac:dyDescent="0.2">
      <c r="A61" s="10"/>
      <c r="B61" s="11"/>
      <c r="C61" s="19"/>
      <c r="D61" s="12"/>
      <c r="E61" s="12"/>
      <c r="F61" s="12"/>
      <c r="G61" s="12"/>
      <c r="H61" s="12"/>
      <c r="I61" s="13"/>
      <c r="J61" s="12"/>
      <c r="K61" s="12"/>
      <c r="L61" s="12"/>
      <c r="M61" s="12"/>
      <c r="N61" s="12"/>
      <c r="O61" s="14"/>
    </row>
    <row r="62" spans="1:15" x14ac:dyDescent="0.2">
      <c r="A62" s="10"/>
      <c r="B62" s="11"/>
      <c r="C62" s="19"/>
      <c r="D62" s="12"/>
      <c r="E62" s="12"/>
      <c r="F62" s="12"/>
      <c r="G62" s="12"/>
      <c r="H62" s="12"/>
      <c r="I62" s="13"/>
      <c r="J62" s="12"/>
      <c r="K62" s="12"/>
      <c r="L62" s="12"/>
      <c r="M62" s="12"/>
      <c r="N62" s="12"/>
      <c r="O62" s="14"/>
    </row>
    <row r="63" spans="1:15" x14ac:dyDescent="0.2">
      <c r="A63" s="10"/>
      <c r="B63" s="11"/>
      <c r="C63" s="19"/>
      <c r="D63" s="12"/>
      <c r="E63" s="12"/>
      <c r="F63" s="12"/>
      <c r="G63" s="12"/>
      <c r="H63" s="12"/>
      <c r="I63" s="13"/>
      <c r="J63" s="12"/>
      <c r="K63" s="12"/>
      <c r="L63" s="12"/>
      <c r="M63" s="12"/>
      <c r="N63" s="12"/>
      <c r="O63" s="14"/>
    </row>
    <row r="64" spans="1:15" x14ac:dyDescent="0.2">
      <c r="A64" s="10"/>
      <c r="B64" s="11"/>
      <c r="C64" s="19"/>
      <c r="D64" s="12"/>
      <c r="E64" s="12"/>
      <c r="F64" s="12"/>
      <c r="G64" s="12"/>
      <c r="H64" s="12"/>
      <c r="I64" s="13"/>
      <c r="J64" s="12"/>
      <c r="K64" s="12"/>
      <c r="L64" s="12"/>
      <c r="M64" s="12"/>
      <c r="N64" s="12"/>
      <c r="O64" s="14"/>
    </row>
    <row r="65" spans="1:15" x14ac:dyDescent="0.2">
      <c r="A65" s="10"/>
      <c r="B65" s="11"/>
      <c r="C65" s="19"/>
      <c r="D65" s="12"/>
      <c r="E65" s="12"/>
      <c r="F65" s="12"/>
      <c r="G65" s="12"/>
      <c r="H65" s="12"/>
      <c r="I65" s="13"/>
      <c r="J65" s="12"/>
      <c r="K65" s="12"/>
      <c r="L65" s="12"/>
      <c r="M65" s="12"/>
      <c r="N65" s="12"/>
      <c r="O65" s="14"/>
    </row>
    <row r="66" spans="1:15" x14ac:dyDescent="0.2">
      <c r="A66" s="10"/>
      <c r="B66" s="11"/>
      <c r="C66" s="19"/>
      <c r="D66" s="12"/>
      <c r="E66" s="12"/>
      <c r="F66" s="12"/>
      <c r="G66" s="12"/>
      <c r="H66" s="12"/>
      <c r="I66" s="13"/>
      <c r="J66" s="12"/>
      <c r="K66" s="12"/>
      <c r="L66" s="12"/>
      <c r="M66" s="12"/>
      <c r="N66" s="12"/>
      <c r="O66" s="14"/>
    </row>
    <row r="67" spans="1:15" x14ac:dyDescent="0.2">
      <c r="A67" s="10"/>
      <c r="B67" s="11"/>
      <c r="C67" s="19"/>
      <c r="D67" s="12"/>
      <c r="E67" s="12"/>
      <c r="F67" s="12"/>
      <c r="G67" s="12"/>
      <c r="H67" s="12"/>
      <c r="I67" s="13"/>
      <c r="J67" s="12"/>
      <c r="K67" s="12"/>
      <c r="L67" s="12"/>
      <c r="M67" s="12"/>
      <c r="N67" s="12"/>
      <c r="O67" s="14"/>
    </row>
    <row r="68" spans="1:15" x14ac:dyDescent="0.2">
      <c r="A68" s="10"/>
      <c r="B68" s="11"/>
      <c r="C68" s="19"/>
      <c r="D68" s="12"/>
      <c r="E68" s="12"/>
      <c r="F68" s="12"/>
      <c r="G68" s="12"/>
      <c r="H68" s="12"/>
      <c r="I68" s="13"/>
      <c r="J68" s="12"/>
      <c r="K68" s="12"/>
      <c r="L68" s="12"/>
      <c r="M68" s="12"/>
      <c r="N68" s="12"/>
      <c r="O68" s="14"/>
    </row>
    <row r="69" spans="1:15" x14ac:dyDescent="0.2">
      <c r="A69" s="10"/>
      <c r="B69" s="11"/>
      <c r="C69" s="19"/>
      <c r="D69" s="12"/>
      <c r="E69" s="12"/>
      <c r="F69" s="12"/>
      <c r="G69" s="12"/>
      <c r="H69" s="12"/>
      <c r="I69" s="13"/>
      <c r="J69" s="12"/>
      <c r="K69" s="12"/>
      <c r="L69" s="12"/>
      <c r="M69" s="12"/>
      <c r="N69" s="12"/>
      <c r="O69" s="14"/>
    </row>
    <row r="70" spans="1:15" x14ac:dyDescent="0.2">
      <c r="A70" s="10"/>
      <c r="B70" s="11"/>
      <c r="C70" s="19"/>
      <c r="D70" s="12"/>
      <c r="E70" s="12"/>
      <c r="F70" s="12"/>
      <c r="G70" s="12"/>
      <c r="H70" s="12"/>
      <c r="I70" s="13"/>
      <c r="J70" s="12"/>
      <c r="K70" s="12"/>
      <c r="L70" s="12"/>
      <c r="M70" s="12"/>
      <c r="N70" s="12"/>
      <c r="O70" s="14"/>
    </row>
    <row r="71" spans="1:15" x14ac:dyDescent="0.2">
      <c r="A71" s="10"/>
      <c r="B71" s="11"/>
      <c r="C71" s="19"/>
      <c r="D71" s="12"/>
      <c r="E71" s="12"/>
      <c r="F71" s="12"/>
      <c r="G71" s="12"/>
      <c r="H71" s="12"/>
      <c r="I71" s="13"/>
      <c r="J71" s="12"/>
      <c r="K71" s="12"/>
      <c r="L71" s="12"/>
      <c r="M71" s="12"/>
      <c r="N71" s="12"/>
      <c r="O71" s="14"/>
    </row>
    <row r="72" spans="1:15" x14ac:dyDescent="0.2">
      <c r="A72" s="10"/>
      <c r="B72" s="11"/>
      <c r="C72" s="19"/>
      <c r="D72" s="12"/>
      <c r="E72" s="12"/>
      <c r="F72" s="12"/>
      <c r="G72" s="12"/>
      <c r="H72" s="12"/>
      <c r="I72" s="13"/>
      <c r="J72" s="12"/>
      <c r="K72" s="12"/>
      <c r="L72" s="12"/>
      <c r="M72" s="12"/>
      <c r="N72" s="12"/>
      <c r="O72" s="14"/>
    </row>
    <row r="73" spans="1:15" x14ac:dyDescent="0.2">
      <c r="A73" s="10"/>
      <c r="B73" s="11"/>
      <c r="C73" s="19"/>
      <c r="D73" s="12"/>
      <c r="E73" s="12"/>
      <c r="F73" s="12"/>
      <c r="G73" s="12"/>
      <c r="H73" s="12"/>
      <c r="I73" s="13"/>
      <c r="J73" s="12"/>
      <c r="K73" s="12"/>
      <c r="L73" s="12"/>
      <c r="M73" s="12"/>
      <c r="N73" s="12"/>
      <c r="O73" s="14"/>
    </row>
    <row r="74" spans="1:15" x14ac:dyDescent="0.2">
      <c r="A74" s="10"/>
      <c r="B74" s="11"/>
      <c r="C74" s="19"/>
      <c r="D74" s="12"/>
      <c r="E74" s="12"/>
      <c r="F74" s="12"/>
      <c r="G74" s="12"/>
      <c r="H74" s="12"/>
      <c r="I74" s="13"/>
      <c r="J74" s="12"/>
      <c r="K74" s="12"/>
      <c r="L74" s="12"/>
      <c r="M74" s="12"/>
      <c r="N74" s="12"/>
      <c r="O74" s="14"/>
    </row>
    <row r="75" spans="1:15" x14ac:dyDescent="0.2">
      <c r="A75" s="10"/>
      <c r="B75" s="11"/>
      <c r="C75" s="19"/>
      <c r="D75" s="12"/>
      <c r="E75" s="12"/>
      <c r="F75" s="12"/>
      <c r="G75" s="12"/>
      <c r="H75" s="12"/>
      <c r="I75" s="13"/>
      <c r="J75" s="12"/>
      <c r="K75" s="12"/>
      <c r="L75" s="12"/>
      <c r="M75" s="12"/>
      <c r="N75" s="12"/>
      <c r="O75" s="14"/>
    </row>
    <row r="76" spans="1:15" x14ac:dyDescent="0.2">
      <c r="A76" s="10"/>
      <c r="B76" s="11"/>
      <c r="C76" s="19"/>
      <c r="D76" s="12"/>
      <c r="E76" s="12"/>
      <c r="F76" s="12"/>
      <c r="G76" s="12"/>
      <c r="H76" s="12"/>
      <c r="I76" s="13"/>
      <c r="J76" s="12"/>
      <c r="K76" s="12"/>
      <c r="L76" s="12"/>
      <c r="M76" s="12"/>
      <c r="N76" s="12"/>
      <c r="O76" s="14"/>
    </row>
    <row r="77" spans="1:15" x14ac:dyDescent="0.2">
      <c r="A77" s="10"/>
      <c r="B77" s="11"/>
      <c r="C77" s="19"/>
      <c r="D77" s="12"/>
      <c r="E77" s="12"/>
      <c r="F77" s="12"/>
      <c r="G77" s="12"/>
      <c r="H77" s="12"/>
      <c r="I77" s="13"/>
      <c r="J77" s="12"/>
      <c r="K77" s="12"/>
      <c r="L77" s="12"/>
      <c r="M77" s="12"/>
      <c r="N77" s="12"/>
      <c r="O77" s="14"/>
    </row>
    <row r="78" spans="1:15" x14ac:dyDescent="0.2">
      <c r="A78" s="10"/>
      <c r="B78" s="11"/>
      <c r="C78" s="19"/>
      <c r="D78" s="12"/>
      <c r="E78" s="12"/>
      <c r="F78" s="12"/>
      <c r="G78" s="12"/>
      <c r="H78" s="12"/>
      <c r="I78" s="13"/>
      <c r="J78" s="12"/>
      <c r="K78" s="12"/>
      <c r="L78" s="12"/>
      <c r="M78" s="12"/>
      <c r="N78" s="12"/>
      <c r="O78" s="14"/>
    </row>
    <row r="79" spans="1:15" x14ac:dyDescent="0.2">
      <c r="A79" s="10"/>
      <c r="B79" s="11"/>
      <c r="C79" s="19"/>
      <c r="D79" s="12"/>
      <c r="E79" s="12"/>
      <c r="F79" s="12"/>
      <c r="G79" s="12"/>
      <c r="H79" s="12"/>
      <c r="I79" s="13"/>
      <c r="J79" s="12"/>
      <c r="K79" s="12"/>
      <c r="L79" s="12"/>
      <c r="M79" s="12"/>
      <c r="N79" s="12"/>
      <c r="O79" s="14"/>
    </row>
    <row r="80" spans="1:15" x14ac:dyDescent="0.2">
      <c r="A80" s="10"/>
      <c r="B80" s="11"/>
      <c r="C80" s="19"/>
      <c r="D80" s="12"/>
      <c r="E80" s="12"/>
      <c r="F80" s="12"/>
      <c r="G80" s="12"/>
      <c r="H80" s="12"/>
      <c r="I80" s="13"/>
      <c r="J80" s="12"/>
      <c r="K80" s="12"/>
      <c r="L80" s="12"/>
      <c r="M80" s="12"/>
      <c r="N80" s="12"/>
      <c r="O80" s="14"/>
    </row>
    <row r="81" spans="1:15" x14ac:dyDescent="0.2">
      <c r="A81" s="10"/>
      <c r="B81" s="11"/>
      <c r="C81" s="19"/>
      <c r="D81" s="12"/>
      <c r="E81" s="12"/>
      <c r="F81" s="12"/>
      <c r="G81" s="12"/>
      <c r="H81" s="12"/>
      <c r="I81" s="13"/>
      <c r="J81" s="12"/>
      <c r="K81" s="12"/>
      <c r="L81" s="12"/>
      <c r="M81" s="12"/>
      <c r="N81" s="12"/>
      <c r="O81" s="14"/>
    </row>
    <row r="82" spans="1:15" x14ac:dyDescent="0.2">
      <c r="A82" s="10"/>
      <c r="B82" s="11"/>
      <c r="C82" s="19"/>
      <c r="D82" s="12"/>
      <c r="E82" s="12"/>
      <c r="F82" s="12"/>
      <c r="G82" s="12"/>
      <c r="H82" s="12"/>
      <c r="I82" s="13"/>
      <c r="J82" s="12"/>
      <c r="K82" s="12"/>
      <c r="L82" s="12"/>
      <c r="M82" s="12"/>
      <c r="N82" s="12"/>
      <c r="O82" s="14"/>
    </row>
    <row r="83" spans="1:15" x14ac:dyDescent="0.2">
      <c r="A83" s="10"/>
      <c r="B83" s="11"/>
      <c r="C83" s="19"/>
      <c r="D83" s="12"/>
      <c r="E83" s="12"/>
      <c r="F83" s="12"/>
      <c r="G83" s="12"/>
      <c r="H83" s="12"/>
      <c r="I83" s="13"/>
      <c r="J83" s="12"/>
      <c r="K83" s="12"/>
      <c r="L83" s="12"/>
      <c r="M83" s="12"/>
      <c r="N83" s="12"/>
      <c r="O83" s="14"/>
    </row>
    <row r="84" spans="1:15" x14ac:dyDescent="0.2">
      <c r="A84" s="10"/>
      <c r="B84" s="11"/>
      <c r="C84" s="19"/>
      <c r="D84" s="12"/>
      <c r="E84" s="12"/>
      <c r="F84" s="12"/>
      <c r="G84" s="12"/>
      <c r="H84" s="12"/>
      <c r="I84" s="13"/>
      <c r="J84" s="12"/>
      <c r="K84" s="12"/>
      <c r="L84" s="12"/>
      <c r="M84" s="12"/>
      <c r="N84" s="12"/>
      <c r="O84" s="14"/>
    </row>
    <row r="85" spans="1:15" x14ac:dyDescent="0.2">
      <c r="A85" s="10"/>
      <c r="B85" s="11"/>
      <c r="C85" s="19"/>
      <c r="D85" s="12"/>
      <c r="E85" s="12"/>
      <c r="F85" s="12"/>
      <c r="G85" s="12"/>
      <c r="H85" s="12"/>
      <c r="I85" s="13"/>
      <c r="J85" s="12"/>
      <c r="K85" s="12"/>
      <c r="L85" s="12"/>
      <c r="M85" s="12"/>
      <c r="N85" s="12"/>
      <c r="O85" s="14"/>
    </row>
    <row r="86" spans="1:15" x14ac:dyDescent="0.2">
      <c r="A86" s="10"/>
      <c r="B86" s="11"/>
      <c r="C86" s="19"/>
      <c r="D86" s="12"/>
      <c r="E86" s="12"/>
      <c r="F86" s="12"/>
      <c r="G86" s="12"/>
      <c r="H86" s="12"/>
      <c r="I86" s="13"/>
      <c r="J86" s="12"/>
      <c r="K86" s="12"/>
      <c r="L86" s="12"/>
      <c r="M86" s="12"/>
      <c r="N86" s="12"/>
      <c r="O86" s="14"/>
    </row>
    <row r="87" spans="1:15" x14ac:dyDescent="0.2">
      <c r="A87" s="10"/>
      <c r="B87" s="11"/>
      <c r="C87" s="19"/>
      <c r="D87" s="12"/>
      <c r="E87" s="12"/>
      <c r="F87" s="12"/>
      <c r="G87" s="12"/>
      <c r="H87" s="12"/>
      <c r="I87" s="13"/>
      <c r="J87" s="12"/>
      <c r="K87" s="12"/>
      <c r="L87" s="12"/>
      <c r="M87" s="12"/>
      <c r="N87" s="12"/>
      <c r="O87" s="14"/>
    </row>
    <row r="88" spans="1:15" x14ac:dyDescent="0.2">
      <c r="A88" s="10"/>
      <c r="B88" s="11"/>
      <c r="C88" s="19"/>
      <c r="D88" s="12"/>
      <c r="E88" s="12"/>
      <c r="F88" s="12"/>
      <c r="G88" s="12"/>
      <c r="H88" s="12"/>
      <c r="I88" s="13"/>
      <c r="J88" s="12"/>
      <c r="K88" s="12"/>
      <c r="L88" s="12"/>
      <c r="M88" s="12"/>
      <c r="N88" s="12"/>
      <c r="O88" s="14"/>
    </row>
    <row r="89" spans="1:15" x14ac:dyDescent="0.2">
      <c r="A89" s="10"/>
      <c r="B89" s="11"/>
      <c r="C89" s="19"/>
      <c r="D89" s="12"/>
      <c r="E89" s="12"/>
      <c r="F89" s="12"/>
      <c r="G89" s="12"/>
      <c r="H89" s="12"/>
      <c r="I89" s="13"/>
      <c r="J89" s="12"/>
      <c r="K89" s="12"/>
      <c r="L89" s="12"/>
      <c r="M89" s="12"/>
      <c r="N89" s="12"/>
      <c r="O89" s="14"/>
    </row>
    <row r="90" spans="1:15" x14ac:dyDescent="0.2">
      <c r="A90" s="10"/>
      <c r="B90" s="11"/>
      <c r="C90" s="19"/>
      <c r="D90" s="12"/>
      <c r="E90" s="12"/>
      <c r="F90" s="12"/>
      <c r="G90" s="12"/>
      <c r="H90" s="12"/>
      <c r="I90" s="13"/>
      <c r="J90" s="12"/>
      <c r="K90" s="12"/>
      <c r="L90" s="12"/>
      <c r="M90" s="12"/>
      <c r="N90" s="12"/>
      <c r="O90" s="14"/>
    </row>
    <row r="91" spans="1:15" x14ac:dyDescent="0.2">
      <c r="A91" s="10"/>
      <c r="B91" s="11"/>
      <c r="C91" s="19"/>
      <c r="D91" s="12"/>
      <c r="E91" s="12"/>
      <c r="F91" s="12"/>
      <c r="G91" s="12"/>
      <c r="H91" s="12"/>
      <c r="I91" s="13"/>
      <c r="J91" s="12"/>
      <c r="K91" s="12"/>
      <c r="L91" s="12"/>
      <c r="M91" s="12"/>
      <c r="N91" s="12"/>
      <c r="O91" s="14"/>
    </row>
    <row r="92" spans="1:15" x14ac:dyDescent="0.2">
      <c r="A92" s="10"/>
      <c r="B92" s="11"/>
      <c r="C92" s="19"/>
      <c r="D92" s="12"/>
      <c r="E92" s="12"/>
      <c r="F92" s="12"/>
      <c r="G92" s="12"/>
      <c r="H92" s="12"/>
      <c r="I92" s="13"/>
      <c r="J92" s="12"/>
      <c r="K92" s="12"/>
      <c r="L92" s="12"/>
      <c r="M92" s="12"/>
      <c r="N92" s="12"/>
      <c r="O92" s="14"/>
    </row>
    <row r="93" spans="1:15" x14ac:dyDescent="0.2">
      <c r="A93" s="10"/>
      <c r="B93" s="11"/>
      <c r="C93" s="19"/>
      <c r="D93" s="12"/>
      <c r="E93" s="12"/>
      <c r="F93" s="12"/>
      <c r="G93" s="12"/>
      <c r="H93" s="12"/>
      <c r="I93" s="13"/>
      <c r="J93" s="12"/>
      <c r="K93" s="12"/>
      <c r="L93" s="12"/>
      <c r="M93" s="12"/>
      <c r="N93" s="12"/>
      <c r="O93" s="14"/>
    </row>
    <row r="94" spans="1:15" x14ac:dyDescent="0.2">
      <c r="A94" s="10"/>
      <c r="B94" s="11"/>
      <c r="C94" s="19"/>
      <c r="D94" s="12"/>
      <c r="E94" s="12"/>
      <c r="F94" s="12"/>
      <c r="G94" s="12"/>
      <c r="H94" s="12"/>
      <c r="I94" s="13"/>
      <c r="J94" s="12"/>
      <c r="K94" s="12"/>
      <c r="L94" s="12"/>
      <c r="M94" s="12"/>
      <c r="N94" s="12"/>
      <c r="O94" s="14"/>
    </row>
    <row r="95" spans="1:15" x14ac:dyDescent="0.2">
      <c r="A95" s="10"/>
      <c r="B95" s="11"/>
      <c r="C95" s="19"/>
      <c r="D95" s="12"/>
      <c r="E95" s="12"/>
      <c r="F95" s="12"/>
      <c r="G95" s="12"/>
      <c r="H95" s="12"/>
      <c r="I95" s="13"/>
      <c r="J95" s="12"/>
      <c r="K95" s="12"/>
      <c r="L95" s="12"/>
      <c r="M95" s="12"/>
      <c r="N95" s="12"/>
      <c r="O95" s="14"/>
    </row>
    <row r="96" spans="1:15" x14ac:dyDescent="0.2">
      <c r="A96" s="10"/>
      <c r="B96" s="11"/>
      <c r="C96" s="19"/>
      <c r="D96" s="12"/>
      <c r="E96" s="12"/>
      <c r="F96" s="12"/>
      <c r="G96" s="12"/>
      <c r="H96" s="12"/>
      <c r="I96" s="13"/>
      <c r="J96" s="12"/>
      <c r="K96" s="12"/>
      <c r="L96" s="12"/>
      <c r="M96" s="12"/>
      <c r="N96" s="12"/>
      <c r="O96" s="14"/>
    </row>
    <row r="97" spans="1:15" x14ac:dyDescent="0.2">
      <c r="A97" s="10"/>
      <c r="B97" s="11"/>
      <c r="C97" s="19"/>
      <c r="D97" s="12"/>
      <c r="E97" s="12"/>
      <c r="F97" s="12"/>
      <c r="G97" s="12"/>
      <c r="H97" s="12"/>
      <c r="I97" s="13"/>
      <c r="J97" s="12"/>
      <c r="K97" s="12"/>
      <c r="L97" s="12"/>
      <c r="M97" s="12"/>
      <c r="N97" s="12"/>
      <c r="O97" s="14"/>
    </row>
    <row r="98" spans="1:15" x14ac:dyDescent="0.2">
      <c r="A98" s="10"/>
      <c r="B98" s="11"/>
      <c r="C98" s="19"/>
      <c r="D98" s="12"/>
      <c r="E98" s="12"/>
      <c r="F98" s="12"/>
      <c r="G98" s="12"/>
      <c r="H98" s="12"/>
      <c r="I98" s="13"/>
      <c r="J98" s="12"/>
      <c r="K98" s="12"/>
      <c r="L98" s="12"/>
      <c r="M98" s="12"/>
      <c r="N98" s="12"/>
      <c r="O98" s="14"/>
    </row>
    <row r="99" spans="1:15" x14ac:dyDescent="0.2">
      <c r="A99" s="10"/>
      <c r="B99" s="11"/>
      <c r="C99" s="19"/>
      <c r="D99" s="12"/>
      <c r="E99" s="12"/>
      <c r="F99" s="12"/>
      <c r="G99" s="12"/>
      <c r="H99" s="12"/>
      <c r="I99" s="13"/>
      <c r="J99" s="12"/>
      <c r="K99" s="12"/>
      <c r="L99" s="12"/>
      <c r="M99" s="12"/>
      <c r="N99" s="12"/>
      <c r="O99" s="14"/>
    </row>
    <row r="100" spans="1:15" x14ac:dyDescent="0.2">
      <c r="A100" s="10"/>
      <c r="B100" s="11"/>
      <c r="C100" s="19"/>
      <c r="D100" s="12"/>
      <c r="E100" s="12"/>
      <c r="F100" s="12"/>
      <c r="G100" s="12"/>
      <c r="H100" s="12"/>
      <c r="I100" s="13"/>
      <c r="J100" s="12"/>
      <c r="K100" s="12"/>
      <c r="L100" s="12"/>
      <c r="M100" s="12"/>
      <c r="N100" s="12"/>
      <c r="O100" s="14"/>
    </row>
    <row r="101" spans="1:15" x14ac:dyDescent="0.2">
      <c r="A101" s="10"/>
      <c r="B101" s="11"/>
      <c r="C101" s="19"/>
      <c r="D101" s="12"/>
      <c r="E101" s="12"/>
      <c r="F101" s="12"/>
      <c r="G101" s="12"/>
      <c r="H101" s="12"/>
      <c r="I101" s="13"/>
      <c r="J101" s="12"/>
      <c r="K101" s="12"/>
      <c r="L101" s="12"/>
      <c r="M101" s="12"/>
      <c r="N101" s="12"/>
      <c r="O101" s="14"/>
    </row>
    <row r="102" spans="1:15" x14ac:dyDescent="0.2">
      <c r="A102" s="10"/>
      <c r="B102" s="11"/>
      <c r="C102" s="19"/>
      <c r="D102" s="12"/>
      <c r="E102" s="12"/>
      <c r="F102" s="12"/>
      <c r="G102" s="12"/>
      <c r="H102" s="12"/>
      <c r="I102" s="13"/>
      <c r="J102" s="12"/>
      <c r="K102" s="12"/>
      <c r="L102" s="12"/>
      <c r="M102" s="12"/>
      <c r="N102" s="12"/>
      <c r="O102" s="14"/>
    </row>
    <row r="103" spans="1:15" x14ac:dyDescent="0.2">
      <c r="A103" s="10"/>
      <c r="B103" s="11"/>
      <c r="C103" s="19"/>
      <c r="D103" s="12"/>
      <c r="E103" s="12"/>
      <c r="F103" s="12"/>
      <c r="G103" s="12"/>
      <c r="H103" s="12"/>
      <c r="I103" s="13"/>
      <c r="J103" s="12"/>
      <c r="K103" s="12"/>
      <c r="L103" s="12"/>
      <c r="M103" s="12"/>
      <c r="N103" s="12"/>
      <c r="O103" s="14"/>
    </row>
    <row r="104" spans="1:15" x14ac:dyDescent="0.2">
      <c r="A104" s="10"/>
      <c r="B104" s="11"/>
      <c r="C104" s="19"/>
      <c r="D104" s="12"/>
      <c r="E104" s="12"/>
      <c r="F104" s="12"/>
      <c r="G104" s="12"/>
      <c r="H104" s="12"/>
      <c r="I104" s="13"/>
      <c r="J104" s="12"/>
      <c r="K104" s="12"/>
      <c r="L104" s="12"/>
      <c r="M104" s="12"/>
      <c r="N104" s="12"/>
      <c r="O104" s="14"/>
    </row>
    <row r="105" spans="1:15" x14ac:dyDescent="0.2">
      <c r="A105" s="10"/>
      <c r="B105" s="11"/>
      <c r="C105" s="19"/>
      <c r="D105" s="12"/>
      <c r="E105" s="12"/>
      <c r="F105" s="12"/>
      <c r="G105" s="12"/>
      <c r="H105" s="12"/>
      <c r="I105" s="13"/>
      <c r="J105" s="12"/>
      <c r="K105" s="12"/>
      <c r="L105" s="12"/>
      <c r="M105" s="12"/>
      <c r="N105" s="12"/>
      <c r="O105" s="14"/>
    </row>
    <row r="106" spans="1:15" x14ac:dyDescent="0.2">
      <c r="A106" s="10"/>
      <c r="B106" s="11"/>
      <c r="C106" s="19"/>
      <c r="D106" s="12"/>
      <c r="E106" s="12"/>
      <c r="F106" s="12"/>
      <c r="G106" s="12"/>
      <c r="H106" s="12"/>
      <c r="I106" s="13"/>
      <c r="J106" s="12"/>
      <c r="K106" s="12"/>
      <c r="L106" s="12"/>
      <c r="M106" s="12"/>
      <c r="N106" s="12"/>
      <c r="O106" s="14"/>
    </row>
    <row r="107" spans="1:15" x14ac:dyDescent="0.2">
      <c r="A107" s="10"/>
      <c r="B107" s="11"/>
      <c r="C107" s="19"/>
      <c r="D107" s="12"/>
      <c r="E107" s="12"/>
      <c r="F107" s="12"/>
      <c r="G107" s="12"/>
      <c r="H107" s="12"/>
      <c r="I107" s="13"/>
      <c r="J107" s="12"/>
      <c r="K107" s="12"/>
      <c r="L107" s="12"/>
      <c r="M107" s="12"/>
      <c r="N107" s="12"/>
      <c r="O107" s="14"/>
    </row>
    <row r="108" spans="1:15" x14ac:dyDescent="0.2">
      <c r="A108" s="10"/>
      <c r="B108" s="11"/>
      <c r="C108" s="19"/>
      <c r="D108" s="12"/>
      <c r="E108" s="12"/>
      <c r="F108" s="12"/>
      <c r="G108" s="12"/>
      <c r="H108" s="12"/>
      <c r="I108" s="13"/>
      <c r="J108" s="12"/>
      <c r="K108" s="12"/>
      <c r="L108" s="12"/>
      <c r="M108" s="12"/>
      <c r="N108" s="12"/>
      <c r="O108" s="14"/>
    </row>
    <row r="109" spans="1:15" x14ac:dyDescent="0.2">
      <c r="A109" s="10"/>
      <c r="B109" s="11"/>
      <c r="C109" s="19"/>
      <c r="D109" s="12"/>
      <c r="E109" s="12"/>
      <c r="F109" s="12"/>
      <c r="G109" s="12"/>
      <c r="H109" s="12"/>
      <c r="I109" s="13"/>
      <c r="J109" s="12"/>
      <c r="K109" s="12"/>
      <c r="L109" s="12"/>
      <c r="M109" s="12"/>
      <c r="N109" s="12"/>
      <c r="O109" s="14"/>
    </row>
    <row r="110" spans="1:15" x14ac:dyDescent="0.2">
      <c r="A110" s="10"/>
      <c r="B110" s="11"/>
      <c r="C110" s="19"/>
      <c r="D110" s="12"/>
      <c r="E110" s="12"/>
      <c r="F110" s="12"/>
      <c r="G110" s="12"/>
      <c r="H110" s="12"/>
      <c r="I110" s="13"/>
      <c r="J110" s="12"/>
      <c r="K110" s="12"/>
      <c r="L110" s="12"/>
      <c r="M110" s="12"/>
      <c r="N110" s="12"/>
      <c r="O110" s="14"/>
    </row>
    <row r="111" spans="1:15" x14ac:dyDescent="0.2">
      <c r="A111" s="10"/>
      <c r="B111" s="11"/>
      <c r="C111" s="19"/>
      <c r="D111" s="12"/>
      <c r="E111" s="12"/>
      <c r="F111" s="12"/>
      <c r="G111" s="12"/>
      <c r="H111" s="12"/>
      <c r="I111" s="13"/>
      <c r="J111" s="12"/>
      <c r="K111" s="12"/>
      <c r="L111" s="12"/>
      <c r="M111" s="12"/>
      <c r="N111" s="12"/>
      <c r="O111" s="14"/>
    </row>
    <row r="112" spans="1:15" x14ac:dyDescent="0.2">
      <c r="A112" s="10"/>
      <c r="B112" s="11"/>
      <c r="C112" s="19"/>
      <c r="I112" s="13"/>
      <c r="J112" s="12"/>
      <c r="K112" s="12"/>
      <c r="L112" s="12"/>
      <c r="M112" s="12"/>
      <c r="N112" s="12"/>
      <c r="O112" s="14"/>
    </row>
    <row r="113" spans="1:15" x14ac:dyDescent="0.2">
      <c r="A113" s="10"/>
      <c r="B113" s="11"/>
      <c r="C113" s="19"/>
      <c r="I113" s="13"/>
      <c r="J113" s="12"/>
      <c r="K113" s="12"/>
      <c r="L113" s="12"/>
      <c r="M113" s="12"/>
      <c r="N113" s="12"/>
      <c r="O113" s="14"/>
    </row>
    <row r="114" spans="1:15" x14ac:dyDescent="0.2">
      <c r="A114" s="10"/>
      <c r="B114" s="11"/>
      <c r="C114" s="19"/>
      <c r="I114" s="13"/>
      <c r="J114" s="12"/>
      <c r="K114" s="12"/>
      <c r="L114" s="12"/>
      <c r="M114" s="12"/>
      <c r="N114" s="12"/>
      <c r="O114" s="14"/>
    </row>
    <row r="115" spans="1:15" x14ac:dyDescent="0.2">
      <c r="A115" s="10"/>
      <c r="B115" s="11"/>
      <c r="C115" s="19"/>
      <c r="I115" s="13"/>
      <c r="J115" s="12"/>
      <c r="K115" s="12"/>
      <c r="L115" s="12"/>
      <c r="M115" s="12"/>
      <c r="N115" s="12"/>
      <c r="O115" s="14"/>
    </row>
    <row r="116" spans="1:15" x14ac:dyDescent="0.2">
      <c r="A116" s="10"/>
      <c r="B116" s="11"/>
      <c r="C116" s="19"/>
      <c r="D116" s="12"/>
      <c r="E116" s="12"/>
      <c r="F116" s="12"/>
      <c r="G116" s="12"/>
      <c r="H116" s="12"/>
      <c r="I116" s="13"/>
      <c r="J116" s="12"/>
      <c r="K116" s="12"/>
      <c r="L116" s="12"/>
      <c r="M116" s="12"/>
      <c r="N116" s="12"/>
      <c r="O116" s="14"/>
    </row>
    <row r="117" spans="1:15" x14ac:dyDescent="0.2">
      <c r="A117" s="10"/>
      <c r="B117" s="11"/>
      <c r="C117" s="19"/>
      <c r="D117" s="12"/>
      <c r="E117" s="12"/>
      <c r="F117" s="12"/>
      <c r="G117" s="12"/>
      <c r="H117" s="12"/>
      <c r="I117" s="13"/>
      <c r="J117" s="12"/>
      <c r="K117" s="12"/>
      <c r="L117" s="12"/>
      <c r="M117" s="12"/>
      <c r="N117" s="12"/>
      <c r="O117" s="14"/>
    </row>
    <row r="118" spans="1:15" x14ac:dyDescent="0.2">
      <c r="A118" s="10"/>
      <c r="B118" s="11"/>
      <c r="C118" s="19"/>
      <c r="D118" s="12"/>
      <c r="E118" s="12"/>
      <c r="F118" s="12"/>
      <c r="G118" s="12"/>
      <c r="H118" s="12"/>
      <c r="I118" s="13"/>
      <c r="J118" s="12"/>
      <c r="K118" s="12"/>
      <c r="L118" s="12"/>
      <c r="M118" s="12"/>
      <c r="N118" s="12"/>
      <c r="O118" s="14"/>
    </row>
    <row r="119" spans="1:15" x14ac:dyDescent="0.2">
      <c r="A119" s="10"/>
      <c r="B119" s="11"/>
      <c r="C119" s="19"/>
      <c r="D119" s="12"/>
      <c r="E119" s="12"/>
      <c r="F119" s="12"/>
      <c r="G119" s="12"/>
      <c r="H119" s="12"/>
      <c r="I119" s="13"/>
      <c r="J119" s="12"/>
      <c r="K119" s="12"/>
      <c r="L119" s="12"/>
      <c r="M119" s="12"/>
      <c r="N119" s="12"/>
      <c r="O119" s="14"/>
    </row>
    <row r="120" spans="1:15" x14ac:dyDescent="0.2">
      <c r="A120" s="10"/>
      <c r="B120" s="11"/>
      <c r="C120" s="19"/>
      <c r="D120" s="12"/>
      <c r="E120" s="12"/>
      <c r="F120" s="12"/>
      <c r="G120" s="12"/>
      <c r="H120" s="12"/>
      <c r="I120" s="13"/>
      <c r="J120" s="12"/>
      <c r="K120" s="12"/>
      <c r="L120" s="12"/>
      <c r="M120" s="12"/>
      <c r="N120" s="12"/>
      <c r="O120" s="14"/>
    </row>
    <row r="121" spans="1:15" x14ac:dyDescent="0.2">
      <c r="A121" s="10"/>
      <c r="B121" s="11"/>
      <c r="C121" s="19"/>
      <c r="D121" s="12"/>
      <c r="E121" s="12"/>
      <c r="F121" s="12"/>
      <c r="G121" s="12"/>
      <c r="H121" s="12"/>
      <c r="I121" s="13"/>
      <c r="J121" s="12"/>
      <c r="K121" s="12"/>
      <c r="L121" s="12"/>
      <c r="M121" s="12"/>
      <c r="N121" s="12"/>
      <c r="O121" s="14"/>
    </row>
    <row r="122" spans="1:15" x14ac:dyDescent="0.2">
      <c r="A122" s="10"/>
      <c r="B122" s="11"/>
      <c r="C122" s="19"/>
      <c r="D122" s="12"/>
      <c r="E122" s="12"/>
      <c r="F122" s="12"/>
      <c r="G122" s="12"/>
      <c r="H122" s="12"/>
      <c r="I122" s="13"/>
      <c r="J122" s="12"/>
      <c r="K122" s="12"/>
      <c r="L122" s="12"/>
      <c r="M122" s="12"/>
      <c r="N122" s="12"/>
      <c r="O122" s="14"/>
    </row>
    <row r="123" spans="1:15" x14ac:dyDescent="0.2">
      <c r="A123" s="10"/>
      <c r="B123" s="11"/>
      <c r="C123" s="19"/>
      <c r="D123" s="12"/>
      <c r="E123" s="12"/>
      <c r="F123" s="12"/>
      <c r="G123" s="12"/>
      <c r="H123" s="12"/>
      <c r="I123" s="13"/>
      <c r="J123" s="12"/>
      <c r="K123" s="12"/>
      <c r="L123" s="12"/>
      <c r="M123" s="12"/>
      <c r="N123" s="12"/>
      <c r="O123" s="14"/>
    </row>
    <row r="124" spans="1:15" x14ac:dyDescent="0.2">
      <c r="A124" s="21"/>
      <c r="B124" s="21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</row>
    <row r="125" spans="1:15" x14ac:dyDescent="0.2">
      <c r="A125" s="22" t="s">
        <v>36</v>
      </c>
      <c r="B125" s="23" t="s">
        <v>37</v>
      </c>
      <c r="F125" s="3" t="s">
        <v>38</v>
      </c>
    </row>
    <row r="126" spans="1:15" x14ac:dyDescent="0.2">
      <c r="A126" s="23"/>
      <c r="B126" s="23" t="s">
        <v>39</v>
      </c>
      <c r="F126" s="3" t="s">
        <v>40</v>
      </c>
    </row>
    <row r="127" spans="1:15" x14ac:dyDescent="0.2">
      <c r="A127" s="23"/>
      <c r="B127" s="23" t="s">
        <v>41</v>
      </c>
      <c r="F127" s="3" t="s">
        <v>42</v>
      </c>
    </row>
    <row r="128" spans="1:15" x14ac:dyDescent="0.2">
      <c r="A128" s="23"/>
      <c r="B128" s="23"/>
    </row>
    <row r="129" spans="1:18" x14ac:dyDescent="0.2">
      <c r="A129" s="23"/>
      <c r="B129" s="23"/>
    </row>
    <row r="131" spans="1:18" x14ac:dyDescent="0.2">
      <c r="A131" s="5" t="s">
        <v>4</v>
      </c>
      <c r="B131" s="21" t="s">
        <v>5</v>
      </c>
      <c r="C131" s="6" t="s">
        <v>43</v>
      </c>
      <c r="D131" s="7" t="s">
        <v>44</v>
      </c>
      <c r="E131" s="7"/>
      <c r="F131" s="7"/>
      <c r="G131" s="7"/>
      <c r="H131" s="7"/>
      <c r="I131" s="8"/>
      <c r="J131" s="7"/>
      <c r="K131" s="7"/>
      <c r="L131" s="7" t="s">
        <v>45</v>
      </c>
      <c r="M131" s="7"/>
      <c r="N131" s="7"/>
      <c r="O131" s="7"/>
      <c r="P131" s="6"/>
      <c r="Q131" s="24"/>
    </row>
    <row r="132" spans="1:18" ht="13.5" thickBot="1" x14ac:dyDescent="0.25">
      <c r="A132" s="15"/>
      <c r="B132" s="17"/>
      <c r="C132" s="25"/>
      <c r="D132" s="17">
        <v>1</v>
      </c>
      <c r="E132" s="17"/>
      <c r="F132" s="17"/>
      <c r="G132" s="17"/>
      <c r="H132" s="17"/>
      <c r="I132" s="16"/>
      <c r="J132" s="17">
        <v>1</v>
      </c>
      <c r="K132" s="17"/>
      <c r="L132" s="17"/>
      <c r="M132" s="17"/>
      <c r="N132" s="17"/>
      <c r="O132" s="17"/>
      <c r="P132" s="16" t="s">
        <v>46</v>
      </c>
      <c r="Q132" s="18" t="s">
        <v>47</v>
      </c>
    </row>
    <row r="133" spans="1:18" ht="13.5" thickTop="1" x14ac:dyDescent="0.2">
      <c r="A133" s="10" t="s">
        <v>6</v>
      </c>
      <c r="B133" s="26">
        <v>2</v>
      </c>
      <c r="C133" s="11">
        <v>1982</v>
      </c>
      <c r="D133" s="27">
        <f>SPFI_CLB14!$D$5</f>
        <v>0.98153299999999999</v>
      </c>
      <c r="E133" s="27"/>
      <c r="F133" s="27"/>
      <c r="G133" s="27"/>
      <c r="H133" s="27"/>
      <c r="I133" s="27"/>
      <c r="J133" s="28">
        <f t="shared" ref="J133:J145" si="1">D133*J$4</f>
        <v>0</v>
      </c>
      <c r="K133" s="29"/>
      <c r="L133" s="29"/>
      <c r="M133" s="29"/>
      <c r="N133" s="29"/>
      <c r="O133" s="29"/>
      <c r="P133" s="30">
        <f>SUM(J133:O133)</f>
        <v>0</v>
      </c>
      <c r="Q133" s="31">
        <f>IF(C$4&gt;0,P133/C$4,0)</f>
        <v>0</v>
      </c>
    </row>
    <row r="134" spans="1:18" x14ac:dyDescent="0.2">
      <c r="A134" s="10"/>
      <c r="B134" s="26"/>
      <c r="C134" s="11">
        <v>1983</v>
      </c>
      <c r="D134" s="32">
        <f>SPFI_CLB14!$D$6</f>
        <v>0.93659899999999996</v>
      </c>
      <c r="E134" s="32"/>
      <c r="F134" s="32"/>
      <c r="G134" s="32"/>
      <c r="H134" s="32"/>
      <c r="I134" s="32"/>
      <c r="J134" s="28">
        <f t="shared" si="1"/>
        <v>0</v>
      </c>
      <c r="K134" s="29"/>
      <c r="L134" s="29"/>
      <c r="M134" s="29"/>
      <c r="N134" s="29"/>
      <c r="O134" s="29"/>
      <c r="P134" s="30">
        <f t="shared" ref="P134:P145" si="2">SUM(J134:O134)</f>
        <v>0</v>
      </c>
      <c r="Q134" s="31">
        <f t="shared" ref="Q134:Q149" si="3">IF(C$4&gt;0,P134/C$4,0)</f>
        <v>0</v>
      </c>
    </row>
    <row r="135" spans="1:18" x14ac:dyDescent="0.2">
      <c r="A135" s="10"/>
      <c r="B135" s="26"/>
      <c r="C135" s="11">
        <v>1984</v>
      </c>
      <c r="D135" s="32">
        <f>SPFI_CLB14!$D$7</f>
        <v>0.92793599999999998</v>
      </c>
      <c r="E135" s="32"/>
      <c r="F135" s="32"/>
      <c r="G135" s="32"/>
      <c r="H135" s="32"/>
      <c r="I135" s="32"/>
      <c r="J135" s="28">
        <f t="shared" si="1"/>
        <v>0</v>
      </c>
      <c r="K135" s="29"/>
      <c r="L135" s="29"/>
      <c r="M135" s="29"/>
      <c r="N135" s="29"/>
      <c r="O135" s="29"/>
      <c r="P135" s="30">
        <f t="shared" si="2"/>
        <v>0</v>
      </c>
      <c r="Q135" s="31">
        <f t="shared" si="3"/>
        <v>0</v>
      </c>
    </row>
    <row r="136" spans="1:18" x14ac:dyDescent="0.2">
      <c r="A136" s="29"/>
      <c r="B136" s="26"/>
      <c r="C136" s="11">
        <v>1985</v>
      </c>
      <c r="D136" s="32">
        <f>SPFI_CLB14!$D$8</f>
        <v>0.90386500000000003</v>
      </c>
      <c r="E136" s="32"/>
      <c r="F136" s="32"/>
      <c r="G136" s="32"/>
      <c r="H136" s="32"/>
      <c r="I136" s="32"/>
      <c r="J136" s="28">
        <f t="shared" si="1"/>
        <v>0</v>
      </c>
      <c r="K136" s="29"/>
      <c r="L136" s="29"/>
      <c r="M136" s="29"/>
      <c r="N136" s="29"/>
      <c r="O136" s="29"/>
      <c r="P136" s="30">
        <f t="shared" si="2"/>
        <v>0</v>
      </c>
      <c r="Q136" s="31">
        <f t="shared" si="3"/>
        <v>0</v>
      </c>
    </row>
    <row r="137" spans="1:18" x14ac:dyDescent="0.2">
      <c r="A137" s="10"/>
      <c r="B137" s="26"/>
      <c r="C137" s="11">
        <v>1986</v>
      </c>
      <c r="D137" s="32">
        <f>SPFI_CLB14!$D$9</f>
        <v>0.73087500000000005</v>
      </c>
      <c r="E137" s="32"/>
      <c r="F137" s="32"/>
      <c r="G137" s="32"/>
      <c r="H137" s="32"/>
      <c r="I137" s="32"/>
      <c r="J137" s="28">
        <f t="shared" si="1"/>
        <v>0</v>
      </c>
      <c r="K137" s="29"/>
      <c r="L137" s="29"/>
      <c r="M137" s="29"/>
      <c r="N137" s="29"/>
      <c r="O137" s="29"/>
      <c r="P137" s="30">
        <f t="shared" si="2"/>
        <v>0</v>
      </c>
      <c r="Q137" s="31">
        <f t="shared" si="3"/>
        <v>0</v>
      </c>
    </row>
    <row r="138" spans="1:18" x14ac:dyDescent="0.2">
      <c r="A138" s="10"/>
      <c r="B138" s="26"/>
      <c r="C138" s="11">
        <v>1987</v>
      </c>
      <c r="D138" s="32">
        <f>SPFI_CLB14!$D$10</f>
        <v>0.71733499999999994</v>
      </c>
      <c r="E138" s="32"/>
      <c r="F138" s="32"/>
      <c r="G138" s="32"/>
      <c r="H138" s="32"/>
      <c r="I138" s="32"/>
      <c r="J138" s="28">
        <f t="shared" si="1"/>
        <v>0</v>
      </c>
      <c r="K138" s="29"/>
      <c r="L138" s="29"/>
      <c r="M138" s="29"/>
      <c r="N138" s="29"/>
      <c r="O138" s="29"/>
      <c r="P138" s="30">
        <f t="shared" si="2"/>
        <v>0</v>
      </c>
      <c r="Q138" s="31">
        <f t="shared" si="3"/>
        <v>0</v>
      </c>
    </row>
    <row r="139" spans="1:18" x14ac:dyDescent="0.2">
      <c r="A139" s="10"/>
      <c r="B139" s="26"/>
      <c r="C139" s="11">
        <v>1988</v>
      </c>
      <c r="D139" s="32">
        <f>SPFI_CLB14!$D$11</f>
        <v>0.64558800000000005</v>
      </c>
      <c r="E139" s="32"/>
      <c r="F139" s="32"/>
      <c r="G139" s="32"/>
      <c r="H139" s="32"/>
      <c r="I139" s="32"/>
      <c r="J139" s="28">
        <f t="shared" si="1"/>
        <v>0</v>
      </c>
      <c r="K139" s="29"/>
      <c r="L139" s="29"/>
      <c r="M139" s="29"/>
      <c r="N139" s="29"/>
      <c r="O139" s="29"/>
      <c r="P139" s="30">
        <f t="shared" si="2"/>
        <v>0</v>
      </c>
      <c r="Q139" s="31">
        <f t="shared" si="3"/>
        <v>0</v>
      </c>
    </row>
    <row r="140" spans="1:18" x14ac:dyDescent="0.2">
      <c r="A140" s="10"/>
      <c r="B140" s="26"/>
      <c r="C140" s="11">
        <v>1989</v>
      </c>
      <c r="D140" s="32">
        <f>SPFI_CLB14!$D$12</f>
        <v>0.65287700000000004</v>
      </c>
      <c r="E140" s="32"/>
      <c r="F140" s="32"/>
      <c r="G140" s="32"/>
      <c r="H140" s="32"/>
      <c r="I140" s="32"/>
      <c r="J140" s="28">
        <f t="shared" si="1"/>
        <v>0</v>
      </c>
      <c r="K140" s="29"/>
      <c r="L140" s="29"/>
      <c r="M140" s="29"/>
      <c r="N140" s="29"/>
      <c r="O140" s="29"/>
      <c r="P140" s="30">
        <f t="shared" si="2"/>
        <v>0</v>
      </c>
      <c r="Q140" s="31">
        <f t="shared" si="3"/>
        <v>0</v>
      </c>
    </row>
    <row r="141" spans="1:18" x14ac:dyDescent="0.2">
      <c r="A141" s="10"/>
      <c r="B141" s="26"/>
      <c r="C141" s="11">
        <v>1990</v>
      </c>
      <c r="D141" s="32">
        <f>SPFI_CLB14!$D$13</f>
        <v>0.56965100000000002</v>
      </c>
      <c r="E141" s="32"/>
      <c r="F141" s="32"/>
      <c r="G141" s="32"/>
      <c r="H141" s="32"/>
      <c r="I141" s="32"/>
      <c r="J141" s="28">
        <f t="shared" si="1"/>
        <v>0</v>
      </c>
      <c r="K141" s="29"/>
      <c r="L141" s="29"/>
      <c r="M141" s="29"/>
      <c r="N141" s="29"/>
      <c r="O141" s="29"/>
      <c r="P141" s="30">
        <f t="shared" si="2"/>
        <v>0</v>
      </c>
      <c r="Q141" s="31">
        <f t="shared" si="3"/>
        <v>0</v>
      </c>
    </row>
    <row r="142" spans="1:18" x14ac:dyDescent="0.2">
      <c r="A142" s="10"/>
      <c r="B142" s="26"/>
      <c r="C142" s="11">
        <v>1991</v>
      </c>
      <c r="D142" s="32">
        <f>SPFI_CLB14!$D$14</f>
        <v>0.62776900000000002</v>
      </c>
      <c r="E142" s="32"/>
      <c r="F142" s="32"/>
      <c r="G142" s="32"/>
      <c r="H142" s="32"/>
      <c r="I142" s="32"/>
      <c r="J142" s="28">
        <f t="shared" si="1"/>
        <v>0</v>
      </c>
      <c r="K142" s="29"/>
      <c r="L142" s="29"/>
      <c r="M142" s="29"/>
      <c r="N142" s="29"/>
      <c r="O142" s="29"/>
      <c r="P142" s="30">
        <f t="shared" si="2"/>
        <v>0</v>
      </c>
      <c r="Q142" s="31">
        <f t="shared" si="3"/>
        <v>0</v>
      </c>
    </row>
    <row r="143" spans="1:18" x14ac:dyDescent="0.2">
      <c r="A143" s="10"/>
      <c r="B143" s="26"/>
      <c r="C143" s="11">
        <v>1992</v>
      </c>
      <c r="D143" s="32">
        <f>SPFI_CLB14!$D$15</f>
        <v>0.43504100000000001</v>
      </c>
      <c r="E143" s="32"/>
      <c r="F143" s="32"/>
      <c r="G143" s="32"/>
      <c r="H143" s="32"/>
      <c r="I143" s="32"/>
      <c r="J143" s="28">
        <f t="shared" si="1"/>
        <v>0</v>
      </c>
      <c r="K143" s="29"/>
      <c r="L143" s="29"/>
      <c r="M143" s="29"/>
      <c r="N143" s="29"/>
      <c r="O143" s="29"/>
      <c r="P143" s="30">
        <f t="shared" si="2"/>
        <v>0</v>
      </c>
      <c r="Q143" s="31">
        <f t="shared" si="3"/>
        <v>0</v>
      </c>
      <c r="R143" s="3" t="s">
        <v>48</v>
      </c>
    </row>
    <row r="144" spans="1:18" x14ac:dyDescent="0.2">
      <c r="A144" s="10"/>
      <c r="B144" s="26"/>
      <c r="C144" s="11">
        <v>1993</v>
      </c>
      <c r="D144" s="32">
        <f>SPFI_CLB14!$D$16</f>
        <v>0.499164</v>
      </c>
      <c r="E144" s="32"/>
      <c r="F144" s="32"/>
      <c r="G144" s="32"/>
      <c r="H144" s="32"/>
      <c r="I144" s="32"/>
      <c r="J144" s="28">
        <f t="shared" si="1"/>
        <v>0</v>
      </c>
      <c r="K144" s="29"/>
      <c r="L144" s="29"/>
      <c r="M144" s="29"/>
      <c r="N144" s="29"/>
      <c r="O144" s="29"/>
      <c r="P144" s="30">
        <f t="shared" si="2"/>
        <v>0</v>
      </c>
      <c r="Q144" s="31">
        <f t="shared" si="3"/>
        <v>0</v>
      </c>
    </row>
    <row r="145" spans="1:17" x14ac:dyDescent="0.2">
      <c r="A145" s="10"/>
      <c r="B145" s="26"/>
      <c r="C145" s="11">
        <v>1994</v>
      </c>
      <c r="D145" s="32">
        <f>SPFI_CLB14!$D$17</f>
        <v>0.59591300000000003</v>
      </c>
      <c r="E145" s="32"/>
      <c r="F145" s="32"/>
      <c r="G145" s="32"/>
      <c r="H145" s="32"/>
      <c r="I145" s="32"/>
      <c r="J145" s="28">
        <f t="shared" si="1"/>
        <v>0</v>
      </c>
      <c r="K145" s="29"/>
      <c r="L145" s="29"/>
      <c r="M145" s="29"/>
      <c r="N145" s="29"/>
      <c r="O145" s="29"/>
      <c r="P145" s="30">
        <f t="shared" si="2"/>
        <v>0</v>
      </c>
      <c r="Q145" s="31">
        <f t="shared" si="3"/>
        <v>0</v>
      </c>
    </row>
    <row r="146" spans="1:17" x14ac:dyDescent="0.2">
      <c r="A146" s="10"/>
      <c r="B146" s="26"/>
      <c r="C146" s="11">
        <v>1995</v>
      </c>
      <c r="D146" s="32">
        <f>SPFI_CLB14!$D$18</f>
        <v>0.25400800000000001</v>
      </c>
      <c r="E146" s="32"/>
      <c r="F146" s="32"/>
      <c r="G146" s="32"/>
      <c r="H146" s="32"/>
      <c r="I146" s="32"/>
      <c r="J146" s="28">
        <f t="shared" ref="J146" si="4">D146*J$4</f>
        <v>0</v>
      </c>
      <c r="K146" s="29"/>
      <c r="L146" s="29"/>
      <c r="M146" s="29"/>
      <c r="N146" s="29"/>
      <c r="O146" s="29"/>
      <c r="P146" s="30">
        <f>SUM(J146:O146)</f>
        <v>0</v>
      </c>
      <c r="Q146" s="31">
        <f t="shared" si="3"/>
        <v>0</v>
      </c>
    </row>
    <row r="147" spans="1:17" x14ac:dyDescent="0.2">
      <c r="A147" s="10"/>
      <c r="B147" s="26"/>
      <c r="C147" s="11">
        <v>1996</v>
      </c>
      <c r="D147" s="32">
        <f>SPFI_CLB14!$D$19</f>
        <v>0</v>
      </c>
      <c r="E147" s="32"/>
      <c r="F147" s="32"/>
      <c r="G147" s="32"/>
      <c r="H147" s="32"/>
      <c r="I147" s="32"/>
      <c r="J147" s="28">
        <f t="shared" ref="J147" si="5">D147*J$4</f>
        <v>0</v>
      </c>
      <c r="K147" s="29"/>
      <c r="L147" s="29"/>
      <c r="M147" s="29"/>
      <c r="N147" s="29"/>
      <c r="O147" s="29"/>
      <c r="P147" s="30">
        <f>SUM(J147:O147)</f>
        <v>0</v>
      </c>
      <c r="Q147" s="31">
        <f t="shared" si="3"/>
        <v>0</v>
      </c>
    </row>
    <row r="148" spans="1:17" x14ac:dyDescent="0.2">
      <c r="A148" s="10"/>
      <c r="B148" s="26"/>
      <c r="C148" s="11">
        <v>1997</v>
      </c>
      <c r="D148" s="32">
        <f>SPFI_CLB14!$D$20</f>
        <v>0.201487</v>
      </c>
      <c r="E148" s="32"/>
      <c r="F148" s="32"/>
      <c r="G148" s="32"/>
      <c r="H148" s="32"/>
      <c r="I148" s="32"/>
      <c r="J148" s="28">
        <f t="shared" ref="J148" si="6">D148*J$4</f>
        <v>0</v>
      </c>
      <c r="K148" s="29"/>
      <c r="L148" s="29"/>
      <c r="M148" s="29"/>
      <c r="N148" s="29"/>
      <c r="O148" s="29"/>
      <c r="P148" s="30">
        <f>SUM(J148:O148)</f>
        <v>0</v>
      </c>
      <c r="Q148" s="31">
        <f t="shared" si="3"/>
        <v>0</v>
      </c>
    </row>
    <row r="149" spans="1:17" x14ac:dyDescent="0.2">
      <c r="A149" s="10"/>
      <c r="B149" s="26"/>
      <c r="C149" s="11">
        <v>1998</v>
      </c>
      <c r="D149" s="32">
        <f>SPFI_CLB14!$D$21</f>
        <v>0.37506400000000001</v>
      </c>
      <c r="E149" s="32"/>
      <c r="F149" s="32"/>
      <c r="G149" s="32"/>
      <c r="H149" s="32"/>
      <c r="I149" s="32"/>
      <c r="J149" s="28">
        <f t="shared" ref="J149" si="7">D149*J$4</f>
        <v>0</v>
      </c>
      <c r="K149" s="29"/>
      <c r="L149" s="29"/>
      <c r="M149" s="29"/>
      <c r="N149" s="29"/>
      <c r="O149" s="29"/>
      <c r="P149" s="30">
        <f>SUM(J149:O149)</f>
        <v>0</v>
      </c>
      <c r="Q149" s="31">
        <f t="shared" si="3"/>
        <v>0</v>
      </c>
    </row>
    <row r="150" spans="1:17" x14ac:dyDescent="0.2">
      <c r="A150" s="10"/>
      <c r="B150" s="26"/>
      <c r="C150" s="11">
        <v>1999</v>
      </c>
      <c r="D150" s="32">
        <f>SPFI_CLB14!$D$22</f>
        <v>0.29823699999999997</v>
      </c>
      <c r="E150" s="32"/>
      <c r="F150" s="32"/>
      <c r="G150" s="32"/>
      <c r="H150" s="32"/>
      <c r="I150" s="32"/>
      <c r="J150" s="28">
        <f t="shared" ref="J150" si="8">D150*J$4</f>
        <v>0</v>
      </c>
      <c r="K150" s="29"/>
      <c r="L150" s="29"/>
      <c r="M150" s="29"/>
      <c r="N150" s="29"/>
      <c r="O150" s="29"/>
      <c r="P150" s="30">
        <f>SUM(J150:O150)</f>
        <v>0</v>
      </c>
      <c r="Q150" s="31">
        <f t="shared" ref="Q150:Q156" si="9">IF(C$4&gt;0,P150/C$4,0)</f>
        <v>0</v>
      </c>
    </row>
    <row r="151" spans="1:17" x14ac:dyDescent="0.2">
      <c r="A151" s="10"/>
      <c r="B151" s="26"/>
      <c r="C151" s="11">
        <v>2000</v>
      </c>
      <c r="D151" s="32">
        <f>SPFI_CLB14!$D$23</f>
        <v>8.4414000000000003E-2</v>
      </c>
      <c r="E151" s="32"/>
      <c r="F151" s="32"/>
      <c r="G151" s="32"/>
      <c r="H151" s="32"/>
      <c r="I151" s="32"/>
      <c r="J151" s="28">
        <f t="shared" ref="J151" si="10">D151*J$4</f>
        <v>0</v>
      </c>
      <c r="K151" s="29"/>
      <c r="L151" s="29"/>
      <c r="M151" s="29"/>
      <c r="N151" s="29"/>
      <c r="O151" s="29"/>
      <c r="P151" s="30">
        <f t="shared" ref="P151:P156" si="11">SUM(J151:O151)</f>
        <v>0</v>
      </c>
      <c r="Q151" s="31">
        <f t="shared" si="9"/>
        <v>0</v>
      </c>
    </row>
    <row r="152" spans="1:17" x14ac:dyDescent="0.2">
      <c r="A152" s="10"/>
      <c r="B152" s="26"/>
      <c r="C152" s="11">
        <v>2001</v>
      </c>
      <c r="D152" s="32">
        <f>SPFI_CLB14!$D$24</f>
        <v>7.8909000000000007E-2</v>
      </c>
      <c r="E152" s="32"/>
      <c r="F152" s="32"/>
      <c r="G152" s="32"/>
      <c r="H152" s="32"/>
      <c r="I152" s="32"/>
      <c r="J152" s="28">
        <f t="shared" ref="J152" si="12">D152*J$4</f>
        <v>0</v>
      </c>
      <c r="K152" s="29"/>
      <c r="L152" s="29"/>
      <c r="M152" s="29"/>
      <c r="N152" s="29"/>
      <c r="O152" s="29"/>
      <c r="P152" s="30">
        <f t="shared" si="11"/>
        <v>0</v>
      </c>
      <c r="Q152" s="31">
        <f t="shared" si="9"/>
        <v>0</v>
      </c>
    </row>
    <row r="153" spans="1:17" x14ac:dyDescent="0.2">
      <c r="A153" s="10"/>
      <c r="B153" s="26"/>
      <c r="C153" s="11">
        <v>2002</v>
      </c>
      <c r="D153" s="32">
        <f>SPFI_CLB14!$D$25</f>
        <v>0.29974699999999999</v>
      </c>
      <c r="E153" s="32"/>
      <c r="F153" s="32"/>
      <c r="G153" s="32"/>
      <c r="H153" s="32"/>
      <c r="I153" s="32"/>
      <c r="J153" s="28">
        <f t="shared" ref="J153" si="13">D153*J$4</f>
        <v>0</v>
      </c>
      <c r="K153" s="29"/>
      <c r="L153" s="29"/>
      <c r="M153" s="29"/>
      <c r="N153" s="29"/>
      <c r="O153" s="29"/>
      <c r="P153" s="30">
        <f t="shared" si="11"/>
        <v>0</v>
      </c>
      <c r="Q153" s="31">
        <f t="shared" si="9"/>
        <v>0</v>
      </c>
    </row>
    <row r="154" spans="1:17" x14ac:dyDescent="0.2">
      <c r="A154" s="10"/>
      <c r="B154" s="26"/>
      <c r="C154" s="11">
        <v>2003</v>
      </c>
      <c r="D154" s="32">
        <f>SPFI_CLB14!$D$26</f>
        <v>0.20691100000000001</v>
      </c>
      <c r="E154" s="32"/>
      <c r="F154" s="32"/>
      <c r="G154" s="32"/>
      <c r="H154" s="32"/>
      <c r="I154" s="32"/>
      <c r="J154" s="28">
        <f t="shared" ref="J154" si="14">D154*J$4</f>
        <v>0</v>
      </c>
      <c r="K154" s="29"/>
      <c r="L154" s="29"/>
      <c r="M154" s="29"/>
      <c r="N154" s="29"/>
      <c r="O154" s="29"/>
      <c r="P154" s="30">
        <f t="shared" si="11"/>
        <v>0</v>
      </c>
      <c r="Q154" s="31">
        <f t="shared" si="9"/>
        <v>0</v>
      </c>
    </row>
    <row r="155" spans="1:17" x14ac:dyDescent="0.2">
      <c r="A155" s="10"/>
      <c r="B155" s="26"/>
      <c r="C155" s="11">
        <v>2004</v>
      </c>
      <c r="D155" s="32">
        <f>SPFI_CLB14!$D$27</f>
        <v>0.269237</v>
      </c>
      <c r="E155" s="32"/>
      <c r="F155" s="32"/>
      <c r="G155" s="32"/>
      <c r="H155" s="32"/>
      <c r="I155" s="32"/>
      <c r="J155" s="28">
        <f t="shared" ref="J155" si="15">D155*J$4</f>
        <v>0</v>
      </c>
      <c r="K155" s="29"/>
      <c r="L155" s="29"/>
      <c r="M155" s="29"/>
      <c r="N155" s="29"/>
      <c r="O155" s="29"/>
      <c r="P155" s="30">
        <f t="shared" si="11"/>
        <v>0</v>
      </c>
      <c r="Q155" s="31">
        <f t="shared" si="9"/>
        <v>0</v>
      </c>
    </row>
    <row r="156" spans="1:17" x14ac:dyDescent="0.2">
      <c r="A156" s="10"/>
      <c r="B156" s="26"/>
      <c r="C156" s="11">
        <v>2005</v>
      </c>
      <c r="D156" s="32">
        <f>SPFI_CLB14!$D$28</f>
        <v>0.37848700000000002</v>
      </c>
      <c r="E156" s="32"/>
      <c r="F156" s="32"/>
      <c r="G156" s="32"/>
      <c r="H156" s="32"/>
      <c r="I156" s="32"/>
      <c r="J156" s="28">
        <f t="shared" ref="J156" si="16">D156*J$4</f>
        <v>0</v>
      </c>
      <c r="K156" s="29"/>
      <c r="L156" s="29"/>
      <c r="M156" s="29"/>
      <c r="N156" s="29"/>
      <c r="O156" s="29"/>
      <c r="P156" s="30">
        <f t="shared" si="11"/>
        <v>0</v>
      </c>
      <c r="Q156" s="31">
        <f t="shared" si="9"/>
        <v>0</v>
      </c>
    </row>
    <row r="157" spans="1:17" x14ac:dyDescent="0.2">
      <c r="A157" s="10"/>
      <c r="B157" s="26"/>
      <c r="C157" s="11">
        <v>2006</v>
      </c>
      <c r="D157" s="32">
        <f>SPFI_CLB14!$D$29</f>
        <v>0.381023</v>
      </c>
      <c r="E157" s="32"/>
      <c r="F157" s="32"/>
      <c r="G157" s="32"/>
      <c r="H157" s="32"/>
      <c r="I157" s="32"/>
      <c r="J157" s="28">
        <f t="shared" ref="J157" si="17">D157*J$4</f>
        <v>0</v>
      </c>
      <c r="K157" s="29"/>
      <c r="L157" s="29"/>
      <c r="M157" s="29"/>
      <c r="N157" s="29"/>
      <c r="O157" s="29"/>
      <c r="P157" s="30">
        <f t="shared" ref="P157:P164" si="18">SUM(J157:O157)</f>
        <v>0</v>
      </c>
      <c r="Q157" s="31">
        <f t="shared" ref="Q157:Q162" si="19">IF(C$4&gt;0,P157/C$4,0)</f>
        <v>0</v>
      </c>
    </row>
    <row r="158" spans="1:17" x14ac:dyDescent="0.2">
      <c r="A158" s="10"/>
      <c r="B158" s="26"/>
      <c r="C158" s="11">
        <v>2007</v>
      </c>
      <c r="D158" s="32">
        <f>SPFI_CLB14!$D$30</f>
        <v>0.356512</v>
      </c>
      <c r="E158" s="32"/>
      <c r="F158" s="32"/>
      <c r="G158" s="32"/>
      <c r="H158" s="32"/>
      <c r="I158" s="32"/>
      <c r="J158" s="28">
        <f t="shared" ref="J158" si="20">D158*J$4</f>
        <v>0</v>
      </c>
      <c r="K158" s="29"/>
      <c r="L158" s="29"/>
      <c r="M158" s="29"/>
      <c r="N158" s="29"/>
      <c r="O158" s="29"/>
      <c r="P158" s="30">
        <f t="shared" si="18"/>
        <v>0</v>
      </c>
      <c r="Q158" s="31">
        <f t="shared" si="19"/>
        <v>0</v>
      </c>
    </row>
    <row r="159" spans="1:17" x14ac:dyDescent="0.2">
      <c r="A159" s="10"/>
      <c r="B159" s="26"/>
      <c r="C159" s="11">
        <v>2008</v>
      </c>
      <c r="D159" s="32">
        <f>SPFI_CLB14!$D$31</f>
        <v>0.25494499999999998</v>
      </c>
      <c r="E159" s="32"/>
      <c r="F159" s="32"/>
      <c r="G159" s="32"/>
      <c r="H159" s="32"/>
      <c r="I159" s="32"/>
      <c r="J159" s="28">
        <f t="shared" ref="J159" si="21">D159*J$4</f>
        <v>0</v>
      </c>
      <c r="K159" s="29"/>
      <c r="L159" s="29"/>
      <c r="M159" s="29"/>
      <c r="N159" s="29"/>
      <c r="O159" s="29"/>
      <c r="P159" s="30">
        <f t="shared" si="18"/>
        <v>0</v>
      </c>
      <c r="Q159" s="31">
        <f t="shared" si="19"/>
        <v>0</v>
      </c>
    </row>
    <row r="160" spans="1:17" x14ac:dyDescent="0.2">
      <c r="A160" s="10"/>
      <c r="B160" s="26"/>
      <c r="C160" s="11">
        <v>2009</v>
      </c>
      <c r="D160" s="32">
        <f>SPFI_CLB14!$D$32</f>
        <v>0.52383000000000002</v>
      </c>
      <c r="E160" s="32"/>
      <c r="F160" s="32"/>
      <c r="G160" s="32"/>
      <c r="H160" s="32"/>
      <c r="I160" s="32"/>
      <c r="J160" s="28">
        <f t="shared" ref="J160" si="22">D160*J$4</f>
        <v>0</v>
      </c>
      <c r="K160" s="29"/>
      <c r="L160" s="29"/>
      <c r="M160" s="29"/>
      <c r="N160" s="29"/>
      <c r="O160" s="29"/>
      <c r="P160" s="30">
        <f t="shared" si="18"/>
        <v>0</v>
      </c>
      <c r="Q160" s="31">
        <f t="shared" si="19"/>
        <v>0</v>
      </c>
    </row>
    <row r="161" spans="1:17" x14ac:dyDescent="0.2">
      <c r="A161" s="10"/>
      <c r="B161" s="26"/>
      <c r="C161" s="11">
        <v>2010</v>
      </c>
      <c r="D161" s="32">
        <f>SPFI_CLB14!$D$33</f>
        <v>0.31394</v>
      </c>
      <c r="E161" s="32"/>
      <c r="F161" s="32"/>
      <c r="G161" s="32"/>
      <c r="H161" s="32"/>
      <c r="I161" s="32"/>
      <c r="J161" s="28">
        <f t="shared" ref="J161" si="23">D161*J$4</f>
        <v>0</v>
      </c>
      <c r="K161" s="29"/>
      <c r="L161" s="29"/>
      <c r="M161" s="29"/>
      <c r="N161" s="29"/>
      <c r="O161" s="29"/>
      <c r="P161" s="30">
        <f t="shared" si="18"/>
        <v>0</v>
      </c>
      <c r="Q161" s="31">
        <f t="shared" si="19"/>
        <v>0</v>
      </c>
    </row>
    <row r="162" spans="1:17" x14ac:dyDescent="0.2">
      <c r="A162" s="10"/>
      <c r="B162" s="26"/>
      <c r="C162" s="11">
        <v>2011</v>
      </c>
      <c r="D162" s="32">
        <f>SPFI_CLB14!$D$34</f>
        <v>0.294348</v>
      </c>
      <c r="E162" s="32"/>
      <c r="F162" s="32"/>
      <c r="G162" s="32"/>
      <c r="H162" s="32"/>
      <c r="I162" s="32"/>
      <c r="J162" s="28">
        <f t="shared" ref="J162" si="24">D162*J$4</f>
        <v>0</v>
      </c>
      <c r="K162" s="29"/>
      <c r="L162" s="29"/>
      <c r="M162" s="29"/>
      <c r="N162" s="29"/>
      <c r="O162" s="29"/>
      <c r="P162" s="30">
        <f t="shared" ref="P162" si="25">SUM(J162:O162)</f>
        <v>0</v>
      </c>
      <c r="Q162" s="31">
        <f t="shared" si="19"/>
        <v>0</v>
      </c>
    </row>
    <row r="163" spans="1:17" x14ac:dyDescent="0.2">
      <c r="A163" s="10"/>
      <c r="B163" s="26"/>
      <c r="C163" s="11">
        <v>2012</v>
      </c>
      <c r="D163" s="32">
        <f>SPFI_CLB14!$D$35</f>
        <v>0.34784100000000001</v>
      </c>
      <c r="E163" s="32"/>
      <c r="F163" s="32"/>
      <c r="G163" s="32"/>
      <c r="H163" s="32"/>
      <c r="I163" s="32"/>
      <c r="J163" s="28">
        <f t="shared" ref="J163" si="26">D163*J$4</f>
        <v>0</v>
      </c>
      <c r="K163" s="29"/>
      <c r="L163" s="29"/>
      <c r="M163" s="29"/>
      <c r="N163" s="29"/>
      <c r="O163" s="29"/>
      <c r="P163" s="30">
        <f t="shared" ref="P163" si="27">SUM(J163:O163)</f>
        <v>0</v>
      </c>
      <c r="Q163" s="31">
        <f t="shared" ref="Q163" si="28">IF(C$4&gt;0,P163/C$4,0)</f>
        <v>0</v>
      </c>
    </row>
    <row r="164" spans="1:17" x14ac:dyDescent="0.2">
      <c r="A164" s="5" t="s">
        <v>6</v>
      </c>
      <c r="B164" s="21">
        <v>3</v>
      </c>
      <c r="C164" s="6">
        <v>1982</v>
      </c>
      <c r="D164" s="27">
        <f>SPFI_CLB14!$D$5</f>
        <v>0.98153299999999999</v>
      </c>
      <c r="E164" s="27"/>
      <c r="F164" s="27"/>
      <c r="G164" s="27"/>
      <c r="H164" s="27"/>
      <c r="I164" s="27"/>
      <c r="J164" s="33">
        <f>D164*J$5</f>
        <v>1.1055076849376001E-2</v>
      </c>
      <c r="K164" s="27"/>
      <c r="L164" s="27"/>
      <c r="M164" s="27"/>
      <c r="N164" s="27"/>
      <c r="O164" s="27"/>
      <c r="P164" s="34">
        <f t="shared" si="18"/>
        <v>1.1055076849376001E-2</v>
      </c>
      <c r="Q164" s="35">
        <f t="shared" ref="Q164:Q180" si="29">IF(C$5&gt;0,P164/C$5,0)</f>
        <v>0.98153299999999999</v>
      </c>
    </row>
    <row r="165" spans="1:17" x14ac:dyDescent="0.2">
      <c r="A165" s="10"/>
      <c r="B165" s="26"/>
      <c r="C165" s="11">
        <v>1983</v>
      </c>
      <c r="D165" s="32">
        <f>SPFI_CLB14!$D$6</f>
        <v>0.93659899999999996</v>
      </c>
      <c r="E165" s="32"/>
      <c r="F165" s="32"/>
      <c r="G165" s="32"/>
      <c r="H165" s="32"/>
      <c r="I165" s="32"/>
      <c r="J165" s="28">
        <f t="shared" ref="J165:J176" si="30">D165*J$5</f>
        <v>1.0548981972128E-2</v>
      </c>
      <c r="K165" s="29"/>
      <c r="L165" s="29"/>
      <c r="M165" s="29"/>
      <c r="N165" s="29"/>
      <c r="O165" s="29"/>
      <c r="P165" s="30">
        <f t="shared" ref="P165:P176" si="31">SUM(J165:O165)</f>
        <v>1.0548981972128E-2</v>
      </c>
      <c r="Q165" s="31">
        <f t="shared" si="29"/>
        <v>0.93659899999999996</v>
      </c>
    </row>
    <row r="166" spans="1:17" x14ac:dyDescent="0.2">
      <c r="A166" s="10"/>
      <c r="B166" s="26"/>
      <c r="C166" s="11">
        <v>1984</v>
      </c>
      <c r="D166" s="32">
        <f>SPFI_CLB14!$D$7</f>
        <v>0.92793599999999998</v>
      </c>
      <c r="E166" s="32"/>
      <c r="F166" s="32"/>
      <c r="G166" s="32"/>
      <c r="H166" s="32"/>
      <c r="I166" s="32"/>
      <c r="J166" s="28">
        <f t="shared" si="30"/>
        <v>1.0451409979392E-2</v>
      </c>
      <c r="K166" s="29"/>
      <c r="L166" s="29"/>
      <c r="M166" s="29"/>
      <c r="N166" s="29"/>
      <c r="O166" s="29"/>
      <c r="P166" s="30">
        <f t="shared" si="31"/>
        <v>1.0451409979392E-2</v>
      </c>
      <c r="Q166" s="31">
        <f t="shared" si="29"/>
        <v>0.92793599999999987</v>
      </c>
    </row>
    <row r="167" spans="1:17" x14ac:dyDescent="0.2">
      <c r="A167" s="10"/>
      <c r="B167" s="26"/>
      <c r="C167" s="11">
        <v>1985</v>
      </c>
      <c r="D167" s="32">
        <f>SPFI_CLB14!$D$8</f>
        <v>0.90386500000000003</v>
      </c>
      <c r="E167" s="32"/>
      <c r="F167" s="32"/>
      <c r="G167" s="32"/>
      <c r="H167" s="32"/>
      <c r="I167" s="32"/>
      <c r="J167" s="28">
        <f t="shared" si="30"/>
        <v>1.0180296573280002E-2</v>
      </c>
      <c r="K167" s="29"/>
      <c r="L167" s="29"/>
      <c r="M167" s="29"/>
      <c r="N167" s="29"/>
      <c r="O167" s="29"/>
      <c r="P167" s="30">
        <f t="shared" si="31"/>
        <v>1.0180296573280002E-2</v>
      </c>
      <c r="Q167" s="31">
        <f t="shared" si="29"/>
        <v>0.90386500000000014</v>
      </c>
    </row>
    <row r="168" spans="1:17" x14ac:dyDescent="0.2">
      <c r="A168" s="10"/>
      <c r="B168" s="26"/>
      <c r="C168" s="11">
        <v>1986</v>
      </c>
      <c r="D168" s="32">
        <f>SPFI_CLB14!$D$9</f>
        <v>0.73087500000000005</v>
      </c>
      <c r="E168" s="32"/>
      <c r="F168" s="32"/>
      <c r="G168" s="32"/>
      <c r="H168" s="32"/>
      <c r="I168" s="32"/>
      <c r="J168" s="28">
        <f t="shared" si="30"/>
        <v>8.2318977480000007E-3</v>
      </c>
      <c r="K168" s="29"/>
      <c r="L168" s="29"/>
      <c r="M168" s="29"/>
      <c r="N168" s="29"/>
      <c r="O168" s="29"/>
      <c r="P168" s="30">
        <f t="shared" si="31"/>
        <v>8.2318977480000007E-3</v>
      </c>
      <c r="Q168" s="31">
        <f t="shared" si="29"/>
        <v>0.73087500000000005</v>
      </c>
    </row>
    <row r="169" spans="1:17" x14ac:dyDescent="0.2">
      <c r="A169" s="10"/>
      <c r="B169" s="26"/>
      <c r="C169" s="11">
        <v>1987</v>
      </c>
      <c r="D169" s="32">
        <f>SPFI_CLB14!$D$10</f>
        <v>0.71733499999999994</v>
      </c>
      <c r="E169" s="32"/>
      <c r="F169" s="32"/>
      <c r="G169" s="32"/>
      <c r="H169" s="32"/>
      <c r="I169" s="32"/>
      <c r="J169" s="28">
        <f t="shared" si="30"/>
        <v>8.07939575312E-3</v>
      </c>
      <c r="K169" s="29"/>
      <c r="L169" s="29"/>
      <c r="M169" s="29"/>
      <c r="N169" s="29"/>
      <c r="O169" s="29"/>
      <c r="P169" s="30">
        <f t="shared" si="31"/>
        <v>8.07939575312E-3</v>
      </c>
      <c r="Q169" s="31">
        <f t="shared" si="29"/>
        <v>0.71733499999999994</v>
      </c>
    </row>
    <row r="170" spans="1:17" x14ac:dyDescent="0.2">
      <c r="A170" s="10"/>
      <c r="B170" s="26"/>
      <c r="C170" s="11">
        <v>1988</v>
      </c>
      <c r="D170" s="32">
        <f>SPFI_CLB14!$D$11</f>
        <v>0.64558800000000005</v>
      </c>
      <c r="E170" s="32"/>
      <c r="F170" s="32"/>
      <c r="G170" s="32"/>
      <c r="H170" s="32"/>
      <c r="I170" s="32"/>
      <c r="J170" s="28">
        <f t="shared" si="30"/>
        <v>7.2713041263360008E-3</v>
      </c>
      <c r="K170" s="29"/>
      <c r="L170" s="29"/>
      <c r="M170" s="29"/>
      <c r="N170" s="29"/>
      <c r="O170" s="29"/>
      <c r="P170" s="30">
        <f t="shared" si="31"/>
        <v>7.2713041263360008E-3</v>
      </c>
      <c r="Q170" s="31">
        <f t="shared" si="29"/>
        <v>0.64558800000000005</v>
      </c>
    </row>
    <row r="171" spans="1:17" x14ac:dyDescent="0.2">
      <c r="A171" s="10"/>
      <c r="B171" s="26"/>
      <c r="C171" s="11">
        <v>1989</v>
      </c>
      <c r="D171" s="32">
        <f>SPFI_CLB14!$D$12</f>
        <v>0.65287700000000004</v>
      </c>
      <c r="E171" s="32"/>
      <c r="F171" s="32"/>
      <c r="G171" s="32"/>
      <c r="H171" s="32"/>
      <c r="I171" s="32"/>
      <c r="J171" s="28">
        <f t="shared" si="30"/>
        <v>7.3534006581440006E-3</v>
      </c>
      <c r="K171" s="29"/>
      <c r="L171" s="29"/>
      <c r="M171" s="29"/>
      <c r="N171" s="29"/>
      <c r="O171" s="29"/>
      <c r="P171" s="30">
        <f t="shared" si="31"/>
        <v>7.3534006581440006E-3</v>
      </c>
      <c r="Q171" s="31">
        <f t="shared" si="29"/>
        <v>0.65287700000000004</v>
      </c>
    </row>
    <row r="172" spans="1:17" x14ac:dyDescent="0.2">
      <c r="A172" s="10"/>
      <c r="B172" s="26"/>
      <c r="C172" s="11">
        <v>1990</v>
      </c>
      <c r="D172" s="32">
        <f>SPFI_CLB14!$D$13</f>
        <v>0.56965100000000002</v>
      </c>
      <c r="E172" s="32"/>
      <c r="F172" s="32"/>
      <c r="G172" s="32"/>
      <c r="H172" s="32"/>
      <c r="I172" s="32"/>
      <c r="J172" s="28">
        <f t="shared" si="30"/>
        <v>6.4160202278720005E-3</v>
      </c>
      <c r="K172" s="29"/>
      <c r="L172" s="29"/>
      <c r="M172" s="29"/>
      <c r="N172" s="29"/>
      <c r="O172" s="29"/>
      <c r="P172" s="30">
        <f t="shared" si="31"/>
        <v>6.4160202278720005E-3</v>
      </c>
      <c r="Q172" s="31">
        <f t="shared" si="29"/>
        <v>0.56965100000000002</v>
      </c>
    </row>
    <row r="173" spans="1:17" x14ac:dyDescent="0.2">
      <c r="A173" s="10"/>
      <c r="B173" s="26"/>
      <c r="C173" s="11">
        <v>1991</v>
      </c>
      <c r="D173" s="32">
        <f>SPFI_CLB14!$D$14</f>
        <v>0.62776900000000002</v>
      </c>
      <c r="E173" s="32"/>
      <c r="F173" s="32"/>
      <c r="G173" s="32"/>
      <c r="H173" s="32"/>
      <c r="I173" s="32"/>
      <c r="J173" s="28">
        <f t="shared" si="30"/>
        <v>7.0706074463680003E-3</v>
      </c>
      <c r="K173" s="29"/>
      <c r="L173" s="29"/>
      <c r="M173" s="29"/>
      <c r="N173" s="29"/>
      <c r="O173" s="29"/>
      <c r="P173" s="30">
        <f t="shared" si="31"/>
        <v>7.0706074463680003E-3</v>
      </c>
      <c r="Q173" s="31">
        <f t="shared" si="29"/>
        <v>0.62776900000000002</v>
      </c>
    </row>
    <row r="174" spans="1:17" x14ac:dyDescent="0.2">
      <c r="A174" s="10"/>
      <c r="B174" s="26"/>
      <c r="C174" s="11">
        <v>1992</v>
      </c>
      <c r="D174" s="32">
        <f>SPFI_CLB14!$D$15</f>
        <v>0.43504100000000001</v>
      </c>
      <c r="E174" s="32"/>
      <c r="F174" s="32"/>
      <c r="G174" s="32"/>
      <c r="H174" s="32"/>
      <c r="I174" s="32"/>
      <c r="J174" s="28">
        <f t="shared" si="30"/>
        <v>4.8998981059520004E-3</v>
      </c>
      <c r="K174" s="29"/>
      <c r="L174" s="29"/>
      <c r="M174" s="29"/>
      <c r="N174" s="29"/>
      <c r="O174" s="29"/>
      <c r="P174" s="30">
        <f t="shared" si="31"/>
        <v>4.8998981059520004E-3</v>
      </c>
      <c r="Q174" s="31">
        <f t="shared" si="29"/>
        <v>0.43504100000000001</v>
      </c>
    </row>
    <row r="175" spans="1:17" x14ac:dyDescent="0.2">
      <c r="A175" s="10"/>
      <c r="B175" s="26"/>
      <c r="C175" s="11">
        <v>1993</v>
      </c>
      <c r="D175" s="32">
        <f>SPFI_CLB14!$D$16</f>
        <v>0.499164</v>
      </c>
      <c r="E175" s="32"/>
      <c r="F175" s="32"/>
      <c r="G175" s="32"/>
      <c r="H175" s="32"/>
      <c r="I175" s="32"/>
      <c r="J175" s="28">
        <f t="shared" si="30"/>
        <v>5.6221200718080001E-3</v>
      </c>
      <c r="K175" s="29"/>
      <c r="L175" s="29"/>
      <c r="M175" s="29"/>
      <c r="N175" s="29"/>
      <c r="O175" s="29"/>
      <c r="P175" s="30">
        <f t="shared" si="31"/>
        <v>5.6221200718080001E-3</v>
      </c>
      <c r="Q175" s="31">
        <f t="shared" si="29"/>
        <v>0.499164</v>
      </c>
    </row>
    <row r="176" spans="1:17" x14ac:dyDescent="0.2">
      <c r="A176" s="10"/>
      <c r="B176" s="26"/>
      <c r="C176" s="11">
        <v>1994</v>
      </c>
      <c r="D176" s="32">
        <f>SPFI_CLB14!$D$17</f>
        <v>0.59591300000000003</v>
      </c>
      <c r="E176" s="32"/>
      <c r="F176" s="32"/>
      <c r="G176" s="32"/>
      <c r="H176" s="32"/>
      <c r="I176" s="32"/>
      <c r="J176" s="28">
        <f t="shared" si="30"/>
        <v>6.7118110247360004E-3</v>
      </c>
      <c r="K176" s="29"/>
      <c r="L176" s="29"/>
      <c r="M176" s="29"/>
      <c r="N176" s="29"/>
      <c r="O176" s="29"/>
      <c r="P176" s="30">
        <f t="shared" si="31"/>
        <v>6.7118110247360004E-3</v>
      </c>
      <c r="Q176" s="31">
        <f t="shared" si="29"/>
        <v>0.59591300000000003</v>
      </c>
    </row>
    <row r="177" spans="1:17" x14ac:dyDescent="0.2">
      <c r="A177" s="10"/>
      <c r="B177" s="26"/>
      <c r="C177" s="11">
        <v>1995</v>
      </c>
      <c r="D177" s="32">
        <f>SPFI_CLB14!$D$18</f>
        <v>0.25400800000000001</v>
      </c>
      <c r="E177" s="32"/>
      <c r="F177" s="32"/>
      <c r="G177" s="32"/>
      <c r="H177" s="32"/>
      <c r="I177" s="32"/>
      <c r="J177" s="28">
        <f t="shared" ref="J177" si="32">D177*J$5</f>
        <v>2.8609103925760003E-3</v>
      </c>
      <c r="K177" s="29"/>
      <c r="L177" s="29"/>
      <c r="M177" s="29"/>
      <c r="N177" s="29"/>
      <c r="O177" s="29"/>
      <c r="P177" s="30">
        <f>SUM(J177:O177)</f>
        <v>2.8609103925760003E-3</v>
      </c>
      <c r="Q177" s="31">
        <f t="shared" si="29"/>
        <v>0.25400800000000001</v>
      </c>
    </row>
    <row r="178" spans="1:17" x14ac:dyDescent="0.2">
      <c r="A178" s="10"/>
      <c r="B178" s="26"/>
      <c r="C178" s="11">
        <v>1996</v>
      </c>
      <c r="D178" s="32">
        <f>SPFI_CLB14!$D$19</f>
        <v>0</v>
      </c>
      <c r="E178" s="32"/>
      <c r="F178" s="32"/>
      <c r="G178" s="32"/>
      <c r="H178" s="32"/>
      <c r="I178" s="32"/>
      <c r="J178" s="28">
        <f t="shared" ref="J178" si="33">D178*J$5</f>
        <v>0</v>
      </c>
      <c r="K178" s="29"/>
      <c r="L178" s="29"/>
      <c r="M178" s="29"/>
      <c r="N178" s="29"/>
      <c r="O178" s="29"/>
      <c r="P178" s="30">
        <f>SUM(J178:O178)</f>
        <v>0</v>
      </c>
      <c r="Q178" s="31">
        <f t="shared" si="29"/>
        <v>0</v>
      </c>
    </row>
    <row r="179" spans="1:17" x14ac:dyDescent="0.2">
      <c r="A179" s="10"/>
      <c r="B179" s="26"/>
      <c r="C179" s="11">
        <v>1997</v>
      </c>
      <c r="D179" s="32">
        <f>SPFI_CLB14!$D$20</f>
        <v>0.201487</v>
      </c>
      <c r="E179" s="32"/>
      <c r="F179" s="32"/>
      <c r="G179" s="32"/>
      <c r="H179" s="32"/>
      <c r="I179" s="32"/>
      <c r="J179" s="28">
        <f t="shared" ref="J179" si="34">D179*J$5</f>
        <v>2.2693625880640003E-3</v>
      </c>
      <c r="K179" s="29"/>
      <c r="L179" s="29"/>
      <c r="M179" s="29"/>
      <c r="N179" s="29"/>
      <c r="O179" s="29"/>
      <c r="P179" s="30">
        <f>SUM(J179:O179)</f>
        <v>2.2693625880640003E-3</v>
      </c>
      <c r="Q179" s="31">
        <f t="shared" si="29"/>
        <v>0.20148700000000003</v>
      </c>
    </row>
    <row r="180" spans="1:17" x14ac:dyDescent="0.2">
      <c r="A180" s="10"/>
      <c r="B180" s="26"/>
      <c r="C180" s="11">
        <v>1998</v>
      </c>
      <c r="D180" s="32">
        <f>SPFI_CLB14!$D$21</f>
        <v>0.37506400000000001</v>
      </c>
      <c r="E180" s="32"/>
      <c r="F180" s="32"/>
      <c r="G180" s="32"/>
      <c r="H180" s="32"/>
      <c r="I180" s="32"/>
      <c r="J180" s="28">
        <f t="shared" ref="J180" si="35">D180*J$5</f>
        <v>4.2243728366080004E-3</v>
      </c>
      <c r="K180" s="29"/>
      <c r="L180" s="29"/>
      <c r="M180" s="29"/>
      <c r="N180" s="29"/>
      <c r="O180" s="29"/>
      <c r="P180" s="30">
        <f>SUM(J180:O180)</f>
        <v>4.2243728366080004E-3</v>
      </c>
      <c r="Q180" s="31">
        <f t="shared" si="29"/>
        <v>0.37506400000000001</v>
      </c>
    </row>
    <row r="181" spans="1:17" x14ac:dyDescent="0.2">
      <c r="A181" s="10"/>
      <c r="B181" s="26"/>
      <c r="C181" s="11">
        <v>1999</v>
      </c>
      <c r="D181" s="32">
        <f>SPFI_CLB14!$D$22</f>
        <v>0.29823699999999997</v>
      </c>
      <c r="E181" s="32"/>
      <c r="F181" s="32"/>
      <c r="G181" s="32"/>
      <c r="H181" s="32"/>
      <c r="I181" s="32"/>
      <c r="J181" s="28">
        <f t="shared" ref="J181" si="36">D181*J$5</f>
        <v>3.359064804064E-3</v>
      </c>
      <c r="K181" s="29"/>
      <c r="L181" s="29"/>
      <c r="M181" s="29"/>
      <c r="N181" s="29"/>
      <c r="O181" s="29"/>
      <c r="P181" s="30">
        <f>SUM(J181:O181)</f>
        <v>3.359064804064E-3</v>
      </c>
      <c r="Q181" s="31">
        <f t="shared" ref="Q181:Q186" si="37">IF(C$5&gt;0,P181/C$5,0)</f>
        <v>0.29823699999999997</v>
      </c>
    </row>
    <row r="182" spans="1:17" x14ac:dyDescent="0.2">
      <c r="A182" s="10"/>
      <c r="B182" s="26"/>
      <c r="C182" s="11">
        <v>2000</v>
      </c>
      <c r="D182" s="32">
        <f>SPFI_CLB14!$D$23</f>
        <v>8.4414000000000003E-2</v>
      </c>
      <c r="E182" s="32"/>
      <c r="F182" s="32"/>
      <c r="G182" s="32"/>
      <c r="H182" s="32"/>
      <c r="I182" s="32"/>
      <c r="J182" s="28">
        <f t="shared" ref="J182" si="38">D182*J$5</f>
        <v>9.5076095980800004E-4</v>
      </c>
      <c r="K182" s="29"/>
      <c r="L182" s="29"/>
      <c r="M182" s="29"/>
      <c r="N182" s="29"/>
      <c r="O182" s="29"/>
      <c r="P182" s="30">
        <f t="shared" ref="P182:P187" si="39">SUM(J182:O182)</f>
        <v>9.5076095980800004E-4</v>
      </c>
      <c r="Q182" s="31">
        <f t="shared" si="37"/>
        <v>8.4414000000000003E-2</v>
      </c>
    </row>
    <row r="183" spans="1:17" x14ac:dyDescent="0.2">
      <c r="A183" s="10"/>
      <c r="B183" s="26"/>
      <c r="C183" s="11">
        <v>2001</v>
      </c>
      <c r="D183" s="32">
        <f>SPFI_CLB14!$D$24</f>
        <v>7.8909000000000007E-2</v>
      </c>
      <c r="E183" s="32"/>
      <c r="F183" s="32"/>
      <c r="G183" s="32"/>
      <c r="H183" s="32"/>
      <c r="I183" s="32"/>
      <c r="J183" s="28">
        <f t="shared" ref="J183" si="40">D183*J$5</f>
        <v>8.8875774844800008E-4</v>
      </c>
      <c r="K183" s="29"/>
      <c r="L183" s="29"/>
      <c r="M183" s="29"/>
      <c r="N183" s="29"/>
      <c r="O183" s="29"/>
      <c r="P183" s="30">
        <f t="shared" si="39"/>
        <v>8.8875774844800008E-4</v>
      </c>
      <c r="Q183" s="31">
        <f t="shared" si="37"/>
        <v>7.8909000000000007E-2</v>
      </c>
    </row>
    <row r="184" spans="1:17" x14ac:dyDescent="0.2">
      <c r="A184" s="10"/>
      <c r="B184" s="26"/>
      <c r="C184" s="11">
        <v>2002</v>
      </c>
      <c r="D184" s="32">
        <f>SPFI_CLB14!$D$25</f>
        <v>0.29974699999999999</v>
      </c>
      <c r="E184" s="32"/>
      <c r="F184" s="32"/>
      <c r="G184" s="32"/>
      <c r="H184" s="32"/>
      <c r="I184" s="32"/>
      <c r="J184" s="28">
        <f t="shared" ref="J184" si="41">D184*J$5</f>
        <v>3.3760720427840002E-3</v>
      </c>
      <c r="K184" s="29"/>
      <c r="L184" s="29"/>
      <c r="M184" s="29"/>
      <c r="N184" s="29"/>
      <c r="O184" s="29"/>
      <c r="P184" s="30">
        <f t="shared" si="39"/>
        <v>3.3760720427840002E-3</v>
      </c>
      <c r="Q184" s="31">
        <f t="shared" si="37"/>
        <v>0.29974699999999999</v>
      </c>
    </row>
    <row r="185" spans="1:17" x14ac:dyDescent="0.2">
      <c r="A185" s="10"/>
      <c r="B185" s="26"/>
      <c r="C185" s="11">
        <v>2003</v>
      </c>
      <c r="D185" s="32">
        <f>SPFI_CLB14!$D$26</f>
        <v>0.20691100000000001</v>
      </c>
      <c r="E185" s="32"/>
      <c r="F185" s="32"/>
      <c r="G185" s="32"/>
      <c r="H185" s="32"/>
      <c r="I185" s="32"/>
      <c r="J185" s="28">
        <f t="shared" ref="J185" si="42">D185*J$5</f>
        <v>2.3304534905920003E-3</v>
      </c>
      <c r="K185" s="29"/>
      <c r="L185" s="29"/>
      <c r="M185" s="29"/>
      <c r="N185" s="29"/>
      <c r="O185" s="29"/>
      <c r="P185" s="30">
        <f t="shared" si="39"/>
        <v>2.3304534905920003E-3</v>
      </c>
      <c r="Q185" s="31">
        <f t="shared" si="37"/>
        <v>0.20691100000000001</v>
      </c>
    </row>
    <row r="186" spans="1:17" x14ac:dyDescent="0.2">
      <c r="A186" s="10"/>
      <c r="B186" s="26"/>
      <c r="C186" s="11">
        <v>2004</v>
      </c>
      <c r="D186" s="32">
        <f>SPFI_CLB14!$D$27</f>
        <v>0.269237</v>
      </c>
      <c r="E186" s="32"/>
      <c r="F186" s="32"/>
      <c r="G186" s="32"/>
      <c r="H186" s="32"/>
      <c r="I186" s="32"/>
      <c r="J186" s="28">
        <f t="shared" ref="J186" si="43">D186*J$5</f>
        <v>3.0324357160640002E-3</v>
      </c>
      <c r="K186" s="29"/>
      <c r="L186" s="29"/>
      <c r="M186" s="29"/>
      <c r="N186" s="29"/>
      <c r="O186" s="29"/>
      <c r="P186" s="30">
        <f t="shared" si="39"/>
        <v>3.0324357160640002E-3</v>
      </c>
      <c r="Q186" s="31">
        <f t="shared" si="37"/>
        <v>0.269237</v>
      </c>
    </row>
    <row r="187" spans="1:17" x14ac:dyDescent="0.2">
      <c r="A187" s="10"/>
      <c r="B187" s="26"/>
      <c r="C187" s="11">
        <v>2005</v>
      </c>
      <c r="D187" s="32">
        <f>SPFI_CLB14!$D$28</f>
        <v>0.37848700000000002</v>
      </c>
      <c r="E187" s="32"/>
      <c r="F187" s="32"/>
      <c r="G187" s="32"/>
      <c r="H187" s="32"/>
      <c r="I187" s="32"/>
      <c r="J187" s="28">
        <f t="shared" ref="J187:J189" si="44">D187*J$5</f>
        <v>4.2629263320640006E-3</v>
      </c>
      <c r="K187" s="29"/>
      <c r="L187" s="29"/>
      <c r="M187" s="29"/>
      <c r="N187" s="29"/>
      <c r="O187" s="29"/>
      <c r="P187" s="30">
        <f t="shared" si="39"/>
        <v>4.2629263320640006E-3</v>
      </c>
      <c r="Q187" s="31">
        <f t="shared" ref="Q187:Q192" si="45">IF(C$5&gt;0,P187/C$5,0)</f>
        <v>0.37848700000000002</v>
      </c>
    </row>
    <row r="188" spans="1:17" x14ac:dyDescent="0.2">
      <c r="A188" s="10"/>
      <c r="B188" s="26"/>
      <c r="C188" s="11">
        <v>2006</v>
      </c>
      <c r="D188" s="32">
        <f>SPFI_CLB14!$D$29</f>
        <v>0.381023</v>
      </c>
      <c r="E188" s="32"/>
      <c r="F188" s="32"/>
      <c r="G188" s="32"/>
      <c r="H188" s="32"/>
      <c r="I188" s="32"/>
      <c r="J188" s="28">
        <f t="shared" si="44"/>
        <v>4.2914894826560001E-3</v>
      </c>
      <c r="K188" s="29"/>
      <c r="L188" s="29"/>
      <c r="M188" s="29"/>
      <c r="N188" s="29"/>
      <c r="O188" s="29"/>
      <c r="P188" s="30">
        <f t="shared" ref="P188:P195" si="46">SUM(J188:O188)</f>
        <v>4.2914894826560001E-3</v>
      </c>
      <c r="Q188" s="31">
        <f t="shared" si="45"/>
        <v>0.381023</v>
      </c>
    </row>
    <row r="189" spans="1:17" x14ac:dyDescent="0.2">
      <c r="A189" s="10"/>
      <c r="B189" s="26"/>
      <c r="C189" s="11">
        <v>2007</v>
      </c>
      <c r="D189" s="32">
        <f>SPFI_CLB14!$D$30</f>
        <v>0.356512</v>
      </c>
      <c r="E189" s="32"/>
      <c r="F189" s="32"/>
      <c r="G189" s="32"/>
      <c r="H189" s="32"/>
      <c r="I189" s="32"/>
      <c r="J189" s="28">
        <f t="shared" si="44"/>
        <v>4.0154203248639999E-3</v>
      </c>
      <c r="K189" s="29"/>
      <c r="L189" s="29"/>
      <c r="M189" s="29"/>
      <c r="N189" s="29"/>
      <c r="O189" s="29"/>
      <c r="P189" s="30">
        <f t="shared" si="46"/>
        <v>4.0154203248639999E-3</v>
      </c>
      <c r="Q189" s="31">
        <f t="shared" si="45"/>
        <v>0.35651199999999994</v>
      </c>
    </row>
    <row r="190" spans="1:17" x14ac:dyDescent="0.2">
      <c r="A190" s="10"/>
      <c r="B190" s="26"/>
      <c r="C190" s="11">
        <v>2008</v>
      </c>
      <c r="D190" s="32">
        <f>SPFI_CLB14!$D$31</f>
        <v>0.25494499999999998</v>
      </c>
      <c r="E190" s="32"/>
      <c r="F190" s="32"/>
      <c r="G190" s="32"/>
      <c r="H190" s="32"/>
      <c r="I190" s="32"/>
      <c r="J190" s="28">
        <f t="shared" ref="J190:J192" si="47">D190*J$5</f>
        <v>2.8714638910399999E-3</v>
      </c>
      <c r="K190" s="29"/>
      <c r="L190" s="29"/>
      <c r="M190" s="29"/>
      <c r="N190" s="29"/>
      <c r="O190" s="29"/>
      <c r="P190" s="30">
        <f t="shared" si="46"/>
        <v>2.8714638910399999E-3</v>
      </c>
      <c r="Q190" s="31">
        <f t="shared" si="45"/>
        <v>0.25494499999999998</v>
      </c>
    </row>
    <row r="191" spans="1:17" x14ac:dyDescent="0.2">
      <c r="A191" s="10"/>
      <c r="B191" s="26"/>
      <c r="C191" s="11">
        <v>2009</v>
      </c>
      <c r="D191" s="32">
        <f>SPFI_CLB14!$D$32</f>
        <v>0.52383000000000002</v>
      </c>
      <c r="E191" s="32"/>
      <c r="F191" s="32"/>
      <c r="G191" s="32"/>
      <c r="H191" s="32"/>
      <c r="I191" s="32"/>
      <c r="J191" s="28">
        <f t="shared" si="47"/>
        <v>5.8999350057600004E-3</v>
      </c>
      <c r="K191" s="29"/>
      <c r="L191" s="29"/>
      <c r="M191" s="29"/>
      <c r="N191" s="29"/>
      <c r="O191" s="29"/>
      <c r="P191" s="30">
        <f t="shared" si="46"/>
        <v>5.8999350057600004E-3</v>
      </c>
      <c r="Q191" s="31">
        <f t="shared" si="45"/>
        <v>0.52383000000000002</v>
      </c>
    </row>
    <row r="192" spans="1:17" x14ac:dyDescent="0.2">
      <c r="A192" s="10"/>
      <c r="B192" s="26"/>
      <c r="C192" s="11">
        <v>2010</v>
      </c>
      <c r="D192" s="32">
        <f>SPFI_CLB14!$D$33</f>
        <v>0.31394</v>
      </c>
      <c r="E192" s="32"/>
      <c r="F192" s="32"/>
      <c r="G192" s="32"/>
      <c r="H192" s="32"/>
      <c r="I192" s="32"/>
      <c r="J192" s="28">
        <f t="shared" si="47"/>
        <v>3.5359288236800003E-3</v>
      </c>
      <c r="K192" s="29"/>
      <c r="L192" s="29"/>
      <c r="M192" s="29"/>
      <c r="N192" s="29"/>
      <c r="O192" s="29"/>
      <c r="P192" s="30">
        <f t="shared" si="46"/>
        <v>3.5359288236800003E-3</v>
      </c>
      <c r="Q192" s="31">
        <f t="shared" si="45"/>
        <v>0.31394</v>
      </c>
    </row>
    <row r="193" spans="1:17" x14ac:dyDescent="0.2">
      <c r="A193" s="10"/>
      <c r="B193" s="26"/>
      <c r="C193" s="11">
        <v>2011</v>
      </c>
      <c r="D193" s="32">
        <f>SPFI_CLB14!$D$34</f>
        <v>0.294348</v>
      </c>
      <c r="E193" s="32"/>
      <c r="F193" s="32"/>
      <c r="G193" s="32"/>
      <c r="H193" s="32"/>
      <c r="I193" s="32"/>
      <c r="J193" s="28">
        <f t="shared" ref="J193" si="48">D193*J$5</f>
        <v>3.3152627170560003E-3</v>
      </c>
      <c r="K193" s="29"/>
      <c r="L193" s="29"/>
      <c r="M193" s="29"/>
      <c r="N193" s="29"/>
      <c r="O193" s="29"/>
      <c r="P193" s="30">
        <f t="shared" ref="P193" si="49">SUM(J193:O193)</f>
        <v>3.3152627170560003E-3</v>
      </c>
      <c r="Q193" s="31">
        <f t="shared" ref="Q193" si="50">IF(C$5&gt;0,P193/C$5,0)</f>
        <v>0.294348</v>
      </c>
    </row>
    <row r="194" spans="1:17" x14ac:dyDescent="0.2">
      <c r="A194" s="10"/>
      <c r="B194" s="26"/>
      <c r="C194" s="11">
        <v>2012</v>
      </c>
      <c r="D194" s="32">
        <f>SPFI_CLB14!$D$35</f>
        <v>0.34784100000000001</v>
      </c>
      <c r="E194" s="32"/>
      <c r="F194" s="32"/>
      <c r="G194" s="32"/>
      <c r="H194" s="32"/>
      <c r="I194" s="32"/>
      <c r="J194" s="28">
        <f t="shared" ref="J194" si="51">D194*J$5</f>
        <v>3.9177582275520002E-3</v>
      </c>
      <c r="K194" s="29"/>
      <c r="L194" s="29"/>
      <c r="M194" s="29"/>
      <c r="N194" s="29"/>
      <c r="O194" s="29"/>
      <c r="P194" s="30">
        <f t="shared" ref="P194" si="52">SUM(J194:O194)</f>
        <v>3.9177582275520002E-3</v>
      </c>
      <c r="Q194" s="31">
        <f t="shared" ref="Q194" si="53">IF(C$5&gt;0,P194/C$5,0)</f>
        <v>0.34784100000000001</v>
      </c>
    </row>
    <row r="195" spans="1:17" x14ac:dyDescent="0.2">
      <c r="A195" s="5" t="s">
        <v>6</v>
      </c>
      <c r="B195" s="21">
        <v>4</v>
      </c>
      <c r="C195" s="6">
        <v>1982</v>
      </c>
      <c r="D195" s="27">
        <f>SPFI_CLB14!$D$5</f>
        <v>0.98153299999999999</v>
      </c>
      <c r="E195" s="27"/>
      <c r="F195" s="27"/>
      <c r="G195" s="27"/>
      <c r="H195" s="27"/>
      <c r="I195" s="27"/>
      <c r="J195" s="33">
        <f t="shared" ref="J195:J207" si="54">D195*J$6</f>
        <v>1.0729557319124E-2</v>
      </c>
      <c r="K195" s="27"/>
      <c r="L195" s="27"/>
      <c r="M195" s="27"/>
      <c r="N195" s="27"/>
      <c r="O195" s="27"/>
      <c r="P195" s="34">
        <f t="shared" si="46"/>
        <v>1.0729557319124E-2</v>
      </c>
      <c r="Q195" s="35">
        <f t="shared" ref="Q195:Q211" si="55">IF(C$6&gt;0,P195/C$6,0)</f>
        <v>0.9815330000000001</v>
      </c>
    </row>
    <row r="196" spans="1:17" x14ac:dyDescent="0.2">
      <c r="A196" s="10"/>
      <c r="B196" s="26"/>
      <c r="C196" s="11">
        <v>1983</v>
      </c>
      <c r="D196" s="32">
        <f>SPFI_CLB14!$D$6</f>
        <v>0.93659899999999996</v>
      </c>
      <c r="E196" s="32"/>
      <c r="F196" s="32"/>
      <c r="G196" s="32"/>
      <c r="H196" s="32"/>
      <c r="I196" s="32"/>
      <c r="J196" s="28">
        <f t="shared" si="54"/>
        <v>1.0238364533371999E-2</v>
      </c>
      <c r="K196" s="29"/>
      <c r="L196" s="29"/>
      <c r="M196" s="29"/>
      <c r="N196" s="29"/>
      <c r="O196" s="29"/>
      <c r="P196" s="30">
        <f t="shared" ref="P196:P207" si="56">SUM(J196:O196)</f>
        <v>1.0238364533371999E-2</v>
      </c>
      <c r="Q196" s="31">
        <f t="shared" si="55"/>
        <v>0.93659899999999996</v>
      </c>
    </row>
    <row r="197" spans="1:17" x14ac:dyDescent="0.2">
      <c r="A197" s="10"/>
      <c r="B197" s="26"/>
      <c r="C197" s="11">
        <v>1984</v>
      </c>
      <c r="D197" s="32">
        <f>SPFI_CLB14!$D$7</f>
        <v>0.92793599999999998</v>
      </c>
      <c r="E197" s="32"/>
      <c r="F197" s="32"/>
      <c r="G197" s="32"/>
      <c r="H197" s="32"/>
      <c r="I197" s="32"/>
      <c r="J197" s="28">
        <f t="shared" si="54"/>
        <v>1.0143665572608001E-2</v>
      </c>
      <c r="K197" s="29"/>
      <c r="L197" s="29"/>
      <c r="M197" s="29"/>
      <c r="N197" s="29"/>
      <c r="O197" s="29"/>
      <c r="P197" s="30">
        <f t="shared" si="56"/>
        <v>1.0143665572608001E-2</v>
      </c>
      <c r="Q197" s="31">
        <f t="shared" si="55"/>
        <v>0.92793600000000009</v>
      </c>
    </row>
    <row r="198" spans="1:17" x14ac:dyDescent="0.2">
      <c r="A198" s="10"/>
      <c r="B198" s="26"/>
      <c r="C198" s="11">
        <v>1985</v>
      </c>
      <c r="D198" s="32">
        <f>SPFI_CLB14!$D$8</f>
        <v>0.90386500000000003</v>
      </c>
      <c r="E198" s="32"/>
      <c r="F198" s="32"/>
      <c r="G198" s="32"/>
      <c r="H198" s="32"/>
      <c r="I198" s="32"/>
      <c r="J198" s="28">
        <f t="shared" si="54"/>
        <v>9.8805351692200002E-3</v>
      </c>
      <c r="K198" s="29"/>
      <c r="L198" s="29"/>
      <c r="M198" s="29"/>
      <c r="N198" s="29"/>
      <c r="O198" s="29"/>
      <c r="P198" s="30">
        <f t="shared" si="56"/>
        <v>9.8805351692200002E-3</v>
      </c>
      <c r="Q198" s="31">
        <f t="shared" si="55"/>
        <v>0.90386500000000003</v>
      </c>
    </row>
    <row r="199" spans="1:17" x14ac:dyDescent="0.2">
      <c r="A199" s="10"/>
      <c r="B199" s="26"/>
      <c r="C199" s="11">
        <v>1986</v>
      </c>
      <c r="D199" s="32">
        <f>SPFI_CLB14!$D$9</f>
        <v>0.73087500000000005</v>
      </c>
      <c r="E199" s="32"/>
      <c r="F199" s="32"/>
      <c r="G199" s="32"/>
      <c r="H199" s="32"/>
      <c r="I199" s="32"/>
      <c r="J199" s="28">
        <f t="shared" si="54"/>
        <v>7.9895074395000005E-3</v>
      </c>
      <c r="K199" s="29"/>
      <c r="L199" s="29"/>
      <c r="M199" s="29"/>
      <c r="N199" s="29"/>
      <c r="O199" s="29"/>
      <c r="P199" s="30">
        <f t="shared" si="56"/>
        <v>7.9895074395000005E-3</v>
      </c>
      <c r="Q199" s="31">
        <f t="shared" si="55"/>
        <v>0.73087500000000005</v>
      </c>
    </row>
    <row r="200" spans="1:17" x14ac:dyDescent="0.2">
      <c r="A200" s="10"/>
      <c r="B200" s="26"/>
      <c r="C200" s="11">
        <v>1987</v>
      </c>
      <c r="D200" s="32">
        <f>SPFI_CLB14!$D$10</f>
        <v>0.71733499999999994</v>
      </c>
      <c r="E200" s="32"/>
      <c r="F200" s="32"/>
      <c r="G200" s="32"/>
      <c r="H200" s="32"/>
      <c r="I200" s="32"/>
      <c r="J200" s="28">
        <f t="shared" si="54"/>
        <v>7.8414959043800001E-3</v>
      </c>
      <c r="K200" s="29"/>
      <c r="L200" s="29"/>
      <c r="M200" s="29"/>
      <c r="N200" s="29"/>
      <c r="O200" s="29"/>
      <c r="P200" s="30">
        <f t="shared" si="56"/>
        <v>7.8414959043800001E-3</v>
      </c>
      <c r="Q200" s="31">
        <f t="shared" si="55"/>
        <v>0.71733500000000006</v>
      </c>
    </row>
    <row r="201" spans="1:17" x14ac:dyDescent="0.2">
      <c r="A201" s="10"/>
      <c r="B201" s="26"/>
      <c r="C201" s="11">
        <v>1988</v>
      </c>
      <c r="D201" s="32">
        <f>SPFI_CLB14!$D$11</f>
        <v>0.64558800000000005</v>
      </c>
      <c r="E201" s="32"/>
      <c r="F201" s="32"/>
      <c r="G201" s="32"/>
      <c r="H201" s="32"/>
      <c r="I201" s="32"/>
      <c r="J201" s="28">
        <f t="shared" si="54"/>
        <v>7.0571987396640008E-3</v>
      </c>
      <c r="K201" s="29"/>
      <c r="L201" s="29"/>
      <c r="M201" s="29"/>
      <c r="N201" s="29"/>
      <c r="O201" s="29"/>
      <c r="P201" s="30">
        <f t="shared" si="56"/>
        <v>7.0571987396640008E-3</v>
      </c>
      <c r="Q201" s="31">
        <f t="shared" si="55"/>
        <v>0.64558800000000005</v>
      </c>
    </row>
    <row r="202" spans="1:17" x14ac:dyDescent="0.2">
      <c r="A202" s="10"/>
      <c r="B202" s="26"/>
      <c r="C202" s="11">
        <v>1989</v>
      </c>
      <c r="D202" s="32">
        <f>SPFI_CLB14!$D$12</f>
        <v>0.65287700000000004</v>
      </c>
      <c r="E202" s="32"/>
      <c r="F202" s="32"/>
      <c r="G202" s="32"/>
      <c r="H202" s="32"/>
      <c r="I202" s="32"/>
      <c r="J202" s="28">
        <f t="shared" si="54"/>
        <v>7.1368779183560004E-3</v>
      </c>
      <c r="K202" s="29"/>
      <c r="L202" s="29"/>
      <c r="M202" s="29"/>
      <c r="N202" s="29"/>
      <c r="O202" s="29"/>
      <c r="P202" s="30">
        <f t="shared" si="56"/>
        <v>7.1368779183560004E-3</v>
      </c>
      <c r="Q202" s="31">
        <f t="shared" si="55"/>
        <v>0.65287700000000004</v>
      </c>
    </row>
    <row r="203" spans="1:17" x14ac:dyDescent="0.2">
      <c r="A203" s="10"/>
      <c r="B203" s="26"/>
      <c r="C203" s="11">
        <v>1990</v>
      </c>
      <c r="D203" s="32">
        <f>SPFI_CLB14!$D$13</f>
        <v>0.56965100000000002</v>
      </c>
      <c r="E203" s="32"/>
      <c r="F203" s="32"/>
      <c r="G203" s="32"/>
      <c r="H203" s="32"/>
      <c r="I203" s="32"/>
      <c r="J203" s="28">
        <f t="shared" si="54"/>
        <v>6.2270988916280001E-3</v>
      </c>
      <c r="K203" s="29"/>
      <c r="L203" s="29"/>
      <c r="M203" s="29"/>
      <c r="N203" s="29"/>
      <c r="O203" s="29"/>
      <c r="P203" s="30">
        <f t="shared" si="56"/>
        <v>6.2270988916280001E-3</v>
      </c>
      <c r="Q203" s="31">
        <f t="shared" si="55"/>
        <v>0.56965100000000002</v>
      </c>
    </row>
    <row r="204" spans="1:17" x14ac:dyDescent="0.2">
      <c r="A204" s="10"/>
      <c r="B204" s="26"/>
      <c r="C204" s="11">
        <v>1991</v>
      </c>
      <c r="D204" s="32">
        <f>SPFI_CLB14!$D$14</f>
        <v>0.62776900000000002</v>
      </c>
      <c r="E204" s="32"/>
      <c r="F204" s="32"/>
      <c r="G204" s="32"/>
      <c r="H204" s="32"/>
      <c r="I204" s="32"/>
      <c r="J204" s="28">
        <f t="shared" si="54"/>
        <v>6.8624116241320001E-3</v>
      </c>
      <c r="K204" s="29"/>
      <c r="L204" s="29"/>
      <c r="M204" s="29"/>
      <c r="N204" s="29"/>
      <c r="O204" s="29"/>
      <c r="P204" s="30">
        <f t="shared" si="56"/>
        <v>6.8624116241320001E-3</v>
      </c>
      <c r="Q204" s="31">
        <f t="shared" si="55"/>
        <v>0.62776900000000002</v>
      </c>
    </row>
    <row r="205" spans="1:17" x14ac:dyDescent="0.2">
      <c r="A205" s="10"/>
      <c r="B205" s="26"/>
      <c r="C205" s="11">
        <v>1992</v>
      </c>
      <c r="D205" s="32">
        <f>SPFI_CLB14!$D$15</f>
        <v>0.43504100000000001</v>
      </c>
      <c r="E205" s="32"/>
      <c r="F205" s="32"/>
      <c r="G205" s="32"/>
      <c r="H205" s="32"/>
      <c r="I205" s="32"/>
      <c r="J205" s="28">
        <f t="shared" si="54"/>
        <v>4.7556193685480003E-3</v>
      </c>
      <c r="K205" s="29"/>
      <c r="L205" s="29"/>
      <c r="M205" s="29"/>
      <c r="N205" s="29"/>
      <c r="O205" s="29"/>
      <c r="P205" s="30">
        <f t="shared" si="56"/>
        <v>4.7556193685480003E-3</v>
      </c>
      <c r="Q205" s="31">
        <f t="shared" si="55"/>
        <v>0.43504100000000001</v>
      </c>
    </row>
    <row r="206" spans="1:17" x14ac:dyDescent="0.2">
      <c r="A206" s="10"/>
      <c r="B206" s="26"/>
      <c r="C206" s="11">
        <v>1993</v>
      </c>
      <c r="D206" s="32">
        <f>SPFI_CLB14!$D$16</f>
        <v>0.499164</v>
      </c>
      <c r="E206" s="32"/>
      <c r="F206" s="32"/>
      <c r="G206" s="32"/>
      <c r="H206" s="32"/>
      <c r="I206" s="32"/>
      <c r="J206" s="28">
        <f t="shared" si="54"/>
        <v>5.4565753261919996E-3</v>
      </c>
      <c r="K206" s="29"/>
      <c r="L206" s="29"/>
      <c r="M206" s="29"/>
      <c r="N206" s="29"/>
      <c r="O206" s="29"/>
      <c r="P206" s="30">
        <f t="shared" si="56"/>
        <v>5.4565753261919996E-3</v>
      </c>
      <c r="Q206" s="31">
        <f t="shared" si="55"/>
        <v>0.49916399999999994</v>
      </c>
    </row>
    <row r="207" spans="1:17" x14ac:dyDescent="0.2">
      <c r="A207" s="10"/>
      <c r="B207" s="26"/>
      <c r="C207" s="11">
        <v>1994</v>
      </c>
      <c r="D207" s="32">
        <f>SPFI_CLB14!$D$17</f>
        <v>0.59591300000000003</v>
      </c>
      <c r="E207" s="32"/>
      <c r="F207" s="32"/>
      <c r="G207" s="32"/>
      <c r="H207" s="32"/>
      <c r="I207" s="32"/>
      <c r="J207" s="28">
        <f t="shared" si="54"/>
        <v>6.5141800537640007E-3</v>
      </c>
      <c r="K207" s="29"/>
      <c r="L207" s="29"/>
      <c r="M207" s="29"/>
      <c r="N207" s="29"/>
      <c r="O207" s="29"/>
      <c r="P207" s="30">
        <f t="shared" si="56"/>
        <v>6.5141800537640007E-3</v>
      </c>
      <c r="Q207" s="31">
        <f t="shared" si="55"/>
        <v>0.59591300000000003</v>
      </c>
    </row>
    <row r="208" spans="1:17" x14ac:dyDescent="0.2">
      <c r="A208" s="10"/>
      <c r="B208" s="26"/>
      <c r="C208" s="11">
        <v>1995</v>
      </c>
      <c r="D208" s="32">
        <f>SPFI_CLB14!$D$18</f>
        <v>0.25400800000000001</v>
      </c>
      <c r="E208" s="32"/>
      <c r="F208" s="32"/>
      <c r="G208" s="32"/>
      <c r="H208" s="32"/>
      <c r="I208" s="32"/>
      <c r="J208" s="28">
        <f t="shared" ref="J208" si="57">D208*J$6</f>
        <v>2.7766701634240002E-3</v>
      </c>
      <c r="K208" s="29"/>
      <c r="L208" s="29"/>
      <c r="M208" s="29"/>
      <c r="N208" s="29"/>
      <c r="O208" s="29"/>
      <c r="P208" s="30">
        <f>SUM(J208:O208)</f>
        <v>2.7766701634240002E-3</v>
      </c>
      <c r="Q208" s="31">
        <f t="shared" si="55"/>
        <v>0.25400800000000001</v>
      </c>
    </row>
    <row r="209" spans="1:17" x14ac:dyDescent="0.2">
      <c r="A209" s="10"/>
      <c r="B209" s="26"/>
      <c r="C209" s="11">
        <v>1996</v>
      </c>
      <c r="D209" s="32">
        <f>SPFI_CLB14!$D$19</f>
        <v>0</v>
      </c>
      <c r="E209" s="32"/>
      <c r="F209" s="32"/>
      <c r="G209" s="32"/>
      <c r="H209" s="32"/>
      <c r="I209" s="32"/>
      <c r="J209" s="28">
        <f t="shared" ref="J209" si="58">D209*J$6</f>
        <v>0</v>
      </c>
      <c r="K209" s="29"/>
      <c r="L209" s="29"/>
      <c r="M209" s="29"/>
      <c r="N209" s="29"/>
      <c r="O209" s="29"/>
      <c r="P209" s="30">
        <f>SUM(J209:O209)</f>
        <v>0</v>
      </c>
      <c r="Q209" s="31">
        <f t="shared" si="55"/>
        <v>0</v>
      </c>
    </row>
    <row r="210" spans="1:17" x14ac:dyDescent="0.2">
      <c r="A210" s="10"/>
      <c r="B210" s="26"/>
      <c r="C210" s="11">
        <v>1997</v>
      </c>
      <c r="D210" s="32">
        <f>SPFI_CLB14!$D$20</f>
        <v>0.201487</v>
      </c>
      <c r="E210" s="32"/>
      <c r="F210" s="32"/>
      <c r="G210" s="32"/>
      <c r="H210" s="32"/>
      <c r="I210" s="32"/>
      <c r="J210" s="28">
        <f t="shared" ref="J210" si="59">D210*J$6</f>
        <v>2.2025406334360001E-3</v>
      </c>
      <c r="K210" s="29"/>
      <c r="L210" s="29"/>
      <c r="M210" s="29"/>
      <c r="N210" s="29"/>
      <c r="O210" s="29"/>
      <c r="P210" s="30">
        <f>SUM(J210:O210)</f>
        <v>2.2025406334360001E-3</v>
      </c>
      <c r="Q210" s="31">
        <f t="shared" si="55"/>
        <v>0.201487</v>
      </c>
    </row>
    <row r="211" spans="1:17" x14ac:dyDescent="0.2">
      <c r="A211" s="10"/>
      <c r="B211" s="26"/>
      <c r="C211" s="11">
        <v>1998</v>
      </c>
      <c r="D211" s="32">
        <f>SPFI_CLB14!$D$21</f>
        <v>0.37506400000000001</v>
      </c>
      <c r="E211" s="32"/>
      <c r="F211" s="32"/>
      <c r="G211" s="32"/>
      <c r="H211" s="32"/>
      <c r="I211" s="32"/>
      <c r="J211" s="28">
        <f t="shared" ref="J211" si="60">D211*J$6</f>
        <v>4.0999851113920002E-3</v>
      </c>
      <c r="K211" s="29"/>
      <c r="L211" s="29"/>
      <c r="M211" s="29"/>
      <c r="N211" s="29"/>
      <c r="O211" s="29"/>
      <c r="P211" s="30">
        <f>SUM(J211:O211)</f>
        <v>4.0999851113920002E-3</v>
      </c>
      <c r="Q211" s="31">
        <f t="shared" si="55"/>
        <v>0.37506400000000001</v>
      </c>
    </row>
    <row r="212" spans="1:17" x14ac:dyDescent="0.2">
      <c r="A212" s="10"/>
      <c r="B212" s="26"/>
      <c r="C212" s="11">
        <v>1999</v>
      </c>
      <c r="D212" s="32">
        <f>SPFI_CLB14!$D$22</f>
        <v>0.29823699999999997</v>
      </c>
      <c r="E212" s="32"/>
      <c r="F212" s="32"/>
      <c r="G212" s="32"/>
      <c r="H212" s="32"/>
      <c r="I212" s="32"/>
      <c r="J212" s="28">
        <f t="shared" ref="J212" si="61">D212*J$6</f>
        <v>3.2601562924359996E-3</v>
      </c>
      <c r="K212" s="29"/>
      <c r="L212" s="29"/>
      <c r="M212" s="29"/>
      <c r="N212" s="29"/>
      <c r="O212" s="29"/>
      <c r="P212" s="30">
        <f>SUM(J212:O212)</f>
        <v>3.2601562924359996E-3</v>
      </c>
      <c r="Q212" s="31">
        <f t="shared" ref="Q212:Q217" si="62">IF(C$6&gt;0,P212/C$6,0)</f>
        <v>0.29823699999999997</v>
      </c>
    </row>
    <row r="213" spans="1:17" x14ac:dyDescent="0.2">
      <c r="A213" s="10"/>
      <c r="B213" s="26"/>
      <c r="C213" s="11">
        <v>2000</v>
      </c>
      <c r="D213" s="32">
        <f>SPFI_CLB14!$D$23</f>
        <v>8.4414000000000003E-2</v>
      </c>
      <c r="E213" s="32"/>
      <c r="F213" s="32"/>
      <c r="G213" s="32"/>
      <c r="H213" s="32"/>
      <c r="I213" s="32"/>
      <c r="J213" s="28">
        <f t="shared" ref="J213" si="63">D213*J$6</f>
        <v>9.2276556319200007E-4</v>
      </c>
      <c r="K213" s="29"/>
      <c r="L213" s="29"/>
      <c r="M213" s="29"/>
      <c r="N213" s="29"/>
      <c r="O213" s="29"/>
      <c r="P213" s="30">
        <f t="shared" ref="P213:P218" si="64">SUM(J213:O213)</f>
        <v>9.2276556319200007E-4</v>
      </c>
      <c r="Q213" s="31">
        <f t="shared" si="62"/>
        <v>8.4414000000000003E-2</v>
      </c>
    </row>
    <row r="214" spans="1:17" x14ac:dyDescent="0.2">
      <c r="A214" s="10"/>
      <c r="B214" s="26"/>
      <c r="C214" s="11">
        <v>2001</v>
      </c>
      <c r="D214" s="32">
        <f>SPFI_CLB14!$D$24</f>
        <v>7.8909000000000007E-2</v>
      </c>
      <c r="E214" s="32"/>
      <c r="F214" s="32"/>
      <c r="G214" s="32"/>
      <c r="H214" s="32"/>
      <c r="I214" s="32"/>
      <c r="J214" s="28">
        <f t="shared" ref="J214" si="65">D214*J$6</f>
        <v>8.6258805205200004E-4</v>
      </c>
      <c r="K214" s="29"/>
      <c r="L214" s="29"/>
      <c r="M214" s="29"/>
      <c r="N214" s="29"/>
      <c r="O214" s="29"/>
      <c r="P214" s="30">
        <f t="shared" si="64"/>
        <v>8.6258805205200004E-4</v>
      </c>
      <c r="Q214" s="31">
        <f t="shared" si="62"/>
        <v>7.8909000000000007E-2</v>
      </c>
    </row>
    <row r="215" spans="1:17" x14ac:dyDescent="0.2">
      <c r="A215" s="10"/>
      <c r="B215" s="26"/>
      <c r="C215" s="11">
        <v>2002</v>
      </c>
      <c r="D215" s="32">
        <f>SPFI_CLB14!$D$25</f>
        <v>0.29974699999999999</v>
      </c>
      <c r="E215" s="32"/>
      <c r="F215" s="32"/>
      <c r="G215" s="32"/>
      <c r="H215" s="32"/>
      <c r="I215" s="32"/>
      <c r="J215" s="28">
        <f t="shared" ref="J215" si="66">D215*J$6</f>
        <v>3.2766627487159999E-3</v>
      </c>
      <c r="K215" s="29"/>
      <c r="L215" s="29"/>
      <c r="M215" s="29"/>
      <c r="N215" s="29"/>
      <c r="O215" s="29"/>
      <c r="P215" s="30">
        <f t="shared" si="64"/>
        <v>3.2766627487159999E-3</v>
      </c>
      <c r="Q215" s="31">
        <f t="shared" si="62"/>
        <v>0.29974699999999999</v>
      </c>
    </row>
    <row r="216" spans="1:17" x14ac:dyDescent="0.2">
      <c r="A216" s="10"/>
      <c r="B216" s="26"/>
      <c r="C216" s="11">
        <v>2003</v>
      </c>
      <c r="D216" s="32">
        <f>SPFI_CLB14!$D$26</f>
        <v>0.20691100000000001</v>
      </c>
      <c r="E216" s="32"/>
      <c r="F216" s="32"/>
      <c r="G216" s="32"/>
      <c r="H216" s="32"/>
      <c r="I216" s="32"/>
      <c r="J216" s="28">
        <f t="shared" ref="J216" si="67">D216*J$6</f>
        <v>2.2618326989080001E-3</v>
      </c>
      <c r="K216" s="29"/>
      <c r="L216" s="29"/>
      <c r="M216" s="29"/>
      <c r="N216" s="29"/>
      <c r="O216" s="29"/>
      <c r="P216" s="30">
        <f t="shared" si="64"/>
        <v>2.2618326989080001E-3</v>
      </c>
      <c r="Q216" s="31">
        <f t="shared" si="62"/>
        <v>0.20691100000000001</v>
      </c>
    </row>
    <row r="217" spans="1:17" x14ac:dyDescent="0.2">
      <c r="A217" s="10"/>
      <c r="B217" s="26"/>
      <c r="C217" s="11">
        <v>2004</v>
      </c>
      <c r="D217" s="32">
        <f>SPFI_CLB14!$D$27</f>
        <v>0.269237</v>
      </c>
      <c r="E217" s="32"/>
      <c r="F217" s="32"/>
      <c r="G217" s="32"/>
      <c r="H217" s="32"/>
      <c r="I217" s="32"/>
      <c r="J217" s="28">
        <f t="shared" ref="J217" si="68">D217*J$6</f>
        <v>2.9431448804360001E-3</v>
      </c>
      <c r="K217" s="29"/>
      <c r="L217" s="29"/>
      <c r="M217" s="29"/>
      <c r="N217" s="29"/>
      <c r="O217" s="29"/>
      <c r="P217" s="30">
        <f t="shared" si="64"/>
        <v>2.9431448804360001E-3</v>
      </c>
      <c r="Q217" s="31">
        <f t="shared" si="62"/>
        <v>0.269237</v>
      </c>
    </row>
    <row r="218" spans="1:17" x14ac:dyDescent="0.2">
      <c r="A218" s="10"/>
      <c r="B218" s="26"/>
      <c r="C218" s="11">
        <v>2005</v>
      </c>
      <c r="D218" s="32">
        <f>SPFI_CLB14!$D$28</f>
        <v>0.37848700000000002</v>
      </c>
      <c r="E218" s="32"/>
      <c r="F218" s="32"/>
      <c r="G218" s="32"/>
      <c r="H218" s="32"/>
      <c r="I218" s="32"/>
      <c r="J218" s="28">
        <f t="shared" ref="J218" si="69">D218*J$6</f>
        <v>4.1374033894360004E-3</v>
      </c>
      <c r="K218" s="29"/>
      <c r="L218" s="29"/>
      <c r="M218" s="29"/>
      <c r="N218" s="29"/>
      <c r="O218" s="29"/>
      <c r="P218" s="30">
        <f t="shared" si="64"/>
        <v>4.1374033894360004E-3</v>
      </c>
      <c r="Q218" s="31">
        <f t="shared" ref="Q218:Q223" si="70">IF(C$6&gt;0,P218/C$6,0)</f>
        <v>0.37848700000000002</v>
      </c>
    </row>
    <row r="219" spans="1:17" x14ac:dyDescent="0.2">
      <c r="A219" s="10"/>
      <c r="B219" s="26"/>
      <c r="C219" s="11">
        <v>2006</v>
      </c>
      <c r="D219" s="32">
        <f>SPFI_CLB14!$D$29</f>
        <v>0.381023</v>
      </c>
      <c r="E219" s="32"/>
      <c r="F219" s="32"/>
      <c r="G219" s="32"/>
      <c r="H219" s="32"/>
      <c r="I219" s="32"/>
      <c r="J219" s="28">
        <f t="shared" ref="J219" si="71">D219*J$6</f>
        <v>4.1651254908440004E-3</v>
      </c>
      <c r="K219" s="29"/>
      <c r="L219" s="29"/>
      <c r="M219" s="29"/>
      <c r="N219" s="29"/>
      <c r="O219" s="29"/>
      <c r="P219" s="30">
        <f t="shared" ref="P219:P226" si="72">SUM(J219:O219)</f>
        <v>4.1651254908440004E-3</v>
      </c>
      <c r="Q219" s="31">
        <f t="shared" si="70"/>
        <v>0.38102300000000006</v>
      </c>
    </row>
    <row r="220" spans="1:17" x14ac:dyDescent="0.2">
      <c r="A220" s="10"/>
      <c r="B220" s="26"/>
      <c r="C220" s="11">
        <v>2007</v>
      </c>
      <c r="D220" s="32">
        <f>SPFI_CLB14!$D$30</f>
        <v>0.356512</v>
      </c>
      <c r="E220" s="32"/>
      <c r="F220" s="32"/>
      <c r="G220" s="32"/>
      <c r="H220" s="32"/>
      <c r="I220" s="32"/>
      <c r="J220" s="28">
        <f t="shared" ref="J220" si="73">D220*J$6</f>
        <v>3.897185259136E-3</v>
      </c>
      <c r="K220" s="29"/>
      <c r="L220" s="29"/>
      <c r="M220" s="29"/>
      <c r="N220" s="29"/>
      <c r="O220" s="29"/>
      <c r="P220" s="30">
        <f t="shared" si="72"/>
        <v>3.897185259136E-3</v>
      </c>
      <c r="Q220" s="31">
        <f t="shared" si="70"/>
        <v>0.356512</v>
      </c>
    </row>
    <row r="221" spans="1:17" x14ac:dyDescent="0.2">
      <c r="A221" s="10"/>
      <c r="B221" s="26"/>
      <c r="C221" s="11">
        <v>2008</v>
      </c>
      <c r="D221" s="32">
        <f>SPFI_CLB14!$D$31</f>
        <v>0.25494499999999998</v>
      </c>
      <c r="E221" s="32"/>
      <c r="F221" s="32"/>
      <c r="G221" s="32"/>
      <c r="H221" s="32"/>
      <c r="I221" s="32"/>
      <c r="J221" s="28">
        <f t="shared" ref="J221" si="74">D221*J$6</f>
        <v>2.7869129114599998E-3</v>
      </c>
      <c r="K221" s="29"/>
      <c r="L221" s="29"/>
      <c r="M221" s="29"/>
      <c r="N221" s="29"/>
      <c r="O221" s="29"/>
      <c r="P221" s="30">
        <f t="shared" si="72"/>
        <v>2.7869129114599998E-3</v>
      </c>
      <c r="Q221" s="31">
        <f t="shared" si="70"/>
        <v>0.25494499999999998</v>
      </c>
    </row>
    <row r="222" spans="1:17" x14ac:dyDescent="0.2">
      <c r="A222" s="10"/>
      <c r="B222" s="26"/>
      <c r="C222" s="11">
        <v>2009</v>
      </c>
      <c r="D222" s="32">
        <f>SPFI_CLB14!$D$32</f>
        <v>0.52383000000000002</v>
      </c>
      <c r="E222" s="32"/>
      <c r="F222" s="32"/>
      <c r="G222" s="32"/>
      <c r="H222" s="32"/>
      <c r="I222" s="32"/>
      <c r="J222" s="28">
        <f t="shared" ref="J222" si="75">D222*J$6</f>
        <v>5.7262099292400004E-3</v>
      </c>
      <c r="K222" s="29"/>
      <c r="L222" s="29"/>
      <c r="M222" s="29"/>
      <c r="N222" s="29"/>
      <c r="O222" s="29"/>
      <c r="P222" s="30">
        <f t="shared" si="72"/>
        <v>5.7262099292400004E-3</v>
      </c>
      <c r="Q222" s="31">
        <f t="shared" si="70"/>
        <v>0.52383000000000002</v>
      </c>
    </row>
    <row r="223" spans="1:17" x14ac:dyDescent="0.2">
      <c r="A223" s="10"/>
      <c r="B223" s="26"/>
      <c r="C223" s="11">
        <v>2010</v>
      </c>
      <c r="D223" s="32">
        <f>SPFI_CLB14!$D$33</f>
        <v>0.31394</v>
      </c>
      <c r="E223" s="32"/>
      <c r="F223" s="32"/>
      <c r="G223" s="32"/>
      <c r="H223" s="32"/>
      <c r="I223" s="32"/>
      <c r="J223" s="28">
        <f t="shared" ref="J223" si="76">D223*J$6</f>
        <v>3.43181250632E-3</v>
      </c>
      <c r="K223" s="29"/>
      <c r="L223" s="29"/>
      <c r="M223" s="29"/>
      <c r="N223" s="29"/>
      <c r="O223" s="29"/>
      <c r="P223" s="30">
        <f t="shared" si="72"/>
        <v>3.43181250632E-3</v>
      </c>
      <c r="Q223" s="31">
        <f t="shared" si="70"/>
        <v>0.31394</v>
      </c>
    </row>
    <row r="224" spans="1:17" x14ac:dyDescent="0.2">
      <c r="A224" s="10"/>
      <c r="B224" s="26"/>
      <c r="C224" s="11">
        <v>2011</v>
      </c>
      <c r="D224" s="32">
        <f>SPFI_CLB14!$D$34</f>
        <v>0.294348</v>
      </c>
      <c r="E224" s="32"/>
      <c r="F224" s="32"/>
      <c r="G224" s="32"/>
      <c r="H224" s="32"/>
      <c r="I224" s="32"/>
      <c r="J224" s="28">
        <f t="shared" ref="J224" si="77">D224*J$6</f>
        <v>3.2176439689440002E-3</v>
      </c>
      <c r="K224" s="29"/>
      <c r="L224" s="29"/>
      <c r="M224" s="29"/>
      <c r="N224" s="29"/>
      <c r="O224" s="29"/>
      <c r="P224" s="30">
        <f t="shared" ref="P224" si="78">SUM(J224:O224)</f>
        <v>3.2176439689440002E-3</v>
      </c>
      <c r="Q224" s="31">
        <f t="shared" ref="Q224" si="79">IF(C$6&gt;0,P224/C$6,0)</f>
        <v>0.294348</v>
      </c>
    </row>
    <row r="225" spans="1:17" x14ac:dyDescent="0.2">
      <c r="A225" s="10"/>
      <c r="B225" s="26"/>
      <c r="C225" s="11">
        <v>2012</v>
      </c>
      <c r="D225" s="32">
        <f>SPFI_CLB14!$D$35</f>
        <v>0.34784100000000001</v>
      </c>
      <c r="E225" s="32"/>
      <c r="F225" s="32"/>
      <c r="G225" s="32"/>
      <c r="H225" s="32"/>
      <c r="I225" s="32"/>
      <c r="J225" s="28">
        <f t="shared" ref="J225" si="80">D225*J$6</f>
        <v>3.8023988469480003E-3</v>
      </c>
      <c r="K225" s="29"/>
      <c r="L225" s="29"/>
      <c r="M225" s="29"/>
      <c r="N225" s="29"/>
      <c r="O225" s="29"/>
      <c r="P225" s="30">
        <f t="shared" ref="P225" si="81">SUM(J225:O225)</f>
        <v>3.8023988469480003E-3</v>
      </c>
      <c r="Q225" s="31">
        <f t="shared" ref="Q225" si="82">IF(C$6&gt;0,P225/C$6,0)</f>
        <v>0.34784100000000001</v>
      </c>
    </row>
    <row r="226" spans="1:17" x14ac:dyDescent="0.2">
      <c r="A226" s="5" t="s">
        <v>6</v>
      </c>
      <c r="B226" s="21">
        <v>5</v>
      </c>
      <c r="C226" s="6">
        <v>1982</v>
      </c>
      <c r="D226" s="27">
        <f>SPFI_CLB14!$D$5</f>
        <v>0.98153299999999999</v>
      </c>
      <c r="E226" s="27"/>
      <c r="F226" s="27"/>
      <c r="G226" s="27"/>
      <c r="H226" s="27"/>
      <c r="I226" s="27"/>
      <c r="J226" s="33">
        <f t="shared" ref="J226:J238" si="83">D226*J$7</f>
        <v>7.8587203277673994E-4</v>
      </c>
      <c r="K226" s="27"/>
      <c r="L226" s="27"/>
      <c r="M226" s="27"/>
      <c r="N226" s="27"/>
      <c r="O226" s="27"/>
      <c r="P226" s="34">
        <f t="shared" si="72"/>
        <v>7.8587203277673994E-4</v>
      </c>
      <c r="Q226" s="35">
        <f t="shared" ref="Q226:Q242" si="84">IF(C$7&gt;0,P226/C$7,0)</f>
        <v>0.98153299999999988</v>
      </c>
    </row>
    <row r="227" spans="1:17" x14ac:dyDescent="0.2">
      <c r="A227" s="10"/>
      <c r="B227" s="26"/>
      <c r="C227" s="11">
        <v>1983</v>
      </c>
      <c r="D227" s="32">
        <f>SPFI_CLB14!$D$6</f>
        <v>0.93659899999999996</v>
      </c>
      <c r="E227" s="32"/>
      <c r="F227" s="32"/>
      <c r="G227" s="32"/>
      <c r="H227" s="32"/>
      <c r="I227" s="32"/>
      <c r="J227" s="28">
        <f t="shared" si="83"/>
        <v>7.4989527609022001E-4</v>
      </c>
      <c r="K227" s="29"/>
      <c r="L227" s="29"/>
      <c r="M227" s="29"/>
      <c r="N227" s="29"/>
      <c r="O227" s="29"/>
      <c r="P227" s="30">
        <f t="shared" ref="P227:P238" si="85">SUM(J227:O227)</f>
        <v>7.4989527609022001E-4</v>
      </c>
      <c r="Q227" s="31">
        <f t="shared" si="84"/>
        <v>0.93659899999999996</v>
      </c>
    </row>
    <row r="228" spans="1:17" x14ac:dyDescent="0.2">
      <c r="A228" s="10"/>
      <c r="B228" s="26"/>
      <c r="C228" s="11">
        <v>1984</v>
      </c>
      <c r="D228" s="32">
        <f>SPFI_CLB14!$D$7</f>
        <v>0.92793599999999998</v>
      </c>
      <c r="E228" s="32"/>
      <c r="F228" s="32"/>
      <c r="G228" s="32"/>
      <c r="H228" s="32"/>
      <c r="I228" s="32"/>
      <c r="J228" s="28">
        <f t="shared" si="83"/>
        <v>7.4295917774208002E-4</v>
      </c>
      <c r="K228" s="29"/>
      <c r="L228" s="29"/>
      <c r="M228" s="29"/>
      <c r="N228" s="29"/>
      <c r="O228" s="29"/>
      <c r="P228" s="30">
        <f t="shared" si="85"/>
        <v>7.4295917774208002E-4</v>
      </c>
      <c r="Q228" s="31">
        <f t="shared" si="84"/>
        <v>0.92793599999999998</v>
      </c>
    </row>
    <row r="229" spans="1:17" x14ac:dyDescent="0.2">
      <c r="A229" s="10"/>
      <c r="B229" s="26"/>
      <c r="C229" s="11">
        <v>1985</v>
      </c>
      <c r="D229" s="32">
        <f>SPFI_CLB14!$D$8</f>
        <v>0.90386500000000003</v>
      </c>
      <c r="E229" s="32"/>
      <c r="F229" s="32"/>
      <c r="G229" s="32"/>
      <c r="H229" s="32"/>
      <c r="I229" s="32"/>
      <c r="J229" s="28">
        <f t="shared" si="83"/>
        <v>7.2368654431970007E-4</v>
      </c>
      <c r="K229" s="29"/>
      <c r="L229" s="29"/>
      <c r="M229" s="29"/>
      <c r="N229" s="29"/>
      <c r="O229" s="29"/>
      <c r="P229" s="30">
        <f t="shared" si="85"/>
        <v>7.2368654431970007E-4</v>
      </c>
      <c r="Q229" s="31">
        <f t="shared" si="84"/>
        <v>0.90386500000000003</v>
      </c>
    </row>
    <row r="230" spans="1:17" x14ac:dyDescent="0.2">
      <c r="A230" s="10"/>
      <c r="B230" s="26"/>
      <c r="C230" s="11">
        <v>1986</v>
      </c>
      <c r="D230" s="32">
        <f>SPFI_CLB14!$D$9</f>
        <v>0.73087500000000005</v>
      </c>
      <c r="E230" s="32"/>
      <c r="F230" s="32"/>
      <c r="G230" s="32"/>
      <c r="H230" s="32"/>
      <c r="I230" s="32"/>
      <c r="J230" s="28">
        <f t="shared" si="83"/>
        <v>5.8518075495750008E-4</v>
      </c>
      <c r="K230" s="29"/>
      <c r="L230" s="29"/>
      <c r="M230" s="29"/>
      <c r="N230" s="29"/>
      <c r="O230" s="29"/>
      <c r="P230" s="30">
        <f t="shared" si="85"/>
        <v>5.8518075495750008E-4</v>
      </c>
      <c r="Q230" s="31">
        <f t="shared" si="84"/>
        <v>0.73087500000000005</v>
      </c>
    </row>
    <row r="231" spans="1:17" x14ac:dyDescent="0.2">
      <c r="A231" s="10"/>
      <c r="B231" s="26"/>
      <c r="C231" s="11">
        <v>1987</v>
      </c>
      <c r="D231" s="32">
        <f>SPFI_CLB14!$D$10</f>
        <v>0.71733499999999994</v>
      </c>
      <c r="E231" s="32"/>
      <c r="F231" s="32"/>
      <c r="G231" s="32"/>
      <c r="H231" s="32"/>
      <c r="I231" s="32"/>
      <c r="J231" s="28">
        <f t="shared" si="83"/>
        <v>5.7433984861629994E-4</v>
      </c>
      <c r="K231" s="29"/>
      <c r="L231" s="29"/>
      <c r="M231" s="29"/>
      <c r="N231" s="29"/>
      <c r="O231" s="29"/>
      <c r="P231" s="30">
        <f t="shared" si="85"/>
        <v>5.7433984861629994E-4</v>
      </c>
      <c r="Q231" s="31">
        <f t="shared" si="84"/>
        <v>0.71733499999999994</v>
      </c>
    </row>
    <row r="232" spans="1:17" x14ac:dyDescent="0.2">
      <c r="A232" s="10"/>
      <c r="B232" s="26"/>
      <c r="C232" s="11">
        <v>1988</v>
      </c>
      <c r="D232" s="32">
        <f>SPFI_CLB14!$D$11</f>
        <v>0.64558800000000005</v>
      </c>
      <c r="E232" s="32"/>
      <c r="F232" s="32"/>
      <c r="G232" s="32"/>
      <c r="H232" s="32"/>
      <c r="I232" s="32"/>
      <c r="J232" s="28">
        <f t="shared" si="83"/>
        <v>5.1689505487464006E-4</v>
      </c>
      <c r="K232" s="29"/>
      <c r="L232" s="29"/>
      <c r="M232" s="29"/>
      <c r="N232" s="29"/>
      <c r="O232" s="29"/>
      <c r="P232" s="30">
        <f t="shared" si="85"/>
        <v>5.1689505487464006E-4</v>
      </c>
      <c r="Q232" s="31">
        <f t="shared" si="84"/>
        <v>0.64558800000000005</v>
      </c>
    </row>
    <row r="233" spans="1:17" x14ac:dyDescent="0.2">
      <c r="A233" s="10"/>
      <c r="B233" s="26"/>
      <c r="C233" s="11">
        <v>1989</v>
      </c>
      <c r="D233" s="32">
        <f>SPFI_CLB14!$D$12</f>
        <v>0.65287700000000004</v>
      </c>
      <c r="E233" s="32"/>
      <c r="F233" s="32"/>
      <c r="G233" s="32"/>
      <c r="H233" s="32"/>
      <c r="I233" s="32"/>
      <c r="J233" s="28">
        <f t="shared" si="83"/>
        <v>5.2273104943305999E-4</v>
      </c>
      <c r="K233" s="29"/>
      <c r="L233" s="29"/>
      <c r="M233" s="29"/>
      <c r="N233" s="29"/>
      <c r="O233" s="29"/>
      <c r="P233" s="30">
        <f t="shared" si="85"/>
        <v>5.2273104943305999E-4</v>
      </c>
      <c r="Q233" s="31">
        <f t="shared" si="84"/>
        <v>0.65287699999999993</v>
      </c>
    </row>
    <row r="234" spans="1:17" x14ac:dyDescent="0.2">
      <c r="A234" s="10"/>
      <c r="B234" s="26"/>
      <c r="C234" s="11">
        <v>1990</v>
      </c>
      <c r="D234" s="32">
        <f>SPFI_CLB14!$D$13</f>
        <v>0.56965100000000002</v>
      </c>
      <c r="E234" s="32"/>
      <c r="F234" s="32"/>
      <c r="G234" s="32"/>
      <c r="H234" s="32"/>
      <c r="I234" s="32"/>
      <c r="J234" s="28">
        <f t="shared" si="83"/>
        <v>4.5609550503478E-4</v>
      </c>
      <c r="K234" s="29"/>
      <c r="L234" s="29"/>
      <c r="M234" s="29"/>
      <c r="N234" s="29"/>
      <c r="O234" s="29"/>
      <c r="P234" s="30">
        <f t="shared" si="85"/>
        <v>4.5609550503478E-4</v>
      </c>
      <c r="Q234" s="31">
        <f t="shared" si="84"/>
        <v>0.56965100000000002</v>
      </c>
    </row>
    <row r="235" spans="1:17" x14ac:dyDescent="0.2">
      <c r="A235" s="10"/>
      <c r="B235" s="26"/>
      <c r="C235" s="11">
        <v>1991</v>
      </c>
      <c r="D235" s="32">
        <f>SPFI_CLB14!$D$14</f>
        <v>0.62776900000000002</v>
      </c>
      <c r="E235" s="32"/>
      <c r="F235" s="32"/>
      <c r="G235" s="32"/>
      <c r="H235" s="32"/>
      <c r="I235" s="32"/>
      <c r="J235" s="28">
        <f t="shared" si="83"/>
        <v>5.0262813389281998E-4</v>
      </c>
      <c r="K235" s="29"/>
      <c r="L235" s="29"/>
      <c r="M235" s="29"/>
      <c r="N235" s="29"/>
      <c r="O235" s="29"/>
      <c r="P235" s="30">
        <f t="shared" si="85"/>
        <v>5.0262813389281998E-4</v>
      </c>
      <c r="Q235" s="31">
        <f t="shared" si="84"/>
        <v>0.62776900000000002</v>
      </c>
    </row>
    <row r="236" spans="1:17" x14ac:dyDescent="0.2">
      <c r="A236" s="10"/>
      <c r="B236" s="26"/>
      <c r="C236" s="11">
        <v>1992</v>
      </c>
      <c r="D236" s="32">
        <f>SPFI_CLB14!$D$15</f>
        <v>0.43504100000000001</v>
      </c>
      <c r="E236" s="32"/>
      <c r="F236" s="32"/>
      <c r="G236" s="32"/>
      <c r="H236" s="32"/>
      <c r="I236" s="32"/>
      <c r="J236" s="28">
        <f t="shared" si="83"/>
        <v>3.4831896126898002E-4</v>
      </c>
      <c r="K236" s="29"/>
      <c r="L236" s="29"/>
      <c r="M236" s="29"/>
      <c r="N236" s="29"/>
      <c r="O236" s="29"/>
      <c r="P236" s="30">
        <f t="shared" si="85"/>
        <v>3.4831896126898002E-4</v>
      </c>
      <c r="Q236" s="31">
        <f t="shared" si="84"/>
        <v>0.43504100000000001</v>
      </c>
    </row>
    <row r="237" spans="1:17" x14ac:dyDescent="0.2">
      <c r="A237" s="10"/>
      <c r="B237" s="26"/>
      <c r="C237" s="11">
        <v>1993</v>
      </c>
      <c r="D237" s="32">
        <f>SPFI_CLB14!$D$16</f>
        <v>0.499164</v>
      </c>
      <c r="E237" s="32"/>
      <c r="F237" s="32"/>
      <c r="G237" s="32"/>
      <c r="H237" s="32"/>
      <c r="I237" s="32"/>
      <c r="J237" s="28">
        <f t="shared" si="83"/>
        <v>3.9965954009591999E-4</v>
      </c>
      <c r="K237" s="29"/>
      <c r="L237" s="29"/>
      <c r="M237" s="29"/>
      <c r="N237" s="29"/>
      <c r="O237" s="29"/>
      <c r="P237" s="30">
        <f t="shared" si="85"/>
        <v>3.9965954009591999E-4</v>
      </c>
      <c r="Q237" s="31">
        <f t="shared" si="84"/>
        <v>0.499164</v>
      </c>
    </row>
    <row r="238" spans="1:17" x14ac:dyDescent="0.2">
      <c r="A238" s="10"/>
      <c r="B238" s="26"/>
      <c r="C238" s="11">
        <v>1994</v>
      </c>
      <c r="D238" s="32">
        <f>SPFI_CLB14!$D$17</f>
        <v>0.59591300000000003</v>
      </c>
      <c r="E238" s="32"/>
      <c r="F238" s="32"/>
      <c r="G238" s="32"/>
      <c r="H238" s="32"/>
      <c r="I238" s="32"/>
      <c r="J238" s="28">
        <f t="shared" si="83"/>
        <v>4.7712237965314E-4</v>
      </c>
      <c r="K238" s="29"/>
      <c r="L238" s="29"/>
      <c r="M238" s="29"/>
      <c r="N238" s="29"/>
      <c r="O238" s="29"/>
      <c r="P238" s="30">
        <f t="shared" si="85"/>
        <v>4.7712237965314E-4</v>
      </c>
      <c r="Q238" s="31">
        <f t="shared" si="84"/>
        <v>0.59591300000000003</v>
      </c>
    </row>
    <row r="239" spans="1:17" x14ac:dyDescent="0.2">
      <c r="A239" s="10"/>
      <c r="B239" s="26"/>
      <c r="C239" s="11">
        <v>1995</v>
      </c>
      <c r="D239" s="32">
        <f>SPFI_CLB14!$D$18</f>
        <v>0.25400800000000001</v>
      </c>
      <c r="E239" s="32"/>
      <c r="F239" s="32"/>
      <c r="G239" s="32"/>
      <c r="H239" s="32"/>
      <c r="I239" s="32"/>
      <c r="J239" s="28">
        <f t="shared" ref="J239" si="86">D239*J$7</f>
        <v>2.0337348138224E-4</v>
      </c>
      <c r="K239" s="29"/>
      <c r="L239" s="29"/>
      <c r="M239" s="29"/>
      <c r="N239" s="29"/>
      <c r="O239" s="29"/>
      <c r="P239" s="30">
        <f>SUM(J239:O239)</f>
        <v>2.0337348138224E-4</v>
      </c>
      <c r="Q239" s="31">
        <f t="shared" si="84"/>
        <v>0.25400800000000001</v>
      </c>
    </row>
    <row r="240" spans="1:17" x14ac:dyDescent="0.2">
      <c r="A240" s="10"/>
      <c r="B240" s="26"/>
      <c r="C240" s="11">
        <v>1996</v>
      </c>
      <c r="D240" s="32">
        <f>SPFI_CLB14!$D$19</f>
        <v>0</v>
      </c>
      <c r="E240" s="32"/>
      <c r="F240" s="32"/>
      <c r="G240" s="32"/>
      <c r="H240" s="32"/>
      <c r="I240" s="32"/>
      <c r="J240" s="28">
        <f t="shared" ref="J240" si="87">D240*J$7</f>
        <v>0</v>
      </c>
      <c r="K240" s="29"/>
      <c r="L240" s="29"/>
      <c r="M240" s="29"/>
      <c r="N240" s="29"/>
      <c r="O240" s="29"/>
      <c r="P240" s="30">
        <f>SUM(J240:O240)</f>
        <v>0</v>
      </c>
      <c r="Q240" s="31">
        <f t="shared" si="84"/>
        <v>0</v>
      </c>
    </row>
    <row r="241" spans="1:17" x14ac:dyDescent="0.2">
      <c r="A241" s="10"/>
      <c r="B241" s="26"/>
      <c r="C241" s="11">
        <v>1997</v>
      </c>
      <c r="D241" s="32">
        <f>SPFI_CLB14!$D$20</f>
        <v>0.201487</v>
      </c>
      <c r="E241" s="32"/>
      <c r="F241" s="32"/>
      <c r="G241" s="32"/>
      <c r="H241" s="32"/>
      <c r="I241" s="32"/>
      <c r="J241" s="28">
        <f t="shared" ref="J241" si="88">D241*J$7</f>
        <v>1.6132213411885999E-4</v>
      </c>
      <c r="K241" s="29"/>
      <c r="L241" s="29"/>
      <c r="M241" s="29"/>
      <c r="N241" s="29"/>
      <c r="O241" s="29"/>
      <c r="P241" s="30">
        <f>SUM(J241:O241)</f>
        <v>1.6132213411885999E-4</v>
      </c>
      <c r="Q241" s="31">
        <f t="shared" si="84"/>
        <v>0.201487</v>
      </c>
    </row>
    <row r="242" spans="1:17" x14ac:dyDescent="0.2">
      <c r="A242" s="10"/>
      <c r="B242" s="26"/>
      <c r="C242" s="11">
        <v>1998</v>
      </c>
      <c r="D242" s="32">
        <f>SPFI_CLB14!$D$21</f>
        <v>0.37506400000000001</v>
      </c>
      <c r="E242" s="32"/>
      <c r="F242" s="32"/>
      <c r="G242" s="32"/>
      <c r="H242" s="32"/>
      <c r="I242" s="32"/>
      <c r="J242" s="28">
        <f t="shared" ref="J242" si="89">D242*J$7</f>
        <v>3.0029790959792003E-4</v>
      </c>
      <c r="K242" s="29"/>
      <c r="L242" s="29"/>
      <c r="M242" s="29"/>
      <c r="N242" s="29"/>
      <c r="O242" s="29"/>
      <c r="P242" s="30">
        <f>SUM(J242:O242)</f>
        <v>3.0029790959792003E-4</v>
      </c>
      <c r="Q242" s="31">
        <f t="shared" si="84"/>
        <v>0.37506400000000006</v>
      </c>
    </row>
    <row r="243" spans="1:17" x14ac:dyDescent="0.2">
      <c r="A243" s="10"/>
      <c r="B243" s="26"/>
      <c r="C243" s="11">
        <v>1999</v>
      </c>
      <c r="D243" s="32">
        <f>SPFI_CLB14!$D$22</f>
        <v>0.29823699999999997</v>
      </c>
      <c r="E243" s="32"/>
      <c r="F243" s="32"/>
      <c r="G243" s="32"/>
      <c r="H243" s="32"/>
      <c r="I243" s="32"/>
      <c r="J243" s="28">
        <f t="shared" ref="J243" si="90">D243*J$7</f>
        <v>2.3878577433385998E-4</v>
      </c>
      <c r="K243" s="29"/>
      <c r="L243" s="29"/>
      <c r="M243" s="29"/>
      <c r="N243" s="29"/>
      <c r="O243" s="29"/>
      <c r="P243" s="30">
        <f>SUM(J243:O243)</f>
        <v>2.3878577433385998E-4</v>
      </c>
      <c r="Q243" s="31">
        <f t="shared" ref="Q243:Q248" si="91">IF(C$7&gt;0,P243/C$7,0)</f>
        <v>0.29823699999999997</v>
      </c>
    </row>
    <row r="244" spans="1:17" x14ac:dyDescent="0.2">
      <c r="A244" s="10"/>
      <c r="B244" s="26"/>
      <c r="C244" s="11">
        <v>2000</v>
      </c>
      <c r="D244" s="32">
        <f>SPFI_CLB14!$D$23</f>
        <v>8.4414000000000003E-2</v>
      </c>
      <c r="E244" s="32"/>
      <c r="F244" s="32"/>
      <c r="G244" s="32"/>
      <c r="H244" s="32"/>
      <c r="I244" s="32"/>
      <c r="J244" s="28">
        <f t="shared" ref="J244" si="92">D244*J$7</f>
        <v>6.7586725840920002E-5</v>
      </c>
      <c r="K244" s="29"/>
      <c r="L244" s="29"/>
      <c r="M244" s="29"/>
      <c r="N244" s="29"/>
      <c r="O244" s="29"/>
      <c r="P244" s="30">
        <f t="shared" ref="P244:P249" si="93">SUM(J244:O244)</f>
        <v>6.7586725840920002E-5</v>
      </c>
      <c r="Q244" s="31">
        <f t="shared" si="91"/>
        <v>8.4414000000000003E-2</v>
      </c>
    </row>
    <row r="245" spans="1:17" x14ac:dyDescent="0.2">
      <c r="A245" s="10"/>
      <c r="B245" s="26"/>
      <c r="C245" s="11">
        <v>2001</v>
      </c>
      <c r="D245" s="32">
        <f>SPFI_CLB14!$D$24</f>
        <v>7.8909000000000007E-2</v>
      </c>
      <c r="E245" s="32"/>
      <c r="F245" s="32"/>
      <c r="G245" s="32"/>
      <c r="H245" s="32"/>
      <c r="I245" s="32"/>
      <c r="J245" s="28">
        <f t="shared" ref="J245" si="94">D245*J$7</f>
        <v>6.3179104762020008E-5</v>
      </c>
      <c r="K245" s="29"/>
      <c r="L245" s="29"/>
      <c r="M245" s="29"/>
      <c r="N245" s="29"/>
      <c r="O245" s="29"/>
      <c r="P245" s="30">
        <f t="shared" si="93"/>
        <v>6.3179104762020008E-5</v>
      </c>
      <c r="Q245" s="31">
        <f t="shared" si="91"/>
        <v>7.8909000000000007E-2</v>
      </c>
    </row>
    <row r="246" spans="1:17" x14ac:dyDescent="0.2">
      <c r="A246" s="10"/>
      <c r="B246" s="26"/>
      <c r="C246" s="11">
        <v>2002</v>
      </c>
      <c r="D246" s="32">
        <f>SPFI_CLB14!$D$25</f>
        <v>0.29974699999999999</v>
      </c>
      <c r="E246" s="32"/>
      <c r="F246" s="32"/>
      <c r="G246" s="32"/>
      <c r="H246" s="32"/>
      <c r="I246" s="32"/>
      <c r="J246" s="28">
        <f t="shared" ref="J246" si="95">D246*J$7</f>
        <v>2.3999476758165998E-4</v>
      </c>
      <c r="K246" s="29"/>
      <c r="L246" s="29"/>
      <c r="M246" s="29"/>
      <c r="N246" s="29"/>
      <c r="O246" s="29"/>
      <c r="P246" s="30">
        <f t="shared" si="93"/>
        <v>2.3999476758165998E-4</v>
      </c>
      <c r="Q246" s="31">
        <f t="shared" si="91"/>
        <v>0.29974699999999999</v>
      </c>
    </row>
    <row r="247" spans="1:17" x14ac:dyDescent="0.2">
      <c r="A247" s="10"/>
      <c r="B247" s="26"/>
      <c r="C247" s="11">
        <v>2003</v>
      </c>
      <c r="D247" s="32">
        <f>SPFI_CLB14!$D$26</f>
        <v>0.20691100000000001</v>
      </c>
      <c r="E247" s="32"/>
      <c r="F247" s="32"/>
      <c r="G247" s="32"/>
      <c r="H247" s="32"/>
      <c r="I247" s="32"/>
      <c r="J247" s="28">
        <f t="shared" ref="J247" si="96">D247*J$7</f>
        <v>1.6566490191758E-4</v>
      </c>
      <c r="K247" s="29"/>
      <c r="L247" s="29"/>
      <c r="M247" s="29"/>
      <c r="N247" s="29"/>
      <c r="O247" s="29"/>
      <c r="P247" s="30">
        <f t="shared" si="93"/>
        <v>1.6566490191758E-4</v>
      </c>
      <c r="Q247" s="31">
        <f t="shared" si="91"/>
        <v>0.20691100000000001</v>
      </c>
    </row>
    <row r="248" spans="1:17" x14ac:dyDescent="0.2">
      <c r="A248" s="10"/>
      <c r="B248" s="26"/>
      <c r="C248" s="11">
        <v>2004</v>
      </c>
      <c r="D248" s="32">
        <f>SPFI_CLB14!$D$27</f>
        <v>0.269237</v>
      </c>
      <c r="E248" s="32"/>
      <c r="F248" s="32"/>
      <c r="G248" s="32"/>
      <c r="H248" s="32"/>
      <c r="I248" s="32"/>
      <c r="J248" s="28">
        <f t="shared" ref="J248" si="97">D248*J$7</f>
        <v>2.1556669871386001E-4</v>
      </c>
      <c r="K248" s="29"/>
      <c r="L248" s="29"/>
      <c r="M248" s="29"/>
      <c r="N248" s="29"/>
      <c r="O248" s="29"/>
      <c r="P248" s="30">
        <f t="shared" si="93"/>
        <v>2.1556669871386001E-4</v>
      </c>
      <c r="Q248" s="31">
        <f t="shared" si="91"/>
        <v>0.269237</v>
      </c>
    </row>
    <row r="249" spans="1:17" x14ac:dyDescent="0.2">
      <c r="A249" s="10"/>
      <c r="B249" s="26"/>
      <c r="C249" s="11">
        <v>2005</v>
      </c>
      <c r="D249" s="32">
        <f>SPFI_CLB14!$D$28</f>
        <v>0.37848700000000002</v>
      </c>
      <c r="E249" s="32"/>
      <c r="F249" s="32"/>
      <c r="G249" s="32"/>
      <c r="H249" s="32"/>
      <c r="I249" s="32"/>
      <c r="J249" s="28">
        <f t="shared" ref="J249" si="98">D249*J$7</f>
        <v>3.0303856117885999E-4</v>
      </c>
      <c r="K249" s="29"/>
      <c r="L249" s="29"/>
      <c r="M249" s="29"/>
      <c r="N249" s="29"/>
      <c r="O249" s="29"/>
      <c r="P249" s="30">
        <f t="shared" si="93"/>
        <v>3.0303856117885999E-4</v>
      </c>
      <c r="Q249" s="31">
        <f t="shared" ref="Q249:Q254" si="99">IF(C$7&gt;0,P249/C$7,0)</f>
        <v>0.37848700000000002</v>
      </c>
    </row>
    <row r="250" spans="1:17" x14ac:dyDescent="0.2">
      <c r="A250" s="10"/>
      <c r="B250" s="26"/>
      <c r="C250" s="11">
        <v>2006</v>
      </c>
      <c r="D250" s="32">
        <f>SPFI_CLB14!$D$29</f>
        <v>0.381023</v>
      </c>
      <c r="E250" s="32"/>
      <c r="F250" s="32"/>
      <c r="G250" s="32"/>
      <c r="H250" s="32"/>
      <c r="I250" s="32"/>
      <c r="J250" s="28">
        <f t="shared" ref="J250" si="100">D250*J$7</f>
        <v>3.0506902930893998E-4</v>
      </c>
      <c r="K250" s="29"/>
      <c r="L250" s="29"/>
      <c r="M250" s="29"/>
      <c r="N250" s="29"/>
      <c r="O250" s="29"/>
      <c r="P250" s="30">
        <f t="shared" ref="P250:P257" si="101">SUM(J250:O250)</f>
        <v>3.0506902930893998E-4</v>
      </c>
      <c r="Q250" s="31">
        <f t="shared" si="99"/>
        <v>0.38102299999999995</v>
      </c>
    </row>
    <row r="251" spans="1:17" x14ac:dyDescent="0.2">
      <c r="A251" s="10"/>
      <c r="B251" s="26"/>
      <c r="C251" s="11">
        <v>2007</v>
      </c>
      <c r="D251" s="32">
        <f>SPFI_CLB14!$D$30</f>
        <v>0.356512</v>
      </c>
      <c r="E251" s="32"/>
      <c r="F251" s="32"/>
      <c r="G251" s="32"/>
      <c r="H251" s="32"/>
      <c r="I251" s="32"/>
      <c r="J251" s="28">
        <f t="shared" ref="J251" si="102">D251*J$7</f>
        <v>2.8544410646335998E-4</v>
      </c>
      <c r="K251" s="29"/>
      <c r="L251" s="29"/>
      <c r="M251" s="29"/>
      <c r="N251" s="29"/>
      <c r="O251" s="29"/>
      <c r="P251" s="30">
        <f t="shared" si="101"/>
        <v>2.8544410646335998E-4</v>
      </c>
      <c r="Q251" s="31">
        <f t="shared" si="99"/>
        <v>0.356512</v>
      </c>
    </row>
    <row r="252" spans="1:17" x14ac:dyDescent="0.2">
      <c r="A252" s="10"/>
      <c r="B252" s="26"/>
      <c r="C252" s="11">
        <v>2008</v>
      </c>
      <c r="D252" s="32">
        <f>SPFI_CLB14!$D$31</f>
        <v>0.25494499999999998</v>
      </c>
      <c r="E252" s="32"/>
      <c r="F252" s="32"/>
      <c r="G252" s="32"/>
      <c r="H252" s="32"/>
      <c r="I252" s="32"/>
      <c r="J252" s="28">
        <f t="shared" ref="J252" si="103">D252*J$7</f>
        <v>2.0412369772209997E-4</v>
      </c>
      <c r="K252" s="29"/>
      <c r="L252" s="29"/>
      <c r="M252" s="29"/>
      <c r="N252" s="29"/>
      <c r="O252" s="29"/>
      <c r="P252" s="30">
        <f t="shared" si="101"/>
        <v>2.0412369772209997E-4</v>
      </c>
      <c r="Q252" s="31">
        <f t="shared" si="99"/>
        <v>0.25494499999999998</v>
      </c>
    </row>
    <row r="253" spans="1:17" x14ac:dyDescent="0.2">
      <c r="A253" s="10"/>
      <c r="B253" s="26"/>
      <c r="C253" s="11">
        <v>2009</v>
      </c>
      <c r="D253" s="32">
        <f>SPFI_CLB14!$D$32</f>
        <v>0.52383000000000002</v>
      </c>
      <c r="E253" s="32"/>
      <c r="F253" s="32"/>
      <c r="G253" s="32"/>
      <c r="H253" s="32"/>
      <c r="I253" s="32"/>
      <c r="J253" s="28">
        <f t="shared" ref="J253" si="104">D253*J$7</f>
        <v>4.1940856489740004E-4</v>
      </c>
      <c r="K253" s="29"/>
      <c r="L253" s="29"/>
      <c r="M253" s="29"/>
      <c r="N253" s="29"/>
      <c r="O253" s="29"/>
      <c r="P253" s="30">
        <f t="shared" si="101"/>
        <v>4.1940856489740004E-4</v>
      </c>
      <c r="Q253" s="31">
        <f t="shared" si="99"/>
        <v>0.52383000000000002</v>
      </c>
    </row>
    <row r="254" spans="1:17" x14ac:dyDescent="0.2">
      <c r="A254" s="10"/>
      <c r="B254" s="26"/>
      <c r="C254" s="11">
        <v>2010</v>
      </c>
      <c r="D254" s="32">
        <f>SPFI_CLB14!$D$33</f>
        <v>0.31394</v>
      </c>
      <c r="E254" s="32"/>
      <c r="F254" s="32"/>
      <c r="G254" s="32"/>
      <c r="H254" s="32"/>
      <c r="I254" s="32"/>
      <c r="J254" s="28">
        <f t="shared" ref="J254" si="105">D254*J$7</f>
        <v>2.513585034532E-4</v>
      </c>
      <c r="K254" s="29"/>
      <c r="L254" s="29"/>
      <c r="M254" s="29"/>
      <c r="N254" s="29"/>
      <c r="O254" s="29"/>
      <c r="P254" s="30">
        <f t="shared" si="101"/>
        <v>2.513585034532E-4</v>
      </c>
      <c r="Q254" s="31">
        <f t="shared" si="99"/>
        <v>0.31394</v>
      </c>
    </row>
    <row r="255" spans="1:17" x14ac:dyDescent="0.2">
      <c r="A255" s="10"/>
      <c r="B255" s="26"/>
      <c r="C255" s="11">
        <v>2011</v>
      </c>
      <c r="D255" s="32">
        <f>SPFI_CLB14!$D$34</f>
        <v>0.294348</v>
      </c>
      <c r="E255" s="32"/>
      <c r="F255" s="32"/>
      <c r="G255" s="32"/>
      <c r="H255" s="32"/>
      <c r="I255" s="32"/>
      <c r="J255" s="28">
        <f t="shared" ref="J255" si="106">D255*J$7</f>
        <v>2.3567201622743999E-4</v>
      </c>
      <c r="K255" s="29"/>
      <c r="L255" s="29"/>
      <c r="M255" s="29"/>
      <c r="N255" s="29"/>
      <c r="O255" s="29"/>
      <c r="P255" s="30">
        <f t="shared" ref="P255" si="107">SUM(J255:O255)</f>
        <v>2.3567201622743999E-4</v>
      </c>
      <c r="Q255" s="31">
        <f t="shared" ref="Q255" si="108">IF(C$7&gt;0,P255/C$7,0)</f>
        <v>0.294348</v>
      </c>
    </row>
    <row r="256" spans="1:17" x14ac:dyDescent="0.2">
      <c r="A256" s="10"/>
      <c r="B256" s="26"/>
      <c r="C256" s="11">
        <v>2012</v>
      </c>
      <c r="D256" s="32">
        <f>SPFI_CLB14!$D$35</f>
        <v>0.34784100000000001</v>
      </c>
      <c r="E256" s="32"/>
      <c r="F256" s="32"/>
      <c r="G256" s="32"/>
      <c r="H256" s="32"/>
      <c r="I256" s="32"/>
      <c r="J256" s="28">
        <f t="shared" ref="J256" si="109">D256*J$7</f>
        <v>2.7850160285298E-4</v>
      </c>
      <c r="K256" s="29"/>
      <c r="L256" s="29"/>
      <c r="M256" s="29"/>
      <c r="N256" s="29"/>
      <c r="O256" s="29"/>
      <c r="P256" s="30">
        <f t="shared" ref="P256" si="110">SUM(J256:O256)</f>
        <v>2.7850160285298E-4</v>
      </c>
      <c r="Q256" s="31">
        <f t="shared" ref="Q256" si="111">IF(C$7&gt;0,P256/C$7,0)</f>
        <v>0.34784100000000001</v>
      </c>
    </row>
    <row r="257" spans="1:17" x14ac:dyDescent="0.2">
      <c r="A257" s="5" t="s">
        <v>7</v>
      </c>
      <c r="B257" s="21">
        <v>2</v>
      </c>
      <c r="C257" s="6">
        <v>1982</v>
      </c>
      <c r="D257" s="27">
        <f>SPFI_CLB14!$D$5</f>
        <v>0.98153299999999999</v>
      </c>
      <c r="E257" s="27"/>
      <c r="F257" s="27"/>
      <c r="G257" s="27"/>
      <c r="H257" s="27"/>
      <c r="I257" s="27"/>
      <c r="J257" s="33">
        <f t="shared" ref="J257:J269" si="112">D257*J$8</f>
        <v>2.7500367804476001E-2</v>
      </c>
      <c r="K257" s="27"/>
      <c r="L257" s="27"/>
      <c r="M257" s="27"/>
      <c r="N257" s="27"/>
      <c r="O257" s="27"/>
      <c r="P257" s="34">
        <f t="shared" si="101"/>
        <v>2.7500367804476001E-2</v>
      </c>
      <c r="Q257" s="35">
        <f t="shared" ref="Q257:Q273" si="113">IF(C$8&gt;0,P257/C$8,0)</f>
        <v>0.98153299999999999</v>
      </c>
    </row>
    <row r="258" spans="1:17" x14ac:dyDescent="0.2">
      <c r="A258" s="10"/>
      <c r="B258" s="26"/>
      <c r="C258" s="11">
        <v>1983</v>
      </c>
      <c r="D258" s="32">
        <f>SPFI_CLB14!$D$6</f>
        <v>0.93659899999999996</v>
      </c>
      <c r="E258" s="32"/>
      <c r="F258" s="32"/>
      <c r="G258" s="32"/>
      <c r="H258" s="32"/>
      <c r="I258" s="32"/>
      <c r="J258" s="28">
        <f t="shared" si="112"/>
        <v>2.6241417237428E-2</v>
      </c>
      <c r="K258" s="29"/>
      <c r="L258" s="29"/>
      <c r="M258" s="29"/>
      <c r="N258" s="29"/>
      <c r="O258" s="29"/>
      <c r="P258" s="30">
        <f t="shared" ref="P258:P269" si="114">SUM(J258:O258)</f>
        <v>2.6241417237428E-2</v>
      </c>
      <c r="Q258" s="31">
        <f t="shared" si="113"/>
        <v>0.93659900000000007</v>
      </c>
    </row>
    <row r="259" spans="1:17" x14ac:dyDescent="0.2">
      <c r="A259" s="10"/>
      <c r="B259" s="26"/>
      <c r="C259" s="11">
        <v>1984</v>
      </c>
      <c r="D259" s="32">
        <f>SPFI_CLB14!$D$7</f>
        <v>0.92793599999999998</v>
      </c>
      <c r="E259" s="32"/>
      <c r="F259" s="32"/>
      <c r="G259" s="32"/>
      <c r="H259" s="32"/>
      <c r="I259" s="32"/>
      <c r="J259" s="28">
        <f t="shared" si="112"/>
        <v>2.5998699278592E-2</v>
      </c>
      <c r="K259" s="29"/>
      <c r="L259" s="29"/>
      <c r="M259" s="29"/>
      <c r="N259" s="29"/>
      <c r="O259" s="29"/>
      <c r="P259" s="30">
        <f t="shared" si="114"/>
        <v>2.5998699278592E-2</v>
      </c>
      <c r="Q259" s="31">
        <f t="shared" si="113"/>
        <v>0.92793599999999998</v>
      </c>
    </row>
    <row r="260" spans="1:17" x14ac:dyDescent="0.2">
      <c r="A260" s="10"/>
      <c r="B260" s="26"/>
      <c r="C260" s="11">
        <v>1985</v>
      </c>
      <c r="D260" s="32">
        <f>SPFI_CLB14!$D$8</f>
        <v>0.90386500000000003</v>
      </c>
      <c r="E260" s="32"/>
      <c r="F260" s="32"/>
      <c r="G260" s="32"/>
      <c r="H260" s="32"/>
      <c r="I260" s="32"/>
      <c r="J260" s="28">
        <f t="shared" si="112"/>
        <v>2.5324283488780002E-2</v>
      </c>
      <c r="K260" s="29"/>
      <c r="L260" s="29"/>
      <c r="M260" s="29"/>
      <c r="N260" s="29"/>
      <c r="O260" s="29"/>
      <c r="P260" s="30">
        <f t="shared" si="114"/>
        <v>2.5324283488780002E-2</v>
      </c>
      <c r="Q260" s="31">
        <f t="shared" si="113"/>
        <v>0.90386500000000003</v>
      </c>
    </row>
    <row r="261" spans="1:17" x14ac:dyDescent="0.2">
      <c r="A261" s="10"/>
      <c r="B261" s="26"/>
      <c r="C261" s="11">
        <v>1986</v>
      </c>
      <c r="D261" s="32">
        <f>SPFI_CLB14!$D$9</f>
        <v>0.73087500000000005</v>
      </c>
      <c r="E261" s="32"/>
      <c r="F261" s="32"/>
      <c r="G261" s="32"/>
      <c r="H261" s="32"/>
      <c r="I261" s="32"/>
      <c r="J261" s="28">
        <f t="shared" si="112"/>
        <v>2.0477489110500003E-2</v>
      </c>
      <c r="K261" s="29"/>
      <c r="L261" s="29"/>
      <c r="M261" s="29"/>
      <c r="N261" s="29"/>
      <c r="O261" s="29"/>
      <c r="P261" s="30">
        <f t="shared" si="114"/>
        <v>2.0477489110500003E-2</v>
      </c>
      <c r="Q261" s="31">
        <f t="shared" si="113"/>
        <v>0.73087500000000016</v>
      </c>
    </row>
    <row r="262" spans="1:17" x14ac:dyDescent="0.2">
      <c r="A262" s="10"/>
      <c r="B262" s="26"/>
      <c r="C262" s="11">
        <v>1987</v>
      </c>
      <c r="D262" s="32">
        <f>SPFI_CLB14!$D$10</f>
        <v>0.71733499999999994</v>
      </c>
      <c r="E262" s="32"/>
      <c r="F262" s="32"/>
      <c r="G262" s="32"/>
      <c r="H262" s="32"/>
      <c r="I262" s="32"/>
      <c r="J262" s="28">
        <f t="shared" si="112"/>
        <v>2.0098128477619999E-2</v>
      </c>
      <c r="K262" s="29"/>
      <c r="L262" s="29"/>
      <c r="M262" s="29"/>
      <c r="N262" s="29"/>
      <c r="O262" s="29"/>
      <c r="P262" s="30">
        <f t="shared" si="114"/>
        <v>2.0098128477619999E-2</v>
      </c>
      <c r="Q262" s="31">
        <f t="shared" si="113"/>
        <v>0.71733499999999994</v>
      </c>
    </row>
    <row r="263" spans="1:17" x14ac:dyDescent="0.2">
      <c r="A263" s="10"/>
      <c r="B263" s="26"/>
      <c r="C263" s="11">
        <v>1988</v>
      </c>
      <c r="D263" s="32">
        <f>SPFI_CLB14!$D$11</f>
        <v>0.64558800000000005</v>
      </c>
      <c r="E263" s="32"/>
      <c r="F263" s="32"/>
      <c r="G263" s="32"/>
      <c r="H263" s="32"/>
      <c r="I263" s="32"/>
      <c r="J263" s="28">
        <f t="shared" si="112"/>
        <v>1.8087937389936002E-2</v>
      </c>
      <c r="K263" s="29"/>
      <c r="L263" s="29"/>
      <c r="M263" s="29"/>
      <c r="N263" s="29"/>
      <c r="O263" s="29"/>
      <c r="P263" s="30">
        <f t="shared" si="114"/>
        <v>1.8087937389936002E-2</v>
      </c>
      <c r="Q263" s="31">
        <f t="shared" si="113"/>
        <v>0.64558800000000005</v>
      </c>
    </row>
    <row r="264" spans="1:17" x14ac:dyDescent="0.2">
      <c r="A264" s="10"/>
      <c r="B264" s="26"/>
      <c r="C264" s="11">
        <v>1989</v>
      </c>
      <c r="D264" s="32">
        <f>SPFI_CLB14!$D$12</f>
        <v>0.65287700000000004</v>
      </c>
      <c r="E264" s="32"/>
      <c r="F264" s="32"/>
      <c r="G264" s="32"/>
      <c r="H264" s="32"/>
      <c r="I264" s="32"/>
      <c r="J264" s="28">
        <f t="shared" si="112"/>
        <v>1.8292158930043999E-2</v>
      </c>
      <c r="K264" s="29"/>
      <c r="L264" s="29"/>
      <c r="M264" s="29"/>
      <c r="N264" s="29"/>
      <c r="O264" s="29"/>
      <c r="P264" s="30">
        <f t="shared" si="114"/>
        <v>1.8292158930043999E-2</v>
      </c>
      <c r="Q264" s="31">
        <f t="shared" si="113"/>
        <v>0.65287700000000004</v>
      </c>
    </row>
    <row r="265" spans="1:17" x14ac:dyDescent="0.2">
      <c r="A265" s="10"/>
      <c r="B265" s="26"/>
      <c r="C265" s="11">
        <v>1990</v>
      </c>
      <c r="D265" s="32">
        <f>SPFI_CLB14!$D$13</f>
        <v>0.56965100000000002</v>
      </c>
      <c r="E265" s="32"/>
      <c r="F265" s="32"/>
      <c r="G265" s="32"/>
      <c r="H265" s="32"/>
      <c r="I265" s="32"/>
      <c r="J265" s="28">
        <f t="shared" si="112"/>
        <v>1.5960351837571999E-2</v>
      </c>
      <c r="K265" s="29"/>
      <c r="L265" s="29"/>
      <c r="M265" s="29"/>
      <c r="N265" s="29"/>
      <c r="O265" s="29"/>
      <c r="P265" s="30">
        <f t="shared" si="114"/>
        <v>1.5960351837571999E-2</v>
      </c>
      <c r="Q265" s="31">
        <f t="shared" si="113"/>
        <v>0.56965100000000002</v>
      </c>
    </row>
    <row r="266" spans="1:17" x14ac:dyDescent="0.2">
      <c r="A266" s="10"/>
      <c r="B266" s="26"/>
      <c r="C266" s="11">
        <v>1991</v>
      </c>
      <c r="D266" s="32">
        <f>SPFI_CLB14!$D$14</f>
        <v>0.62776900000000002</v>
      </c>
      <c r="E266" s="32"/>
      <c r="F266" s="32"/>
      <c r="G266" s="32"/>
      <c r="H266" s="32"/>
      <c r="I266" s="32"/>
      <c r="J266" s="28">
        <f t="shared" si="112"/>
        <v>1.7588688710668002E-2</v>
      </c>
      <c r="K266" s="29"/>
      <c r="L266" s="29"/>
      <c r="M266" s="29"/>
      <c r="N266" s="29"/>
      <c r="O266" s="29"/>
      <c r="P266" s="30">
        <f t="shared" si="114"/>
        <v>1.7588688710668002E-2</v>
      </c>
      <c r="Q266" s="31">
        <f t="shared" si="113"/>
        <v>0.62776900000000002</v>
      </c>
    </row>
    <row r="267" spans="1:17" x14ac:dyDescent="0.2">
      <c r="A267" s="10"/>
      <c r="B267" s="26"/>
      <c r="C267" s="11">
        <v>1992</v>
      </c>
      <c r="D267" s="32">
        <f>SPFI_CLB14!$D$15</f>
        <v>0.43504100000000001</v>
      </c>
      <c r="E267" s="32"/>
      <c r="F267" s="32"/>
      <c r="G267" s="32"/>
      <c r="H267" s="32"/>
      <c r="I267" s="32"/>
      <c r="J267" s="28">
        <f t="shared" si="112"/>
        <v>1.2188879548652E-2</v>
      </c>
      <c r="K267" s="29"/>
      <c r="L267" s="29"/>
      <c r="M267" s="29"/>
      <c r="N267" s="29"/>
      <c r="O267" s="29"/>
      <c r="P267" s="30">
        <f t="shared" si="114"/>
        <v>1.2188879548652E-2</v>
      </c>
      <c r="Q267" s="31">
        <f t="shared" si="113"/>
        <v>0.43504100000000001</v>
      </c>
    </row>
    <row r="268" spans="1:17" x14ac:dyDescent="0.2">
      <c r="A268" s="10"/>
      <c r="B268" s="26"/>
      <c r="C268" s="11">
        <v>1993</v>
      </c>
      <c r="D268" s="32">
        <f>SPFI_CLB14!$D$16</f>
        <v>0.499164</v>
      </c>
      <c r="E268" s="32"/>
      <c r="F268" s="32"/>
      <c r="G268" s="32"/>
      <c r="H268" s="32"/>
      <c r="I268" s="32"/>
      <c r="J268" s="28">
        <f t="shared" si="112"/>
        <v>1.3985463142608E-2</v>
      </c>
      <c r="K268" s="29"/>
      <c r="L268" s="29"/>
      <c r="M268" s="29"/>
      <c r="N268" s="29"/>
      <c r="O268" s="29"/>
      <c r="P268" s="30">
        <f t="shared" si="114"/>
        <v>1.3985463142608E-2</v>
      </c>
      <c r="Q268" s="31">
        <f t="shared" si="113"/>
        <v>0.499164</v>
      </c>
    </row>
    <row r="269" spans="1:17" x14ac:dyDescent="0.2">
      <c r="A269" s="10"/>
      <c r="B269" s="26"/>
      <c r="C269" s="11">
        <v>1994</v>
      </c>
      <c r="D269" s="32">
        <f>SPFI_CLB14!$D$17</f>
        <v>0.59591300000000003</v>
      </c>
      <c r="E269" s="32"/>
      <c r="F269" s="32"/>
      <c r="G269" s="32"/>
      <c r="H269" s="32"/>
      <c r="I269" s="32"/>
      <c r="J269" s="28">
        <f t="shared" si="112"/>
        <v>1.6696154565836001E-2</v>
      </c>
      <c r="K269" s="29"/>
      <c r="L269" s="29"/>
      <c r="M269" s="29"/>
      <c r="N269" s="29"/>
      <c r="O269" s="29"/>
      <c r="P269" s="30">
        <f t="shared" si="114"/>
        <v>1.6696154565836001E-2</v>
      </c>
      <c r="Q269" s="31">
        <f t="shared" si="113"/>
        <v>0.59591300000000003</v>
      </c>
    </row>
    <row r="270" spans="1:17" x14ac:dyDescent="0.2">
      <c r="A270" s="10"/>
      <c r="B270" s="26"/>
      <c r="C270" s="11">
        <v>1995</v>
      </c>
      <c r="D270" s="32">
        <f>SPFI_CLB14!$D$18</f>
        <v>0.25400800000000001</v>
      </c>
      <c r="E270" s="32"/>
      <c r="F270" s="32"/>
      <c r="G270" s="32"/>
      <c r="H270" s="32"/>
      <c r="I270" s="32"/>
      <c r="J270" s="28">
        <f t="shared" ref="J270" si="115">D270*J$8</f>
        <v>7.1167382301759998E-3</v>
      </c>
      <c r="K270" s="29"/>
      <c r="L270" s="29"/>
      <c r="M270" s="29"/>
      <c r="N270" s="29"/>
      <c r="O270" s="29"/>
      <c r="P270" s="30">
        <f>SUM(J270:O270)</f>
        <v>7.1167382301759998E-3</v>
      </c>
      <c r="Q270" s="31">
        <f t="shared" si="113"/>
        <v>0.25400800000000001</v>
      </c>
    </row>
    <row r="271" spans="1:17" x14ac:dyDescent="0.2">
      <c r="A271" s="10"/>
      <c r="B271" s="26"/>
      <c r="C271" s="11">
        <v>1996</v>
      </c>
      <c r="D271" s="32">
        <f>SPFI_CLB14!$D$19</f>
        <v>0</v>
      </c>
      <c r="E271" s="32"/>
      <c r="F271" s="32"/>
      <c r="G271" s="32"/>
      <c r="H271" s="32"/>
      <c r="I271" s="32"/>
      <c r="J271" s="28">
        <f t="shared" ref="J271" si="116">D271*J$8</f>
        <v>0</v>
      </c>
      <c r="K271" s="29"/>
      <c r="L271" s="29"/>
      <c r="M271" s="29"/>
      <c r="N271" s="29"/>
      <c r="O271" s="29"/>
      <c r="P271" s="30">
        <f>SUM(J271:O271)</f>
        <v>0</v>
      </c>
      <c r="Q271" s="31">
        <f t="shared" si="113"/>
        <v>0</v>
      </c>
    </row>
    <row r="272" spans="1:17" x14ac:dyDescent="0.2">
      <c r="A272" s="10"/>
      <c r="B272" s="26"/>
      <c r="C272" s="11">
        <v>1997</v>
      </c>
      <c r="D272" s="32">
        <f>SPFI_CLB14!$D$20</f>
        <v>0.201487</v>
      </c>
      <c r="E272" s="32"/>
      <c r="F272" s="32"/>
      <c r="G272" s="32"/>
      <c r="H272" s="32"/>
      <c r="I272" s="32"/>
      <c r="J272" s="28">
        <f t="shared" ref="J272" si="117">D272*J$8</f>
        <v>5.6452168269639997E-3</v>
      </c>
      <c r="K272" s="29"/>
      <c r="L272" s="29"/>
      <c r="M272" s="29"/>
      <c r="N272" s="29"/>
      <c r="O272" s="29"/>
      <c r="P272" s="30">
        <f>SUM(J272:O272)</f>
        <v>5.6452168269639997E-3</v>
      </c>
      <c r="Q272" s="31">
        <f t="shared" si="113"/>
        <v>0.201487</v>
      </c>
    </row>
    <row r="273" spans="1:17" x14ac:dyDescent="0.2">
      <c r="A273" s="10"/>
      <c r="B273" s="26"/>
      <c r="C273" s="11">
        <v>1998</v>
      </c>
      <c r="D273" s="32">
        <f>SPFI_CLB14!$D$21</f>
        <v>0.37506400000000001</v>
      </c>
      <c r="E273" s="32"/>
      <c r="F273" s="32"/>
      <c r="G273" s="32"/>
      <c r="H273" s="32"/>
      <c r="I273" s="32"/>
      <c r="J273" s="28">
        <f t="shared" ref="J273" si="118">D273*J$8</f>
        <v>1.0508457637408E-2</v>
      </c>
      <c r="K273" s="29"/>
      <c r="L273" s="29"/>
      <c r="M273" s="29"/>
      <c r="N273" s="29"/>
      <c r="O273" s="29"/>
      <c r="P273" s="30">
        <f>SUM(J273:O273)</f>
        <v>1.0508457637408E-2</v>
      </c>
      <c r="Q273" s="31">
        <f t="shared" si="113"/>
        <v>0.37506400000000001</v>
      </c>
    </row>
    <row r="274" spans="1:17" x14ac:dyDescent="0.2">
      <c r="A274" s="10"/>
      <c r="B274" s="26"/>
      <c r="C274" s="11">
        <v>1999</v>
      </c>
      <c r="D274" s="32">
        <f>SPFI_CLB14!$D$22</f>
        <v>0.29823699999999997</v>
      </c>
      <c r="E274" s="32"/>
      <c r="F274" s="32"/>
      <c r="G274" s="32"/>
      <c r="H274" s="32"/>
      <c r="I274" s="32"/>
      <c r="J274" s="28">
        <f t="shared" ref="J274" si="119">D274*J$8</f>
        <v>8.3559362679639995E-3</v>
      </c>
      <c r="K274" s="29"/>
      <c r="L274" s="29"/>
      <c r="M274" s="29"/>
      <c r="N274" s="29"/>
      <c r="O274" s="29"/>
      <c r="P274" s="30">
        <f>SUM(J274:O274)</f>
        <v>8.3559362679639995E-3</v>
      </c>
      <c r="Q274" s="31">
        <f t="shared" ref="Q274:Q279" si="120">IF(C$8&gt;0,P274/C$8,0)</f>
        <v>0.29823699999999997</v>
      </c>
    </row>
    <row r="275" spans="1:17" x14ac:dyDescent="0.2">
      <c r="A275" s="10"/>
      <c r="B275" s="26"/>
      <c r="C275" s="11">
        <v>2000</v>
      </c>
      <c r="D275" s="32">
        <f>SPFI_CLB14!$D$23</f>
        <v>8.4414000000000003E-2</v>
      </c>
      <c r="E275" s="32"/>
      <c r="F275" s="32"/>
      <c r="G275" s="32"/>
      <c r="H275" s="32"/>
      <c r="I275" s="32"/>
      <c r="J275" s="28">
        <f t="shared" ref="J275" si="121">D275*J$8</f>
        <v>2.3650922056079999E-3</v>
      </c>
      <c r="K275" s="29"/>
      <c r="L275" s="29"/>
      <c r="M275" s="29"/>
      <c r="N275" s="29"/>
      <c r="O275" s="29"/>
      <c r="P275" s="30">
        <f t="shared" ref="P275:P280" si="122">SUM(J275:O275)</f>
        <v>2.3650922056079999E-3</v>
      </c>
      <c r="Q275" s="31">
        <f t="shared" si="120"/>
        <v>8.4414000000000003E-2</v>
      </c>
    </row>
    <row r="276" spans="1:17" x14ac:dyDescent="0.2">
      <c r="A276" s="10"/>
      <c r="B276" s="26"/>
      <c r="C276" s="11">
        <v>2001</v>
      </c>
      <c r="D276" s="32">
        <f>SPFI_CLB14!$D$24</f>
        <v>7.8909000000000007E-2</v>
      </c>
      <c r="E276" s="32"/>
      <c r="F276" s="32"/>
      <c r="G276" s="32"/>
      <c r="H276" s="32"/>
      <c r="I276" s="32"/>
      <c r="J276" s="28">
        <f t="shared" ref="J276" si="123">D276*J$8</f>
        <v>2.2108543707480004E-3</v>
      </c>
      <c r="K276" s="29"/>
      <c r="L276" s="29"/>
      <c r="M276" s="29"/>
      <c r="N276" s="29"/>
      <c r="O276" s="29"/>
      <c r="P276" s="30">
        <f t="shared" si="122"/>
        <v>2.2108543707480004E-3</v>
      </c>
      <c r="Q276" s="31">
        <f t="shared" si="120"/>
        <v>7.8909000000000021E-2</v>
      </c>
    </row>
    <row r="277" spans="1:17" x14ac:dyDescent="0.2">
      <c r="A277" s="10"/>
      <c r="B277" s="26"/>
      <c r="C277" s="11">
        <v>2002</v>
      </c>
      <c r="D277" s="32">
        <f>SPFI_CLB14!$D$25</f>
        <v>0.29974699999999999</v>
      </c>
      <c r="E277" s="32"/>
      <c r="F277" s="32"/>
      <c r="G277" s="32"/>
      <c r="H277" s="32"/>
      <c r="I277" s="32"/>
      <c r="J277" s="28">
        <f t="shared" ref="J277" si="124">D277*J$8</f>
        <v>8.3982431036840003E-3</v>
      </c>
      <c r="K277" s="29"/>
      <c r="L277" s="29"/>
      <c r="M277" s="29"/>
      <c r="N277" s="29"/>
      <c r="O277" s="29"/>
      <c r="P277" s="30">
        <f t="shared" si="122"/>
        <v>8.3982431036840003E-3</v>
      </c>
      <c r="Q277" s="31">
        <f t="shared" si="120"/>
        <v>0.29974699999999999</v>
      </c>
    </row>
    <row r="278" spans="1:17" x14ac:dyDescent="0.2">
      <c r="A278" s="10"/>
      <c r="B278" s="26"/>
      <c r="C278" s="11">
        <v>2003</v>
      </c>
      <c r="D278" s="32">
        <f>SPFI_CLB14!$D$26</f>
        <v>0.20691100000000001</v>
      </c>
      <c r="E278" s="32"/>
      <c r="F278" s="32"/>
      <c r="G278" s="32"/>
      <c r="H278" s="32"/>
      <c r="I278" s="32"/>
      <c r="J278" s="28">
        <f t="shared" ref="J278" si="125">D278*J$8</f>
        <v>5.7971852222920006E-3</v>
      </c>
      <c r="K278" s="29"/>
      <c r="L278" s="29"/>
      <c r="M278" s="29"/>
      <c r="N278" s="29"/>
      <c r="O278" s="29"/>
      <c r="P278" s="30">
        <f t="shared" si="122"/>
        <v>5.7971852222920006E-3</v>
      </c>
      <c r="Q278" s="31">
        <f t="shared" si="120"/>
        <v>0.20691100000000001</v>
      </c>
    </row>
    <row r="279" spans="1:17" x14ac:dyDescent="0.2">
      <c r="A279" s="10"/>
      <c r="B279" s="26"/>
      <c r="C279" s="11">
        <v>2004</v>
      </c>
      <c r="D279" s="32">
        <f>SPFI_CLB14!$D$27</f>
        <v>0.269237</v>
      </c>
      <c r="E279" s="32"/>
      <c r="F279" s="32"/>
      <c r="G279" s="32"/>
      <c r="H279" s="32"/>
      <c r="I279" s="32"/>
      <c r="J279" s="28">
        <f t="shared" ref="J279" si="126">D279*J$8</f>
        <v>7.5434208799640004E-3</v>
      </c>
      <c r="K279" s="29"/>
      <c r="L279" s="29"/>
      <c r="M279" s="29"/>
      <c r="N279" s="29"/>
      <c r="O279" s="29"/>
      <c r="P279" s="30">
        <f t="shared" si="122"/>
        <v>7.5434208799640004E-3</v>
      </c>
      <c r="Q279" s="31">
        <f t="shared" si="120"/>
        <v>0.269237</v>
      </c>
    </row>
    <row r="280" spans="1:17" x14ac:dyDescent="0.2">
      <c r="A280" s="10"/>
      <c r="B280" s="26"/>
      <c r="C280" s="11">
        <v>2005</v>
      </c>
      <c r="D280" s="32">
        <f>SPFI_CLB14!$D$28</f>
        <v>0.37848700000000002</v>
      </c>
      <c r="E280" s="32"/>
      <c r="F280" s="32"/>
      <c r="G280" s="32"/>
      <c r="H280" s="32"/>
      <c r="I280" s="32"/>
      <c r="J280" s="28">
        <f t="shared" ref="J280" si="127">D280*J$8</f>
        <v>1.0604362470964001E-2</v>
      </c>
      <c r="K280" s="29"/>
      <c r="L280" s="29"/>
      <c r="M280" s="29"/>
      <c r="N280" s="29"/>
      <c r="O280" s="29"/>
      <c r="P280" s="30">
        <f t="shared" si="122"/>
        <v>1.0604362470964001E-2</v>
      </c>
      <c r="Q280" s="31">
        <f t="shared" ref="Q280:Q285" si="128">IF(C$8&gt;0,P280/C$8,0)</f>
        <v>0.37848700000000007</v>
      </c>
    </row>
    <row r="281" spans="1:17" x14ac:dyDescent="0.2">
      <c r="A281" s="10"/>
      <c r="B281" s="26"/>
      <c r="C281" s="11">
        <v>2006</v>
      </c>
      <c r="D281" s="32">
        <f>SPFI_CLB14!$D$29</f>
        <v>0.381023</v>
      </c>
      <c r="E281" s="32"/>
      <c r="F281" s="32"/>
      <c r="G281" s="32"/>
      <c r="H281" s="32"/>
      <c r="I281" s="32"/>
      <c r="J281" s="28">
        <f t="shared" ref="J281" si="129">D281*J$8</f>
        <v>1.0675415540756E-2</v>
      </c>
      <c r="K281" s="29"/>
      <c r="L281" s="29"/>
      <c r="M281" s="29"/>
      <c r="N281" s="29"/>
      <c r="O281" s="29"/>
      <c r="P281" s="30">
        <f t="shared" ref="P281:P288" si="130">SUM(J281:O281)</f>
        <v>1.0675415540756E-2</v>
      </c>
      <c r="Q281" s="31">
        <f t="shared" si="128"/>
        <v>0.381023</v>
      </c>
    </row>
    <row r="282" spans="1:17" x14ac:dyDescent="0.2">
      <c r="A282" s="10"/>
      <c r="B282" s="26"/>
      <c r="C282" s="11">
        <v>2007</v>
      </c>
      <c r="D282" s="32">
        <f>SPFI_CLB14!$D$30</f>
        <v>0.356512</v>
      </c>
      <c r="E282" s="32"/>
      <c r="F282" s="32"/>
      <c r="G282" s="32"/>
      <c r="H282" s="32"/>
      <c r="I282" s="32"/>
      <c r="J282" s="28">
        <f t="shared" ref="J282" si="131">D282*J$8</f>
        <v>9.9886719312639993E-3</v>
      </c>
      <c r="K282" s="29"/>
      <c r="L282" s="29"/>
      <c r="M282" s="29"/>
      <c r="N282" s="29"/>
      <c r="O282" s="29"/>
      <c r="P282" s="30">
        <f t="shared" si="130"/>
        <v>9.9886719312639993E-3</v>
      </c>
      <c r="Q282" s="31">
        <f t="shared" si="128"/>
        <v>0.356512</v>
      </c>
    </row>
    <row r="283" spans="1:17" x14ac:dyDescent="0.2">
      <c r="A283" s="10"/>
      <c r="B283" s="26"/>
      <c r="C283" s="11">
        <v>2008</v>
      </c>
      <c r="D283" s="32">
        <f>SPFI_CLB14!$D$31</f>
        <v>0.25494499999999998</v>
      </c>
      <c r="E283" s="32"/>
      <c r="F283" s="32"/>
      <c r="G283" s="32"/>
      <c r="H283" s="32"/>
      <c r="I283" s="32"/>
      <c r="J283" s="28">
        <f t="shared" ref="J283" si="132">D283*J$8</f>
        <v>7.1429908825399995E-3</v>
      </c>
      <c r="K283" s="29"/>
      <c r="L283" s="29"/>
      <c r="M283" s="29"/>
      <c r="N283" s="29"/>
      <c r="O283" s="29"/>
      <c r="P283" s="30">
        <f t="shared" si="130"/>
        <v>7.1429908825399995E-3</v>
      </c>
      <c r="Q283" s="31">
        <f t="shared" si="128"/>
        <v>0.25494499999999998</v>
      </c>
    </row>
    <row r="284" spans="1:17" x14ac:dyDescent="0.2">
      <c r="A284" s="10"/>
      <c r="B284" s="26"/>
      <c r="C284" s="11">
        <v>2009</v>
      </c>
      <c r="D284" s="32">
        <f>SPFI_CLB14!$D$32</f>
        <v>0.52383000000000002</v>
      </c>
      <c r="E284" s="32"/>
      <c r="F284" s="32"/>
      <c r="G284" s="32"/>
      <c r="H284" s="32"/>
      <c r="I284" s="32"/>
      <c r="J284" s="28">
        <f t="shared" ref="J284" si="133">D284*J$8</f>
        <v>1.4676549506760001E-2</v>
      </c>
      <c r="K284" s="29"/>
      <c r="L284" s="29"/>
      <c r="M284" s="29"/>
      <c r="N284" s="29"/>
      <c r="O284" s="29"/>
      <c r="P284" s="30">
        <f t="shared" si="130"/>
        <v>1.4676549506760001E-2</v>
      </c>
      <c r="Q284" s="31">
        <f t="shared" si="128"/>
        <v>0.52383000000000002</v>
      </c>
    </row>
    <row r="285" spans="1:17" x14ac:dyDescent="0.2">
      <c r="A285" s="10"/>
      <c r="B285" s="26"/>
      <c r="C285" s="11">
        <v>2010</v>
      </c>
      <c r="D285" s="32">
        <f>SPFI_CLB14!$D$33</f>
        <v>0.31394</v>
      </c>
      <c r="E285" s="32"/>
      <c r="F285" s="32"/>
      <c r="G285" s="32"/>
      <c r="H285" s="32"/>
      <c r="I285" s="32"/>
      <c r="J285" s="28">
        <f t="shared" ref="J285" si="134">D285*J$8</f>
        <v>8.7958993416799997E-3</v>
      </c>
      <c r="K285" s="29"/>
      <c r="L285" s="29"/>
      <c r="M285" s="29"/>
      <c r="N285" s="29"/>
      <c r="O285" s="29"/>
      <c r="P285" s="30">
        <f t="shared" si="130"/>
        <v>8.7958993416799997E-3</v>
      </c>
      <c r="Q285" s="31">
        <f t="shared" si="128"/>
        <v>0.31394</v>
      </c>
    </row>
    <row r="286" spans="1:17" x14ac:dyDescent="0.2">
      <c r="A286" s="10"/>
      <c r="B286" s="26"/>
      <c r="C286" s="11">
        <v>2011</v>
      </c>
      <c r="D286" s="32">
        <f>SPFI_CLB14!$D$34</f>
        <v>0.294348</v>
      </c>
      <c r="E286" s="32"/>
      <c r="F286" s="32"/>
      <c r="G286" s="32"/>
      <c r="H286" s="32"/>
      <c r="I286" s="32"/>
      <c r="J286" s="28">
        <f t="shared" ref="J286" si="135">D286*J$8</f>
        <v>8.2469751526559991E-3</v>
      </c>
      <c r="K286" s="29"/>
      <c r="L286" s="29"/>
      <c r="M286" s="29"/>
      <c r="N286" s="29"/>
      <c r="O286" s="29"/>
      <c r="P286" s="30">
        <f t="shared" ref="P286" si="136">SUM(J286:O286)</f>
        <v>8.2469751526559991E-3</v>
      </c>
      <c r="Q286" s="31">
        <f t="shared" ref="Q286" si="137">IF(C$8&gt;0,P286/C$8,0)</f>
        <v>0.29434799999999994</v>
      </c>
    </row>
    <row r="287" spans="1:17" x14ac:dyDescent="0.2">
      <c r="A287" s="10"/>
      <c r="B287" s="26"/>
      <c r="C287" s="11">
        <v>2012</v>
      </c>
      <c r="D287" s="32">
        <f>SPFI_CLB14!$D$35</f>
        <v>0.34784100000000001</v>
      </c>
      <c r="E287" s="32"/>
      <c r="F287" s="32"/>
      <c r="G287" s="32"/>
      <c r="H287" s="32"/>
      <c r="I287" s="32"/>
      <c r="J287" s="28">
        <f t="shared" ref="J287" si="138">D287*J$8</f>
        <v>9.7457298302520007E-3</v>
      </c>
      <c r="K287" s="29"/>
      <c r="L287" s="29"/>
      <c r="M287" s="29"/>
      <c r="N287" s="29"/>
      <c r="O287" s="29"/>
      <c r="P287" s="30">
        <f t="shared" ref="P287" si="139">SUM(J287:O287)</f>
        <v>9.7457298302520007E-3</v>
      </c>
      <c r="Q287" s="31">
        <f t="shared" ref="Q287" si="140">IF(C$8&gt;0,P287/C$8,0)</f>
        <v>0.34784100000000001</v>
      </c>
    </row>
    <row r="288" spans="1:17" x14ac:dyDescent="0.2">
      <c r="A288" s="5" t="s">
        <v>7</v>
      </c>
      <c r="B288" s="21">
        <v>3</v>
      </c>
      <c r="C288" s="6">
        <v>1982</v>
      </c>
      <c r="D288" s="27">
        <f>SPFI_CLB14!$D$5</f>
        <v>0.98153299999999999</v>
      </c>
      <c r="E288" s="27"/>
      <c r="F288" s="27"/>
      <c r="G288" s="27"/>
      <c r="H288" s="27"/>
      <c r="I288" s="27"/>
      <c r="J288" s="33">
        <f t="shared" ref="J288:J300" si="141">D288*J$9</f>
        <v>3.8681099526978999E-2</v>
      </c>
      <c r="K288" s="27"/>
      <c r="L288" s="27"/>
      <c r="M288" s="27"/>
      <c r="N288" s="27"/>
      <c r="O288" s="27"/>
      <c r="P288" s="34">
        <f t="shared" si="130"/>
        <v>3.8681099526978999E-2</v>
      </c>
      <c r="Q288" s="35">
        <f t="shared" ref="Q288:Q304" si="142">IF(C$9&gt;0,P288/C$9,0)</f>
        <v>0.98153299999999988</v>
      </c>
    </row>
    <row r="289" spans="1:17" x14ac:dyDescent="0.2">
      <c r="A289" s="10"/>
      <c r="B289" s="26"/>
      <c r="C289" s="11">
        <v>1983</v>
      </c>
      <c r="D289" s="32">
        <f>SPFI_CLB14!$D$6</f>
        <v>0.93659899999999996</v>
      </c>
      <c r="E289" s="32"/>
      <c r="F289" s="32"/>
      <c r="G289" s="32"/>
      <c r="H289" s="32"/>
      <c r="I289" s="32"/>
      <c r="J289" s="28">
        <f t="shared" si="141"/>
        <v>3.6910301676936999E-2</v>
      </c>
      <c r="K289" s="29"/>
      <c r="L289" s="29"/>
      <c r="M289" s="29"/>
      <c r="N289" s="29"/>
      <c r="O289" s="29"/>
      <c r="P289" s="30">
        <f t="shared" ref="P289:P300" si="143">SUM(J289:O289)</f>
        <v>3.6910301676936999E-2</v>
      </c>
      <c r="Q289" s="31">
        <f t="shared" si="142"/>
        <v>0.93659899999999996</v>
      </c>
    </row>
    <row r="290" spans="1:17" x14ac:dyDescent="0.2">
      <c r="A290" s="10"/>
      <c r="B290" s="26"/>
      <c r="C290" s="11">
        <v>1984</v>
      </c>
      <c r="D290" s="32">
        <f>SPFI_CLB14!$D$7</f>
        <v>0.92793599999999998</v>
      </c>
      <c r="E290" s="32"/>
      <c r="F290" s="32"/>
      <c r="G290" s="32"/>
      <c r="H290" s="32"/>
      <c r="I290" s="32"/>
      <c r="J290" s="28">
        <f t="shared" si="141"/>
        <v>3.6568902696768005E-2</v>
      </c>
      <c r="K290" s="29"/>
      <c r="L290" s="29"/>
      <c r="M290" s="29"/>
      <c r="N290" s="29"/>
      <c r="O290" s="29"/>
      <c r="P290" s="30">
        <f t="shared" si="143"/>
        <v>3.6568902696768005E-2</v>
      </c>
      <c r="Q290" s="31">
        <f t="shared" si="142"/>
        <v>0.92793600000000009</v>
      </c>
    </row>
    <row r="291" spans="1:17" x14ac:dyDescent="0.2">
      <c r="A291" s="10"/>
      <c r="B291" s="26"/>
      <c r="C291" s="11">
        <v>1985</v>
      </c>
      <c r="D291" s="32">
        <f>SPFI_CLB14!$D$8</f>
        <v>0.90386500000000003</v>
      </c>
      <c r="E291" s="32"/>
      <c r="F291" s="32"/>
      <c r="G291" s="32"/>
      <c r="H291" s="32"/>
      <c r="I291" s="32"/>
      <c r="J291" s="28">
        <f t="shared" si="141"/>
        <v>3.5620291955495001E-2</v>
      </c>
      <c r="K291" s="29"/>
      <c r="L291" s="29"/>
      <c r="M291" s="29"/>
      <c r="N291" s="29"/>
      <c r="O291" s="29"/>
      <c r="P291" s="30">
        <f t="shared" si="143"/>
        <v>3.5620291955495001E-2</v>
      </c>
      <c r="Q291" s="31">
        <f t="shared" si="142"/>
        <v>0.90386499999999992</v>
      </c>
    </row>
    <row r="292" spans="1:17" x14ac:dyDescent="0.2">
      <c r="A292" s="10"/>
      <c r="B292" s="26"/>
      <c r="C292" s="11">
        <v>1986</v>
      </c>
      <c r="D292" s="32">
        <f>SPFI_CLB14!$D$9</f>
        <v>0.73087500000000005</v>
      </c>
      <c r="E292" s="32"/>
      <c r="F292" s="32"/>
      <c r="G292" s="32"/>
      <c r="H292" s="32"/>
      <c r="I292" s="32"/>
      <c r="J292" s="28">
        <f t="shared" si="141"/>
        <v>2.8802952745125003E-2</v>
      </c>
      <c r="K292" s="29"/>
      <c r="L292" s="29"/>
      <c r="M292" s="29"/>
      <c r="N292" s="29"/>
      <c r="O292" s="29"/>
      <c r="P292" s="30">
        <f t="shared" si="143"/>
        <v>2.8802952745125003E-2</v>
      </c>
      <c r="Q292" s="31">
        <f t="shared" si="142"/>
        <v>0.73087500000000005</v>
      </c>
    </row>
    <row r="293" spans="1:17" x14ac:dyDescent="0.2">
      <c r="A293" s="10"/>
      <c r="B293" s="26"/>
      <c r="C293" s="11">
        <v>1987</v>
      </c>
      <c r="D293" s="32">
        <f>SPFI_CLB14!$D$10</f>
        <v>0.71733499999999994</v>
      </c>
      <c r="E293" s="32"/>
      <c r="F293" s="32"/>
      <c r="G293" s="32"/>
      <c r="H293" s="32"/>
      <c r="I293" s="32"/>
      <c r="J293" s="28">
        <f t="shared" si="141"/>
        <v>2.8269356740105001E-2</v>
      </c>
      <c r="K293" s="29"/>
      <c r="L293" s="29"/>
      <c r="M293" s="29"/>
      <c r="N293" s="29"/>
      <c r="O293" s="29"/>
      <c r="P293" s="30">
        <f t="shared" si="143"/>
        <v>2.8269356740105001E-2</v>
      </c>
      <c r="Q293" s="31">
        <f t="shared" si="142"/>
        <v>0.71733499999999994</v>
      </c>
    </row>
    <row r="294" spans="1:17" x14ac:dyDescent="0.2">
      <c r="A294" s="10"/>
      <c r="B294" s="26"/>
      <c r="C294" s="11">
        <v>1988</v>
      </c>
      <c r="D294" s="32">
        <f>SPFI_CLB14!$D$11</f>
        <v>0.64558800000000005</v>
      </c>
      <c r="E294" s="32"/>
      <c r="F294" s="32"/>
      <c r="G294" s="32"/>
      <c r="H294" s="32"/>
      <c r="I294" s="32"/>
      <c r="J294" s="28">
        <f t="shared" si="141"/>
        <v>2.5441889046444004E-2</v>
      </c>
      <c r="K294" s="29"/>
      <c r="L294" s="29"/>
      <c r="M294" s="29"/>
      <c r="N294" s="29"/>
      <c r="O294" s="29"/>
      <c r="P294" s="30">
        <f t="shared" si="143"/>
        <v>2.5441889046444004E-2</v>
      </c>
      <c r="Q294" s="31">
        <f t="shared" si="142"/>
        <v>0.64558800000000005</v>
      </c>
    </row>
    <row r="295" spans="1:17" x14ac:dyDescent="0.2">
      <c r="A295" s="10"/>
      <c r="B295" s="26"/>
      <c r="C295" s="11">
        <v>1989</v>
      </c>
      <c r="D295" s="32">
        <f>SPFI_CLB14!$D$12</f>
        <v>0.65287700000000004</v>
      </c>
      <c r="E295" s="32"/>
      <c r="F295" s="32"/>
      <c r="G295" s="32"/>
      <c r="H295" s="32"/>
      <c r="I295" s="32"/>
      <c r="J295" s="28">
        <f t="shared" si="141"/>
        <v>2.5729140248851003E-2</v>
      </c>
      <c r="K295" s="29"/>
      <c r="L295" s="29"/>
      <c r="M295" s="29"/>
      <c r="N295" s="29"/>
      <c r="O295" s="29"/>
      <c r="P295" s="30">
        <f t="shared" si="143"/>
        <v>2.5729140248851003E-2</v>
      </c>
      <c r="Q295" s="31">
        <f t="shared" si="142"/>
        <v>0.65287700000000004</v>
      </c>
    </row>
    <row r="296" spans="1:17" x14ac:dyDescent="0.2">
      <c r="A296" s="10"/>
      <c r="B296" s="26"/>
      <c r="C296" s="11">
        <v>1990</v>
      </c>
      <c r="D296" s="32">
        <f>SPFI_CLB14!$D$13</f>
        <v>0.56965100000000002</v>
      </c>
      <c r="E296" s="32"/>
      <c r="F296" s="32"/>
      <c r="G296" s="32"/>
      <c r="H296" s="32"/>
      <c r="I296" s="32"/>
      <c r="J296" s="28">
        <f t="shared" si="141"/>
        <v>2.2449298216813001E-2</v>
      </c>
      <c r="K296" s="29"/>
      <c r="L296" s="29"/>
      <c r="M296" s="29"/>
      <c r="N296" s="29"/>
      <c r="O296" s="29"/>
      <c r="P296" s="30">
        <f t="shared" si="143"/>
        <v>2.2449298216813001E-2</v>
      </c>
      <c r="Q296" s="31">
        <f t="shared" si="142"/>
        <v>0.56965100000000002</v>
      </c>
    </row>
    <row r="297" spans="1:17" x14ac:dyDescent="0.2">
      <c r="A297" s="10"/>
      <c r="B297" s="26"/>
      <c r="C297" s="11">
        <v>1991</v>
      </c>
      <c r="D297" s="32">
        <f>SPFI_CLB14!$D$14</f>
        <v>0.62776900000000002</v>
      </c>
      <c r="E297" s="32"/>
      <c r="F297" s="32"/>
      <c r="G297" s="32"/>
      <c r="H297" s="32"/>
      <c r="I297" s="32"/>
      <c r="J297" s="28">
        <f t="shared" si="141"/>
        <v>2.4739662516647002E-2</v>
      </c>
      <c r="K297" s="29"/>
      <c r="L297" s="29"/>
      <c r="M297" s="29"/>
      <c r="N297" s="29"/>
      <c r="O297" s="29"/>
      <c r="P297" s="30">
        <f t="shared" si="143"/>
        <v>2.4739662516647002E-2</v>
      </c>
      <c r="Q297" s="31">
        <f t="shared" si="142"/>
        <v>0.62776900000000002</v>
      </c>
    </row>
    <row r="298" spans="1:17" x14ac:dyDescent="0.2">
      <c r="A298" s="10"/>
      <c r="B298" s="26"/>
      <c r="C298" s="11">
        <v>1992</v>
      </c>
      <c r="D298" s="32">
        <f>SPFI_CLB14!$D$15</f>
        <v>0.43504100000000001</v>
      </c>
      <c r="E298" s="32"/>
      <c r="F298" s="32"/>
      <c r="G298" s="32"/>
      <c r="H298" s="32"/>
      <c r="I298" s="32"/>
      <c r="J298" s="28">
        <f t="shared" si="141"/>
        <v>1.7144471168383E-2</v>
      </c>
      <c r="K298" s="29"/>
      <c r="L298" s="29"/>
      <c r="M298" s="29"/>
      <c r="N298" s="29"/>
      <c r="O298" s="29"/>
      <c r="P298" s="30">
        <f t="shared" si="143"/>
        <v>1.7144471168383E-2</v>
      </c>
      <c r="Q298" s="31">
        <f t="shared" si="142"/>
        <v>0.43504099999999996</v>
      </c>
    </row>
    <row r="299" spans="1:17" x14ac:dyDescent="0.2">
      <c r="A299" s="10"/>
      <c r="B299" s="26"/>
      <c r="C299" s="11">
        <v>1993</v>
      </c>
      <c r="D299" s="32">
        <f>SPFI_CLB14!$D$16</f>
        <v>0.499164</v>
      </c>
      <c r="E299" s="32"/>
      <c r="F299" s="32"/>
      <c r="G299" s="32"/>
      <c r="H299" s="32"/>
      <c r="I299" s="32"/>
      <c r="J299" s="28">
        <f t="shared" si="141"/>
        <v>1.9671485690532002E-2</v>
      </c>
      <c r="K299" s="29"/>
      <c r="L299" s="29"/>
      <c r="M299" s="29"/>
      <c r="N299" s="29"/>
      <c r="O299" s="29"/>
      <c r="P299" s="30">
        <f t="shared" si="143"/>
        <v>1.9671485690532002E-2</v>
      </c>
      <c r="Q299" s="31">
        <f t="shared" si="142"/>
        <v>0.499164</v>
      </c>
    </row>
    <row r="300" spans="1:17" x14ac:dyDescent="0.2">
      <c r="A300" s="10"/>
      <c r="B300" s="26"/>
      <c r="C300" s="11">
        <v>1994</v>
      </c>
      <c r="D300" s="32">
        <f>SPFI_CLB14!$D$17</f>
        <v>0.59591300000000003</v>
      </c>
      <c r="E300" s="32"/>
      <c r="F300" s="32"/>
      <c r="G300" s="32"/>
      <c r="H300" s="32"/>
      <c r="I300" s="32"/>
      <c r="J300" s="28">
        <f t="shared" si="141"/>
        <v>2.3484253776919001E-2</v>
      </c>
      <c r="K300" s="29"/>
      <c r="L300" s="29"/>
      <c r="M300" s="29"/>
      <c r="N300" s="29"/>
      <c r="O300" s="29"/>
      <c r="P300" s="30">
        <f t="shared" si="143"/>
        <v>2.3484253776919001E-2</v>
      </c>
      <c r="Q300" s="31">
        <f t="shared" si="142"/>
        <v>0.59591300000000003</v>
      </c>
    </row>
    <row r="301" spans="1:17" x14ac:dyDescent="0.2">
      <c r="A301" s="10"/>
      <c r="B301" s="26"/>
      <c r="C301" s="11">
        <v>1995</v>
      </c>
      <c r="D301" s="32">
        <f>SPFI_CLB14!$D$18</f>
        <v>0.25400800000000001</v>
      </c>
      <c r="E301" s="32"/>
      <c r="F301" s="32"/>
      <c r="G301" s="32"/>
      <c r="H301" s="32"/>
      <c r="I301" s="32"/>
      <c r="J301" s="28">
        <f t="shared" ref="J301" si="144">D301*J$9</f>
        <v>1.0010166472904002E-2</v>
      </c>
      <c r="K301" s="29"/>
      <c r="L301" s="29"/>
      <c r="M301" s="29"/>
      <c r="N301" s="29"/>
      <c r="O301" s="29"/>
      <c r="P301" s="30">
        <f>SUM(J301:O301)</f>
        <v>1.0010166472904002E-2</v>
      </c>
      <c r="Q301" s="31">
        <f t="shared" si="142"/>
        <v>0.25400800000000001</v>
      </c>
    </row>
    <row r="302" spans="1:17" x14ac:dyDescent="0.2">
      <c r="A302" s="10"/>
      <c r="B302" s="26"/>
      <c r="C302" s="11">
        <v>1996</v>
      </c>
      <c r="D302" s="32">
        <f>SPFI_CLB14!$D$19</f>
        <v>0</v>
      </c>
      <c r="E302" s="32"/>
      <c r="F302" s="32"/>
      <c r="G302" s="32"/>
      <c r="H302" s="32"/>
      <c r="I302" s="32"/>
      <c r="J302" s="28">
        <f t="shared" ref="J302" si="145">D302*J$9</f>
        <v>0</v>
      </c>
      <c r="K302" s="29"/>
      <c r="L302" s="29"/>
      <c r="M302" s="29"/>
      <c r="N302" s="29"/>
      <c r="O302" s="29"/>
      <c r="P302" s="30">
        <f>SUM(J302:O302)</f>
        <v>0</v>
      </c>
      <c r="Q302" s="31">
        <f t="shared" si="142"/>
        <v>0</v>
      </c>
    </row>
    <row r="303" spans="1:17" x14ac:dyDescent="0.2">
      <c r="A303" s="10"/>
      <c r="B303" s="26"/>
      <c r="C303" s="11">
        <v>1997</v>
      </c>
      <c r="D303" s="32">
        <f>SPFI_CLB14!$D$20</f>
        <v>0.201487</v>
      </c>
      <c r="E303" s="32"/>
      <c r="F303" s="32"/>
      <c r="G303" s="32"/>
      <c r="H303" s="32"/>
      <c r="I303" s="32"/>
      <c r="J303" s="28">
        <f t="shared" ref="J303" si="146">D303*J$9</f>
        <v>7.9403735792810005E-3</v>
      </c>
      <c r="K303" s="29"/>
      <c r="L303" s="29"/>
      <c r="M303" s="29"/>
      <c r="N303" s="29"/>
      <c r="O303" s="29"/>
      <c r="P303" s="30">
        <f>SUM(J303:O303)</f>
        <v>7.9403735792810005E-3</v>
      </c>
      <c r="Q303" s="31">
        <f t="shared" si="142"/>
        <v>0.201487</v>
      </c>
    </row>
    <row r="304" spans="1:17" x14ac:dyDescent="0.2">
      <c r="A304" s="10"/>
      <c r="B304" s="26"/>
      <c r="C304" s="11">
        <v>1998</v>
      </c>
      <c r="D304" s="32">
        <f>SPFI_CLB14!$D$21</f>
        <v>0.37506400000000001</v>
      </c>
      <c r="E304" s="32"/>
      <c r="F304" s="32"/>
      <c r="G304" s="32"/>
      <c r="H304" s="32"/>
      <c r="I304" s="32"/>
      <c r="J304" s="28">
        <f t="shared" ref="J304" si="147">D304*J$9</f>
        <v>1.4780845792232001E-2</v>
      </c>
      <c r="K304" s="29"/>
      <c r="L304" s="29"/>
      <c r="M304" s="29"/>
      <c r="N304" s="29"/>
      <c r="O304" s="29"/>
      <c r="P304" s="30">
        <f>SUM(J304:O304)</f>
        <v>1.4780845792232001E-2</v>
      </c>
      <c r="Q304" s="31">
        <f t="shared" si="142"/>
        <v>0.37506400000000001</v>
      </c>
    </row>
    <row r="305" spans="1:17" x14ac:dyDescent="0.2">
      <c r="A305" s="10"/>
      <c r="B305" s="26"/>
      <c r="C305" s="11">
        <v>1999</v>
      </c>
      <c r="D305" s="32">
        <f>SPFI_CLB14!$D$22</f>
        <v>0.29823699999999997</v>
      </c>
      <c r="E305" s="32"/>
      <c r="F305" s="32"/>
      <c r="G305" s="32"/>
      <c r="H305" s="32"/>
      <c r="I305" s="32"/>
      <c r="J305" s="28">
        <f t="shared" ref="J305" si="148">D305*J$9</f>
        <v>1.1753181074530999E-2</v>
      </c>
      <c r="K305" s="29"/>
      <c r="L305" s="29"/>
      <c r="M305" s="29"/>
      <c r="N305" s="29"/>
      <c r="O305" s="29"/>
      <c r="P305" s="30">
        <f>SUM(J305:O305)</f>
        <v>1.1753181074530999E-2</v>
      </c>
      <c r="Q305" s="31">
        <f t="shared" ref="Q305:Q310" si="149">IF(C$9&gt;0,P305/C$9,0)</f>
        <v>0.29823699999999997</v>
      </c>
    </row>
    <row r="306" spans="1:17" x14ac:dyDescent="0.2">
      <c r="A306" s="10"/>
      <c r="B306" s="26"/>
      <c r="C306" s="11">
        <v>2000</v>
      </c>
      <c r="D306" s="32">
        <f>SPFI_CLB14!$D$23</f>
        <v>8.4414000000000003E-2</v>
      </c>
      <c r="E306" s="32"/>
      <c r="F306" s="32"/>
      <c r="G306" s="32"/>
      <c r="H306" s="32"/>
      <c r="I306" s="32"/>
      <c r="J306" s="28">
        <f t="shared" ref="J306" si="150">D306*J$9</f>
        <v>3.3266597612820002E-3</v>
      </c>
      <c r="K306" s="29"/>
      <c r="L306" s="29"/>
      <c r="M306" s="29"/>
      <c r="N306" s="29"/>
      <c r="O306" s="29"/>
      <c r="P306" s="30">
        <f t="shared" ref="P306:P311" si="151">SUM(J306:O306)</f>
        <v>3.3266597612820002E-3</v>
      </c>
      <c r="Q306" s="31">
        <f t="shared" si="149"/>
        <v>8.4414000000000003E-2</v>
      </c>
    </row>
    <row r="307" spans="1:17" x14ac:dyDescent="0.2">
      <c r="A307" s="10"/>
      <c r="B307" s="26"/>
      <c r="C307" s="11">
        <v>2001</v>
      </c>
      <c r="D307" s="32">
        <f>SPFI_CLB14!$D$24</f>
        <v>7.8909000000000007E-2</v>
      </c>
      <c r="E307" s="32"/>
      <c r="F307" s="32"/>
      <c r="G307" s="32"/>
      <c r="H307" s="32"/>
      <c r="I307" s="32"/>
      <c r="J307" s="28">
        <f t="shared" ref="J307" si="152">D307*J$9</f>
        <v>3.1097139704670007E-3</v>
      </c>
      <c r="K307" s="29"/>
      <c r="L307" s="29"/>
      <c r="M307" s="29"/>
      <c r="N307" s="29"/>
      <c r="O307" s="29"/>
      <c r="P307" s="30">
        <f t="shared" si="151"/>
        <v>3.1097139704670007E-3</v>
      </c>
      <c r="Q307" s="31">
        <f t="shared" si="149"/>
        <v>7.8909000000000007E-2</v>
      </c>
    </row>
    <row r="308" spans="1:17" x14ac:dyDescent="0.2">
      <c r="A308" s="10"/>
      <c r="B308" s="26"/>
      <c r="C308" s="11">
        <v>2002</v>
      </c>
      <c r="D308" s="32">
        <f>SPFI_CLB14!$D$25</f>
        <v>0.29974699999999999</v>
      </c>
      <c r="E308" s="32"/>
      <c r="F308" s="32"/>
      <c r="G308" s="32"/>
      <c r="H308" s="32"/>
      <c r="I308" s="32"/>
      <c r="J308" s="28">
        <f t="shared" ref="J308" si="153">D308*J$9</f>
        <v>1.1812688457660999E-2</v>
      </c>
      <c r="K308" s="29"/>
      <c r="L308" s="29"/>
      <c r="M308" s="29"/>
      <c r="N308" s="29"/>
      <c r="O308" s="29"/>
      <c r="P308" s="30">
        <f t="shared" si="151"/>
        <v>1.1812688457660999E-2</v>
      </c>
      <c r="Q308" s="31">
        <f t="shared" si="149"/>
        <v>0.29974699999999999</v>
      </c>
    </row>
    <row r="309" spans="1:17" x14ac:dyDescent="0.2">
      <c r="A309" s="10"/>
      <c r="B309" s="26"/>
      <c r="C309" s="11">
        <v>2003</v>
      </c>
      <c r="D309" s="32">
        <f>SPFI_CLB14!$D$26</f>
        <v>0.20691100000000001</v>
      </c>
      <c r="E309" s="32"/>
      <c r="F309" s="32"/>
      <c r="G309" s="32"/>
      <c r="H309" s="32"/>
      <c r="I309" s="32"/>
      <c r="J309" s="28">
        <f t="shared" ref="J309" si="154">D309*J$9</f>
        <v>8.1541272521930015E-3</v>
      </c>
      <c r="K309" s="29"/>
      <c r="L309" s="29"/>
      <c r="M309" s="29"/>
      <c r="N309" s="29"/>
      <c r="O309" s="29"/>
      <c r="P309" s="30">
        <f t="shared" si="151"/>
        <v>8.1541272521930015E-3</v>
      </c>
      <c r="Q309" s="31">
        <f t="shared" si="149"/>
        <v>0.20691100000000001</v>
      </c>
    </row>
    <row r="310" spans="1:17" x14ac:dyDescent="0.2">
      <c r="A310" s="10"/>
      <c r="B310" s="26"/>
      <c r="C310" s="11">
        <v>2004</v>
      </c>
      <c r="D310" s="32">
        <f>SPFI_CLB14!$D$27</f>
        <v>0.269237</v>
      </c>
      <c r="E310" s="32"/>
      <c r="F310" s="32"/>
      <c r="G310" s="32"/>
      <c r="H310" s="32"/>
      <c r="I310" s="32"/>
      <c r="J310" s="28">
        <f t="shared" ref="J310" si="155">D310*J$9</f>
        <v>1.0610324047531001E-2</v>
      </c>
      <c r="K310" s="29"/>
      <c r="L310" s="29"/>
      <c r="M310" s="29"/>
      <c r="N310" s="29"/>
      <c r="O310" s="29"/>
      <c r="P310" s="30">
        <f t="shared" si="151"/>
        <v>1.0610324047531001E-2</v>
      </c>
      <c r="Q310" s="31">
        <f t="shared" si="149"/>
        <v>0.269237</v>
      </c>
    </row>
    <row r="311" spans="1:17" x14ac:dyDescent="0.2">
      <c r="A311" s="10"/>
      <c r="B311" s="26"/>
      <c r="C311" s="11">
        <v>2005</v>
      </c>
      <c r="D311" s="32">
        <f>SPFI_CLB14!$D$28</f>
        <v>0.37848700000000002</v>
      </c>
      <c r="E311" s="32"/>
      <c r="F311" s="32"/>
      <c r="G311" s="32"/>
      <c r="H311" s="32"/>
      <c r="I311" s="32"/>
      <c r="J311" s="28">
        <f t="shared" ref="J311" si="156">D311*J$9</f>
        <v>1.4915742330281001E-2</v>
      </c>
      <c r="K311" s="29"/>
      <c r="L311" s="29"/>
      <c r="M311" s="29"/>
      <c r="N311" s="29"/>
      <c r="O311" s="29"/>
      <c r="P311" s="30">
        <f t="shared" si="151"/>
        <v>1.4915742330281001E-2</v>
      </c>
      <c r="Q311" s="31">
        <f t="shared" ref="Q311:Q316" si="157">IF(C$9&gt;0,P311/C$9,0)</f>
        <v>0.37848700000000002</v>
      </c>
    </row>
    <row r="312" spans="1:17" x14ac:dyDescent="0.2">
      <c r="A312" s="10"/>
      <c r="B312" s="26"/>
      <c r="C312" s="11">
        <v>2006</v>
      </c>
      <c r="D312" s="32">
        <f>SPFI_CLB14!$D$29</f>
        <v>0.381023</v>
      </c>
      <c r="E312" s="32"/>
      <c r="F312" s="32"/>
      <c r="G312" s="32"/>
      <c r="H312" s="32"/>
      <c r="I312" s="32"/>
      <c r="J312" s="28">
        <f t="shared" ref="J312" si="158">D312*J$9</f>
        <v>1.5015683206849002E-2</v>
      </c>
      <c r="K312" s="29"/>
      <c r="L312" s="29"/>
      <c r="M312" s="29"/>
      <c r="N312" s="29"/>
      <c r="O312" s="29"/>
      <c r="P312" s="30">
        <f t="shared" ref="P312:P319" si="159">SUM(J312:O312)</f>
        <v>1.5015683206849002E-2</v>
      </c>
      <c r="Q312" s="31">
        <f t="shared" si="157"/>
        <v>0.381023</v>
      </c>
    </row>
    <row r="313" spans="1:17" x14ac:dyDescent="0.2">
      <c r="A313" s="10"/>
      <c r="B313" s="26"/>
      <c r="C313" s="11">
        <v>2007</v>
      </c>
      <c r="D313" s="32">
        <f>SPFI_CLB14!$D$30</f>
        <v>0.356512</v>
      </c>
      <c r="E313" s="32"/>
      <c r="F313" s="32"/>
      <c r="G313" s="32"/>
      <c r="H313" s="32"/>
      <c r="I313" s="32"/>
      <c r="J313" s="28">
        <f t="shared" ref="J313" si="160">D313*J$9</f>
        <v>1.4049732565856001E-2</v>
      </c>
      <c r="K313" s="29"/>
      <c r="L313" s="29"/>
      <c r="M313" s="29"/>
      <c r="N313" s="29"/>
      <c r="O313" s="29"/>
      <c r="P313" s="30">
        <f t="shared" si="159"/>
        <v>1.4049732565856001E-2</v>
      </c>
      <c r="Q313" s="31">
        <f t="shared" si="157"/>
        <v>0.356512</v>
      </c>
    </row>
    <row r="314" spans="1:17" x14ac:dyDescent="0.2">
      <c r="A314" s="10"/>
      <c r="B314" s="26"/>
      <c r="C314" s="11">
        <v>2008</v>
      </c>
      <c r="D314" s="32">
        <f>SPFI_CLB14!$D$31</f>
        <v>0.25494499999999998</v>
      </c>
      <c r="E314" s="32"/>
      <c r="F314" s="32"/>
      <c r="G314" s="32"/>
      <c r="H314" s="32"/>
      <c r="I314" s="32"/>
      <c r="J314" s="28">
        <f t="shared" ref="J314" si="161">D314*J$9</f>
        <v>1.0047092577535E-2</v>
      </c>
      <c r="K314" s="29"/>
      <c r="L314" s="29"/>
      <c r="M314" s="29"/>
      <c r="N314" s="29"/>
      <c r="O314" s="29"/>
      <c r="P314" s="30">
        <f t="shared" si="159"/>
        <v>1.0047092577535E-2</v>
      </c>
      <c r="Q314" s="31">
        <f t="shared" si="157"/>
        <v>0.25494499999999998</v>
      </c>
    </row>
    <row r="315" spans="1:17" x14ac:dyDescent="0.2">
      <c r="A315" s="10"/>
      <c r="B315" s="26"/>
      <c r="C315" s="11">
        <v>2009</v>
      </c>
      <c r="D315" s="32">
        <f>SPFI_CLB14!$D$32</f>
        <v>0.52383000000000002</v>
      </c>
      <c r="E315" s="32"/>
      <c r="F315" s="32"/>
      <c r="G315" s="32"/>
      <c r="H315" s="32"/>
      <c r="I315" s="32"/>
      <c r="J315" s="28">
        <f t="shared" ref="J315" si="162">D315*J$9</f>
        <v>2.0643544705290003E-2</v>
      </c>
      <c r="K315" s="29"/>
      <c r="L315" s="29"/>
      <c r="M315" s="29"/>
      <c r="N315" s="29"/>
      <c r="O315" s="29"/>
      <c r="P315" s="30">
        <f t="shared" si="159"/>
        <v>2.0643544705290003E-2</v>
      </c>
      <c r="Q315" s="31">
        <f t="shared" si="157"/>
        <v>0.52383000000000002</v>
      </c>
    </row>
    <row r="316" spans="1:17" x14ac:dyDescent="0.2">
      <c r="A316" s="10"/>
      <c r="B316" s="26"/>
      <c r="C316" s="11">
        <v>2010</v>
      </c>
      <c r="D316" s="32">
        <f>SPFI_CLB14!$D$33</f>
        <v>0.31394</v>
      </c>
      <c r="E316" s="32"/>
      <c r="F316" s="32"/>
      <c r="G316" s="32"/>
      <c r="H316" s="32"/>
      <c r="I316" s="32"/>
      <c r="J316" s="28">
        <f t="shared" ref="J316" si="163">D316*J$9</f>
        <v>1.237201845022E-2</v>
      </c>
      <c r="K316" s="29"/>
      <c r="L316" s="29"/>
      <c r="M316" s="29"/>
      <c r="N316" s="29"/>
      <c r="O316" s="29"/>
      <c r="P316" s="30">
        <f t="shared" si="159"/>
        <v>1.237201845022E-2</v>
      </c>
      <c r="Q316" s="31">
        <f t="shared" si="157"/>
        <v>0.31394</v>
      </c>
    </row>
    <row r="317" spans="1:17" x14ac:dyDescent="0.2">
      <c r="A317" s="10"/>
      <c r="B317" s="26"/>
      <c r="C317" s="11">
        <v>2011</v>
      </c>
      <c r="D317" s="32">
        <f>SPFI_CLB14!$D$34</f>
        <v>0.294348</v>
      </c>
      <c r="E317" s="32"/>
      <c r="F317" s="32"/>
      <c r="G317" s="32"/>
      <c r="H317" s="32"/>
      <c r="I317" s="32"/>
      <c r="J317" s="28">
        <f t="shared" ref="J317" si="164">D317*J$9</f>
        <v>1.1599920006324E-2</v>
      </c>
      <c r="K317" s="29"/>
      <c r="L317" s="29"/>
      <c r="M317" s="29"/>
      <c r="N317" s="29"/>
      <c r="O317" s="29"/>
      <c r="P317" s="30">
        <f t="shared" ref="P317" si="165">SUM(J317:O317)</f>
        <v>1.1599920006324E-2</v>
      </c>
      <c r="Q317" s="31">
        <f t="shared" ref="Q317" si="166">IF(C$9&gt;0,P317/C$9,0)</f>
        <v>0.294348</v>
      </c>
    </row>
    <row r="318" spans="1:17" x14ac:dyDescent="0.2">
      <c r="A318" s="10"/>
      <c r="B318" s="26"/>
      <c r="C318" s="11">
        <v>2012</v>
      </c>
      <c r="D318" s="32">
        <f>SPFI_CLB14!$D$35</f>
        <v>0.34784100000000001</v>
      </c>
      <c r="E318" s="32"/>
      <c r="F318" s="32"/>
      <c r="G318" s="32"/>
      <c r="H318" s="32"/>
      <c r="I318" s="32"/>
      <c r="J318" s="28">
        <f t="shared" ref="J318" si="167">D318*J$9</f>
        <v>1.3708018314783001E-2</v>
      </c>
      <c r="K318" s="29"/>
      <c r="L318" s="29"/>
      <c r="M318" s="29"/>
      <c r="N318" s="29"/>
      <c r="O318" s="29"/>
      <c r="P318" s="30">
        <f t="shared" ref="P318" si="168">SUM(J318:O318)</f>
        <v>1.3708018314783001E-2</v>
      </c>
      <c r="Q318" s="31">
        <f t="shared" ref="Q318" si="169">IF(C$9&gt;0,P318/C$9,0)</f>
        <v>0.34784100000000001</v>
      </c>
    </row>
    <row r="319" spans="1:17" x14ac:dyDescent="0.2">
      <c r="A319" s="5" t="s">
        <v>7</v>
      </c>
      <c r="B319" s="21">
        <v>4</v>
      </c>
      <c r="C319" s="6">
        <v>1982</v>
      </c>
      <c r="D319" s="27">
        <f>SPFI_CLB14!$D$5</f>
        <v>0.98153299999999999</v>
      </c>
      <c r="E319" s="27"/>
      <c r="F319" s="27"/>
      <c r="G319" s="27"/>
      <c r="H319" s="27"/>
      <c r="I319" s="27"/>
      <c r="J319" s="33">
        <f t="shared" ref="J319:J331" si="170">D319*J$10</f>
        <v>4.1114295295653996E-2</v>
      </c>
      <c r="K319" s="27"/>
      <c r="L319" s="27"/>
      <c r="M319" s="27"/>
      <c r="N319" s="27"/>
      <c r="O319" s="27"/>
      <c r="P319" s="34">
        <f t="shared" si="159"/>
        <v>4.1114295295653996E-2</v>
      </c>
      <c r="Q319" s="35">
        <f t="shared" ref="Q319:Q335" si="171">IF(C$10&gt;0,P319/C$10,0)</f>
        <v>0.98153299999999999</v>
      </c>
    </row>
    <row r="320" spans="1:17" x14ac:dyDescent="0.2">
      <c r="A320" s="10"/>
      <c r="B320" s="26"/>
      <c r="C320" s="11">
        <v>1983</v>
      </c>
      <c r="D320" s="32">
        <f>SPFI_CLB14!$D$6</f>
        <v>0.93659899999999996</v>
      </c>
      <c r="E320" s="32"/>
      <c r="F320" s="32"/>
      <c r="G320" s="32"/>
      <c r="H320" s="32"/>
      <c r="I320" s="32"/>
      <c r="J320" s="28">
        <f t="shared" si="170"/>
        <v>3.9232107182961995E-2</v>
      </c>
      <c r="K320" s="29"/>
      <c r="L320" s="29"/>
      <c r="M320" s="29"/>
      <c r="N320" s="29"/>
      <c r="O320" s="29"/>
      <c r="P320" s="30">
        <f t="shared" ref="P320:P331" si="172">SUM(J320:O320)</f>
        <v>3.9232107182961995E-2</v>
      </c>
      <c r="Q320" s="31">
        <f t="shared" si="171"/>
        <v>0.93659899999999996</v>
      </c>
    </row>
    <row r="321" spans="1:17" x14ac:dyDescent="0.2">
      <c r="A321" s="10"/>
      <c r="B321" s="26"/>
      <c r="C321" s="11">
        <v>1984</v>
      </c>
      <c r="D321" s="32">
        <f>SPFI_CLB14!$D$7</f>
        <v>0.92793599999999998</v>
      </c>
      <c r="E321" s="32"/>
      <c r="F321" s="32"/>
      <c r="G321" s="32"/>
      <c r="H321" s="32"/>
      <c r="I321" s="32"/>
      <c r="J321" s="28">
        <f t="shared" si="170"/>
        <v>3.8869232842367998E-2</v>
      </c>
      <c r="K321" s="29"/>
      <c r="L321" s="29"/>
      <c r="M321" s="29"/>
      <c r="N321" s="29"/>
      <c r="O321" s="29"/>
      <c r="P321" s="30">
        <f t="shared" si="172"/>
        <v>3.8869232842367998E-2</v>
      </c>
      <c r="Q321" s="31">
        <f t="shared" si="171"/>
        <v>0.92793599999999998</v>
      </c>
    </row>
    <row r="322" spans="1:17" x14ac:dyDescent="0.2">
      <c r="A322" s="10"/>
      <c r="B322" s="26"/>
      <c r="C322" s="11">
        <v>1985</v>
      </c>
      <c r="D322" s="32">
        <f>SPFI_CLB14!$D$8</f>
        <v>0.90386500000000003</v>
      </c>
      <c r="E322" s="32"/>
      <c r="F322" s="32"/>
      <c r="G322" s="32"/>
      <c r="H322" s="32"/>
      <c r="I322" s="32"/>
      <c r="J322" s="28">
        <f t="shared" si="170"/>
        <v>3.7860950693870001E-2</v>
      </c>
      <c r="K322" s="29"/>
      <c r="L322" s="29"/>
      <c r="M322" s="29"/>
      <c r="N322" s="29"/>
      <c r="O322" s="29"/>
      <c r="P322" s="30">
        <f t="shared" si="172"/>
        <v>3.7860950693870001E-2</v>
      </c>
      <c r="Q322" s="31">
        <f t="shared" si="171"/>
        <v>0.90386500000000003</v>
      </c>
    </row>
    <row r="323" spans="1:17" x14ac:dyDescent="0.2">
      <c r="A323" s="10"/>
      <c r="B323" s="26"/>
      <c r="C323" s="11">
        <v>1986</v>
      </c>
      <c r="D323" s="32">
        <f>SPFI_CLB14!$D$9</f>
        <v>0.73087500000000005</v>
      </c>
      <c r="E323" s="32"/>
      <c r="F323" s="32"/>
      <c r="G323" s="32"/>
      <c r="H323" s="32"/>
      <c r="I323" s="32"/>
      <c r="J323" s="28">
        <f t="shared" si="170"/>
        <v>3.061477359825E-2</v>
      </c>
      <c r="K323" s="29"/>
      <c r="L323" s="29"/>
      <c r="M323" s="29"/>
      <c r="N323" s="29"/>
      <c r="O323" s="29"/>
      <c r="P323" s="30">
        <f t="shared" si="172"/>
        <v>3.061477359825E-2</v>
      </c>
      <c r="Q323" s="31">
        <f t="shared" si="171"/>
        <v>0.73087500000000005</v>
      </c>
    </row>
    <row r="324" spans="1:17" x14ac:dyDescent="0.2">
      <c r="A324" s="10"/>
      <c r="B324" s="26"/>
      <c r="C324" s="11">
        <v>1987</v>
      </c>
      <c r="D324" s="32">
        <f>SPFI_CLB14!$D$10</f>
        <v>0.71733499999999994</v>
      </c>
      <c r="E324" s="32"/>
      <c r="F324" s="32"/>
      <c r="G324" s="32"/>
      <c r="H324" s="32"/>
      <c r="I324" s="32"/>
      <c r="J324" s="28">
        <f t="shared" si="170"/>
        <v>3.0047612271729994E-2</v>
      </c>
      <c r="K324" s="29"/>
      <c r="L324" s="29"/>
      <c r="M324" s="29"/>
      <c r="N324" s="29"/>
      <c r="O324" s="29"/>
      <c r="P324" s="30">
        <f t="shared" si="172"/>
        <v>3.0047612271729994E-2</v>
      </c>
      <c r="Q324" s="31">
        <f t="shared" si="171"/>
        <v>0.71733499999999994</v>
      </c>
    </row>
    <row r="325" spans="1:17" x14ac:dyDescent="0.2">
      <c r="A325" s="10"/>
      <c r="B325" s="26"/>
      <c r="C325" s="11">
        <v>1988</v>
      </c>
      <c r="D325" s="32">
        <f>SPFI_CLB14!$D$11</f>
        <v>0.64558800000000005</v>
      </c>
      <c r="E325" s="32"/>
      <c r="F325" s="32"/>
      <c r="G325" s="32"/>
      <c r="H325" s="32"/>
      <c r="I325" s="32"/>
      <c r="J325" s="28">
        <f t="shared" si="170"/>
        <v>2.7042285558744002E-2</v>
      </c>
      <c r="K325" s="29"/>
      <c r="L325" s="29"/>
      <c r="M325" s="29"/>
      <c r="N325" s="29"/>
      <c r="O325" s="29"/>
      <c r="P325" s="30">
        <f t="shared" si="172"/>
        <v>2.7042285558744002E-2</v>
      </c>
      <c r="Q325" s="31">
        <f t="shared" si="171"/>
        <v>0.64558800000000005</v>
      </c>
    </row>
    <row r="326" spans="1:17" x14ac:dyDescent="0.2">
      <c r="A326" s="10"/>
      <c r="B326" s="26"/>
      <c r="C326" s="11">
        <v>1989</v>
      </c>
      <c r="D326" s="32">
        <f>SPFI_CLB14!$D$12</f>
        <v>0.65287700000000004</v>
      </c>
      <c r="E326" s="32"/>
      <c r="F326" s="32"/>
      <c r="G326" s="32"/>
      <c r="H326" s="32"/>
      <c r="I326" s="32"/>
      <c r="J326" s="28">
        <f t="shared" si="170"/>
        <v>2.7347606009926001E-2</v>
      </c>
      <c r="K326" s="29"/>
      <c r="L326" s="29"/>
      <c r="M326" s="29"/>
      <c r="N326" s="29"/>
      <c r="O326" s="29"/>
      <c r="P326" s="30">
        <f t="shared" si="172"/>
        <v>2.7347606009926001E-2</v>
      </c>
      <c r="Q326" s="31">
        <f t="shared" si="171"/>
        <v>0.65287700000000004</v>
      </c>
    </row>
    <row r="327" spans="1:17" x14ac:dyDescent="0.2">
      <c r="A327" s="10"/>
      <c r="B327" s="26"/>
      <c r="C327" s="11">
        <v>1990</v>
      </c>
      <c r="D327" s="32">
        <f>SPFI_CLB14!$D$13</f>
        <v>0.56965100000000002</v>
      </c>
      <c r="E327" s="32"/>
      <c r="F327" s="32"/>
      <c r="G327" s="32"/>
      <c r="H327" s="32"/>
      <c r="I327" s="32"/>
      <c r="J327" s="28">
        <f t="shared" si="170"/>
        <v>2.3861448804537999E-2</v>
      </c>
      <c r="K327" s="29"/>
      <c r="L327" s="29"/>
      <c r="M327" s="29"/>
      <c r="N327" s="29"/>
      <c r="O327" s="29"/>
      <c r="P327" s="30">
        <f t="shared" si="172"/>
        <v>2.3861448804537999E-2</v>
      </c>
      <c r="Q327" s="31">
        <f t="shared" si="171"/>
        <v>0.56965100000000002</v>
      </c>
    </row>
    <row r="328" spans="1:17" x14ac:dyDescent="0.2">
      <c r="A328" s="10"/>
      <c r="B328" s="26"/>
      <c r="C328" s="11">
        <v>1991</v>
      </c>
      <c r="D328" s="32">
        <f>SPFI_CLB14!$D$14</f>
        <v>0.62776900000000002</v>
      </c>
      <c r="E328" s="32"/>
      <c r="F328" s="32"/>
      <c r="G328" s="32"/>
      <c r="H328" s="32"/>
      <c r="I328" s="32"/>
      <c r="J328" s="28">
        <f t="shared" si="170"/>
        <v>2.6295886173422E-2</v>
      </c>
      <c r="K328" s="29"/>
      <c r="L328" s="29"/>
      <c r="M328" s="29"/>
      <c r="N328" s="29"/>
      <c r="O328" s="29"/>
      <c r="P328" s="30">
        <f t="shared" si="172"/>
        <v>2.6295886173422E-2</v>
      </c>
      <c r="Q328" s="31">
        <f t="shared" si="171"/>
        <v>0.62776900000000002</v>
      </c>
    </row>
    <row r="329" spans="1:17" x14ac:dyDescent="0.2">
      <c r="A329" s="10"/>
      <c r="B329" s="26"/>
      <c r="C329" s="11">
        <v>1992</v>
      </c>
      <c r="D329" s="32">
        <f>SPFI_CLB14!$D$15</f>
        <v>0.43504100000000001</v>
      </c>
      <c r="E329" s="32"/>
      <c r="F329" s="32"/>
      <c r="G329" s="32"/>
      <c r="H329" s="32"/>
      <c r="I329" s="32"/>
      <c r="J329" s="28">
        <f t="shared" si="170"/>
        <v>1.8222926931357998E-2</v>
      </c>
      <c r="K329" s="29"/>
      <c r="L329" s="29"/>
      <c r="M329" s="29"/>
      <c r="N329" s="29"/>
      <c r="O329" s="29"/>
      <c r="P329" s="30">
        <f t="shared" si="172"/>
        <v>1.8222926931357998E-2</v>
      </c>
      <c r="Q329" s="31">
        <f t="shared" si="171"/>
        <v>0.43504100000000001</v>
      </c>
    </row>
    <row r="330" spans="1:17" x14ac:dyDescent="0.2">
      <c r="A330" s="10"/>
      <c r="B330" s="26"/>
      <c r="C330" s="11">
        <v>1993</v>
      </c>
      <c r="D330" s="32">
        <f>SPFI_CLB14!$D$16</f>
        <v>0.499164</v>
      </c>
      <c r="E330" s="32"/>
      <c r="F330" s="32"/>
      <c r="G330" s="32"/>
      <c r="H330" s="32"/>
      <c r="I330" s="32"/>
      <c r="J330" s="28">
        <f t="shared" si="170"/>
        <v>2.0908900767431998E-2</v>
      </c>
      <c r="K330" s="29"/>
      <c r="L330" s="29"/>
      <c r="M330" s="29"/>
      <c r="N330" s="29"/>
      <c r="O330" s="29"/>
      <c r="P330" s="30">
        <f t="shared" si="172"/>
        <v>2.0908900767431998E-2</v>
      </c>
      <c r="Q330" s="31">
        <f t="shared" si="171"/>
        <v>0.499164</v>
      </c>
    </row>
    <row r="331" spans="1:17" x14ac:dyDescent="0.2">
      <c r="A331" s="10"/>
      <c r="B331" s="26"/>
      <c r="C331" s="11">
        <v>1994</v>
      </c>
      <c r="D331" s="32">
        <f>SPFI_CLB14!$D$17</f>
        <v>0.59591300000000003</v>
      </c>
      <c r="E331" s="32"/>
      <c r="F331" s="32"/>
      <c r="G331" s="32"/>
      <c r="H331" s="32"/>
      <c r="I331" s="32"/>
      <c r="J331" s="28">
        <f t="shared" si="170"/>
        <v>2.4961507206094E-2</v>
      </c>
      <c r="K331" s="29"/>
      <c r="L331" s="29"/>
      <c r="M331" s="29"/>
      <c r="N331" s="29"/>
      <c r="O331" s="29"/>
      <c r="P331" s="30">
        <f t="shared" si="172"/>
        <v>2.4961507206094E-2</v>
      </c>
      <c r="Q331" s="31">
        <f t="shared" si="171"/>
        <v>0.59591300000000003</v>
      </c>
    </row>
    <row r="332" spans="1:17" x14ac:dyDescent="0.2">
      <c r="A332" s="10"/>
      <c r="B332" s="26"/>
      <c r="C332" s="11">
        <v>1995</v>
      </c>
      <c r="D332" s="32">
        <f>SPFI_CLB14!$D$18</f>
        <v>0.25400800000000001</v>
      </c>
      <c r="E332" s="32"/>
      <c r="F332" s="32"/>
      <c r="G332" s="32"/>
      <c r="H332" s="32"/>
      <c r="I332" s="32"/>
      <c r="J332" s="28">
        <f t="shared" ref="J332" si="173">D332*J$10</f>
        <v>1.0639845954704E-2</v>
      </c>
      <c r="K332" s="29"/>
      <c r="L332" s="29"/>
      <c r="M332" s="29"/>
      <c r="N332" s="29"/>
      <c r="O332" s="29"/>
      <c r="P332" s="30">
        <f>SUM(J332:O332)</f>
        <v>1.0639845954704E-2</v>
      </c>
      <c r="Q332" s="31">
        <f t="shared" si="171"/>
        <v>0.25400800000000001</v>
      </c>
    </row>
    <row r="333" spans="1:17" x14ac:dyDescent="0.2">
      <c r="A333" s="10"/>
      <c r="B333" s="26"/>
      <c r="C333" s="11">
        <v>1996</v>
      </c>
      <c r="D333" s="32">
        <f>SPFI_CLB14!$D$19</f>
        <v>0</v>
      </c>
      <c r="E333" s="32"/>
      <c r="F333" s="32"/>
      <c r="G333" s="32"/>
      <c r="H333" s="32"/>
      <c r="I333" s="32"/>
      <c r="J333" s="28">
        <f t="shared" ref="J333" si="174">D333*J$10</f>
        <v>0</v>
      </c>
      <c r="K333" s="29"/>
      <c r="L333" s="29"/>
      <c r="M333" s="29"/>
      <c r="N333" s="29"/>
      <c r="O333" s="29"/>
      <c r="P333" s="30">
        <f>SUM(J333:O333)</f>
        <v>0</v>
      </c>
      <c r="Q333" s="31">
        <f t="shared" si="171"/>
        <v>0</v>
      </c>
    </row>
    <row r="334" spans="1:17" x14ac:dyDescent="0.2">
      <c r="A334" s="10"/>
      <c r="B334" s="26"/>
      <c r="C334" s="11">
        <v>1997</v>
      </c>
      <c r="D334" s="32">
        <f>SPFI_CLB14!$D$20</f>
        <v>0.201487</v>
      </c>
      <c r="E334" s="32"/>
      <c r="F334" s="32"/>
      <c r="G334" s="32"/>
      <c r="H334" s="32"/>
      <c r="I334" s="32"/>
      <c r="J334" s="28">
        <f t="shared" ref="J334" si="175">D334*J$10</f>
        <v>8.4398548151060002E-3</v>
      </c>
      <c r="K334" s="29"/>
      <c r="L334" s="29"/>
      <c r="M334" s="29"/>
      <c r="N334" s="29"/>
      <c r="O334" s="29"/>
      <c r="P334" s="30">
        <f>SUM(J334:O334)</f>
        <v>8.4398548151060002E-3</v>
      </c>
      <c r="Q334" s="31">
        <f t="shared" si="171"/>
        <v>0.20148700000000003</v>
      </c>
    </row>
    <row r="335" spans="1:17" x14ac:dyDescent="0.2">
      <c r="A335" s="10"/>
      <c r="B335" s="26"/>
      <c r="C335" s="11">
        <v>1998</v>
      </c>
      <c r="D335" s="32">
        <f>SPFI_CLB14!$D$21</f>
        <v>0.37506400000000001</v>
      </c>
      <c r="E335" s="32"/>
      <c r="F335" s="32"/>
      <c r="G335" s="32"/>
      <c r="H335" s="32"/>
      <c r="I335" s="32"/>
      <c r="J335" s="28">
        <f t="shared" ref="J335" si="176">D335*J$10</f>
        <v>1.5710620071632E-2</v>
      </c>
      <c r="K335" s="29"/>
      <c r="L335" s="29"/>
      <c r="M335" s="29"/>
      <c r="N335" s="29"/>
      <c r="O335" s="29"/>
      <c r="P335" s="30">
        <f>SUM(J335:O335)</f>
        <v>1.5710620071632E-2</v>
      </c>
      <c r="Q335" s="31">
        <f t="shared" si="171"/>
        <v>0.37506400000000006</v>
      </c>
    </row>
    <row r="336" spans="1:17" x14ac:dyDescent="0.2">
      <c r="A336" s="10"/>
      <c r="B336" s="26"/>
      <c r="C336" s="11">
        <v>1999</v>
      </c>
      <c r="D336" s="32">
        <f>SPFI_CLB14!$D$22</f>
        <v>0.29823699999999997</v>
      </c>
      <c r="E336" s="32"/>
      <c r="F336" s="32"/>
      <c r="G336" s="32"/>
      <c r="H336" s="32"/>
      <c r="I336" s="32"/>
      <c r="J336" s="28">
        <f t="shared" ref="J336" si="177">D336*J$10</f>
        <v>1.2492503141605998E-2</v>
      </c>
      <c r="K336" s="29"/>
      <c r="L336" s="29"/>
      <c r="M336" s="29"/>
      <c r="N336" s="29"/>
      <c r="O336" s="29"/>
      <c r="P336" s="30">
        <f>SUM(J336:O336)</f>
        <v>1.2492503141605998E-2</v>
      </c>
      <c r="Q336" s="31">
        <f t="shared" ref="Q336:Q341" si="178">IF(C$10&gt;0,P336/C$10,0)</f>
        <v>0.29823699999999997</v>
      </c>
    </row>
    <row r="337" spans="1:17" x14ac:dyDescent="0.2">
      <c r="A337" s="10"/>
      <c r="B337" s="26"/>
      <c r="C337" s="11">
        <v>2000</v>
      </c>
      <c r="D337" s="32">
        <f>SPFI_CLB14!$D$23</f>
        <v>8.4414000000000003E-2</v>
      </c>
      <c r="E337" s="32"/>
      <c r="F337" s="32"/>
      <c r="G337" s="32"/>
      <c r="H337" s="32"/>
      <c r="I337" s="32"/>
      <c r="J337" s="28">
        <f t="shared" ref="J337" si="179">D337*J$10</f>
        <v>3.535919956932E-3</v>
      </c>
      <c r="K337" s="29"/>
      <c r="L337" s="29"/>
      <c r="M337" s="29"/>
      <c r="N337" s="29"/>
      <c r="O337" s="29"/>
      <c r="P337" s="30">
        <f t="shared" ref="P337:P342" si="180">SUM(J337:O337)</f>
        <v>3.535919956932E-3</v>
      </c>
      <c r="Q337" s="31">
        <f t="shared" si="178"/>
        <v>8.4414000000000003E-2</v>
      </c>
    </row>
    <row r="338" spans="1:17" x14ac:dyDescent="0.2">
      <c r="A338" s="10"/>
      <c r="B338" s="26"/>
      <c r="C338" s="11">
        <v>2001</v>
      </c>
      <c r="D338" s="32">
        <f>SPFI_CLB14!$D$24</f>
        <v>7.8909000000000007E-2</v>
      </c>
      <c r="E338" s="32"/>
      <c r="F338" s="32"/>
      <c r="G338" s="32"/>
      <c r="H338" s="32"/>
      <c r="I338" s="32"/>
      <c r="J338" s="28">
        <f t="shared" ref="J338" si="181">D338*J$10</f>
        <v>3.3053274087420001E-3</v>
      </c>
      <c r="K338" s="29"/>
      <c r="L338" s="29"/>
      <c r="M338" s="29"/>
      <c r="N338" s="29"/>
      <c r="O338" s="29"/>
      <c r="P338" s="30">
        <f t="shared" si="180"/>
        <v>3.3053274087420001E-3</v>
      </c>
      <c r="Q338" s="31">
        <f t="shared" si="178"/>
        <v>7.8909000000000007E-2</v>
      </c>
    </row>
    <row r="339" spans="1:17" x14ac:dyDescent="0.2">
      <c r="A339" s="10"/>
      <c r="B339" s="26"/>
      <c r="C339" s="11">
        <v>2002</v>
      </c>
      <c r="D339" s="32">
        <f>SPFI_CLB14!$D$25</f>
        <v>0.29974699999999999</v>
      </c>
      <c r="E339" s="32"/>
      <c r="F339" s="32"/>
      <c r="G339" s="32"/>
      <c r="H339" s="32"/>
      <c r="I339" s="32"/>
      <c r="J339" s="28">
        <f t="shared" ref="J339" si="182">D339*J$10</f>
        <v>1.2555753776985999E-2</v>
      </c>
      <c r="K339" s="29"/>
      <c r="L339" s="29"/>
      <c r="M339" s="29"/>
      <c r="N339" s="29"/>
      <c r="O339" s="29"/>
      <c r="P339" s="30">
        <f t="shared" si="180"/>
        <v>1.2555753776985999E-2</v>
      </c>
      <c r="Q339" s="31">
        <f t="shared" si="178"/>
        <v>0.29974699999999999</v>
      </c>
    </row>
    <row r="340" spans="1:17" x14ac:dyDescent="0.2">
      <c r="A340" s="10"/>
      <c r="B340" s="26"/>
      <c r="C340" s="11">
        <v>2003</v>
      </c>
      <c r="D340" s="32">
        <f>SPFI_CLB14!$D$26</f>
        <v>0.20691100000000001</v>
      </c>
      <c r="E340" s="32"/>
      <c r="F340" s="32"/>
      <c r="G340" s="32"/>
      <c r="H340" s="32"/>
      <c r="I340" s="32"/>
      <c r="J340" s="28">
        <f t="shared" ref="J340" si="183">D340*J$10</f>
        <v>8.6670544484179993E-3</v>
      </c>
      <c r="K340" s="29"/>
      <c r="L340" s="29"/>
      <c r="M340" s="29"/>
      <c r="N340" s="29"/>
      <c r="O340" s="29"/>
      <c r="P340" s="30">
        <f t="shared" si="180"/>
        <v>8.6670544484179993E-3</v>
      </c>
      <c r="Q340" s="31">
        <f t="shared" si="178"/>
        <v>0.20691100000000001</v>
      </c>
    </row>
    <row r="341" spans="1:17" x14ac:dyDescent="0.2">
      <c r="A341" s="10"/>
      <c r="B341" s="26"/>
      <c r="C341" s="11">
        <v>2004</v>
      </c>
      <c r="D341" s="32">
        <f>SPFI_CLB14!$D$27</f>
        <v>0.269237</v>
      </c>
      <c r="E341" s="32"/>
      <c r="F341" s="32"/>
      <c r="G341" s="32"/>
      <c r="H341" s="32"/>
      <c r="I341" s="32"/>
      <c r="J341" s="28">
        <f t="shared" ref="J341" si="184">D341*J$10</f>
        <v>1.1277755839606E-2</v>
      </c>
      <c r="K341" s="29"/>
      <c r="L341" s="29"/>
      <c r="M341" s="29"/>
      <c r="N341" s="29"/>
      <c r="O341" s="29"/>
      <c r="P341" s="30">
        <f t="shared" si="180"/>
        <v>1.1277755839606E-2</v>
      </c>
      <c r="Q341" s="31">
        <f t="shared" si="178"/>
        <v>0.269237</v>
      </c>
    </row>
    <row r="342" spans="1:17" x14ac:dyDescent="0.2">
      <c r="A342" s="10"/>
      <c r="B342" s="26"/>
      <c r="C342" s="11">
        <v>2005</v>
      </c>
      <c r="D342" s="32">
        <f>SPFI_CLB14!$D$28</f>
        <v>0.37848700000000002</v>
      </c>
      <c r="E342" s="32"/>
      <c r="F342" s="32"/>
      <c r="G342" s="32"/>
      <c r="H342" s="32"/>
      <c r="I342" s="32"/>
      <c r="J342" s="28">
        <f t="shared" ref="J342" si="185">D342*J$10</f>
        <v>1.5854002141106001E-2</v>
      </c>
      <c r="K342" s="29"/>
      <c r="L342" s="29"/>
      <c r="M342" s="29"/>
      <c r="N342" s="29"/>
      <c r="O342" s="29"/>
      <c r="P342" s="30">
        <f t="shared" si="180"/>
        <v>1.5854002141106001E-2</v>
      </c>
      <c r="Q342" s="31">
        <f t="shared" ref="Q342:Q347" si="186">IF(C$10&gt;0,P342/C$10,0)</f>
        <v>0.37848700000000007</v>
      </c>
    </row>
    <row r="343" spans="1:17" x14ac:dyDescent="0.2">
      <c r="A343" s="10"/>
      <c r="B343" s="26"/>
      <c r="C343" s="11">
        <v>2006</v>
      </c>
      <c r="D343" s="32">
        <f>SPFI_CLB14!$D$29</f>
        <v>0.381023</v>
      </c>
      <c r="E343" s="32"/>
      <c r="F343" s="32"/>
      <c r="G343" s="32"/>
      <c r="H343" s="32"/>
      <c r="I343" s="32"/>
      <c r="J343" s="28">
        <f t="shared" ref="J343" si="187">D343*J$10</f>
        <v>1.5960229698273997E-2</v>
      </c>
      <c r="K343" s="29"/>
      <c r="L343" s="29"/>
      <c r="M343" s="29"/>
      <c r="N343" s="29"/>
      <c r="O343" s="29"/>
      <c r="P343" s="30">
        <f t="shared" ref="P343:P350" si="188">SUM(J343:O343)</f>
        <v>1.5960229698273997E-2</v>
      </c>
      <c r="Q343" s="31">
        <f t="shared" si="186"/>
        <v>0.38102299999999995</v>
      </c>
    </row>
    <row r="344" spans="1:17" x14ac:dyDescent="0.2">
      <c r="A344" s="10"/>
      <c r="B344" s="26"/>
      <c r="C344" s="11">
        <v>2007</v>
      </c>
      <c r="D344" s="32">
        <f>SPFI_CLB14!$D$30</f>
        <v>0.356512</v>
      </c>
      <c r="E344" s="32"/>
      <c r="F344" s="32"/>
      <c r="G344" s="32"/>
      <c r="H344" s="32"/>
      <c r="I344" s="32"/>
      <c r="J344" s="28">
        <f t="shared" ref="J344" si="189">D344*J$10</f>
        <v>1.4933516901055998E-2</v>
      </c>
      <c r="K344" s="29"/>
      <c r="L344" s="29"/>
      <c r="M344" s="29"/>
      <c r="N344" s="29"/>
      <c r="O344" s="29"/>
      <c r="P344" s="30">
        <f t="shared" si="188"/>
        <v>1.4933516901055998E-2</v>
      </c>
      <c r="Q344" s="31">
        <f t="shared" si="186"/>
        <v>0.356512</v>
      </c>
    </row>
    <row r="345" spans="1:17" x14ac:dyDescent="0.2">
      <c r="A345" s="10"/>
      <c r="B345" s="26"/>
      <c r="C345" s="11">
        <v>2008</v>
      </c>
      <c r="D345" s="32">
        <f>SPFI_CLB14!$D$31</f>
        <v>0.25494499999999998</v>
      </c>
      <c r="E345" s="32"/>
      <c r="F345" s="32"/>
      <c r="G345" s="32"/>
      <c r="H345" s="32"/>
      <c r="I345" s="32"/>
      <c r="J345" s="28">
        <f t="shared" ref="J345" si="190">D345*J$10</f>
        <v>1.0679094858909999E-2</v>
      </c>
      <c r="K345" s="29"/>
      <c r="L345" s="29"/>
      <c r="M345" s="29"/>
      <c r="N345" s="29"/>
      <c r="O345" s="29"/>
      <c r="P345" s="30">
        <f t="shared" si="188"/>
        <v>1.0679094858909999E-2</v>
      </c>
      <c r="Q345" s="31">
        <f t="shared" si="186"/>
        <v>0.25494499999999998</v>
      </c>
    </row>
    <row r="346" spans="1:17" x14ac:dyDescent="0.2">
      <c r="A346" s="10"/>
      <c r="B346" s="26"/>
      <c r="C346" s="11">
        <v>2009</v>
      </c>
      <c r="D346" s="32">
        <f>SPFI_CLB14!$D$32</f>
        <v>0.52383000000000002</v>
      </c>
      <c r="E346" s="32"/>
      <c r="F346" s="32"/>
      <c r="G346" s="32"/>
      <c r="H346" s="32"/>
      <c r="I346" s="32"/>
      <c r="J346" s="28">
        <f t="shared" ref="J346" si="191">D346*J$10</f>
        <v>2.194210617954E-2</v>
      </c>
      <c r="K346" s="29"/>
      <c r="L346" s="29"/>
      <c r="M346" s="29"/>
      <c r="N346" s="29"/>
      <c r="O346" s="29"/>
      <c r="P346" s="30">
        <f t="shared" si="188"/>
        <v>2.194210617954E-2</v>
      </c>
      <c r="Q346" s="31">
        <f t="shared" si="186"/>
        <v>0.52383000000000002</v>
      </c>
    </row>
    <row r="347" spans="1:17" x14ac:dyDescent="0.2">
      <c r="A347" s="10"/>
      <c r="B347" s="26"/>
      <c r="C347" s="11">
        <v>2010</v>
      </c>
      <c r="D347" s="32">
        <f>SPFI_CLB14!$D$33</f>
        <v>0.31394</v>
      </c>
      <c r="E347" s="32"/>
      <c r="F347" s="32"/>
      <c r="G347" s="32"/>
      <c r="H347" s="32"/>
      <c r="I347" s="32"/>
      <c r="J347" s="28">
        <f t="shared" ref="J347" si="192">D347*J$10</f>
        <v>1.3150267861719999E-2</v>
      </c>
      <c r="K347" s="29"/>
      <c r="L347" s="29"/>
      <c r="M347" s="29"/>
      <c r="N347" s="29"/>
      <c r="O347" s="29"/>
      <c r="P347" s="30">
        <f t="shared" si="188"/>
        <v>1.3150267861719999E-2</v>
      </c>
      <c r="Q347" s="31">
        <f t="shared" si="186"/>
        <v>0.31394</v>
      </c>
    </row>
    <row r="348" spans="1:17" x14ac:dyDescent="0.2">
      <c r="A348" s="10"/>
      <c r="B348" s="26"/>
      <c r="C348" s="11">
        <v>2011</v>
      </c>
      <c r="D348" s="32">
        <f>SPFI_CLB14!$D$34</f>
        <v>0.294348</v>
      </c>
      <c r="E348" s="32"/>
      <c r="F348" s="32"/>
      <c r="G348" s="32"/>
      <c r="H348" s="32"/>
      <c r="I348" s="32"/>
      <c r="J348" s="28">
        <f t="shared" ref="J348" si="193">D348*J$10</f>
        <v>1.2329601339623998E-2</v>
      </c>
      <c r="K348" s="29"/>
      <c r="L348" s="29"/>
      <c r="M348" s="29"/>
      <c r="N348" s="29"/>
      <c r="O348" s="29"/>
      <c r="P348" s="30">
        <f t="shared" ref="P348" si="194">SUM(J348:O348)</f>
        <v>1.2329601339623998E-2</v>
      </c>
      <c r="Q348" s="31">
        <f t="shared" ref="Q348" si="195">IF(C$10&gt;0,P348/C$10,0)</f>
        <v>0.294348</v>
      </c>
    </row>
    <row r="349" spans="1:17" x14ac:dyDescent="0.2">
      <c r="A349" s="10"/>
      <c r="B349" s="26"/>
      <c r="C349" s="11">
        <v>2012</v>
      </c>
      <c r="D349" s="32">
        <f>SPFI_CLB14!$D$35</f>
        <v>0.34784100000000001</v>
      </c>
      <c r="E349" s="32"/>
      <c r="F349" s="32"/>
      <c r="G349" s="32"/>
      <c r="H349" s="32"/>
      <c r="I349" s="32"/>
      <c r="J349" s="28">
        <f t="shared" ref="J349" si="196">D349*J$10</f>
        <v>1.4570307457757999E-2</v>
      </c>
      <c r="K349" s="29"/>
      <c r="L349" s="29"/>
      <c r="M349" s="29"/>
      <c r="N349" s="29"/>
      <c r="O349" s="29"/>
      <c r="P349" s="30">
        <f t="shared" ref="P349" si="197">SUM(J349:O349)</f>
        <v>1.4570307457757999E-2</v>
      </c>
      <c r="Q349" s="31">
        <f t="shared" ref="Q349" si="198">IF(C$10&gt;0,P349/C$10,0)</f>
        <v>0.34784100000000001</v>
      </c>
    </row>
    <row r="350" spans="1:17" x14ac:dyDescent="0.2">
      <c r="A350" s="5" t="s">
        <v>7</v>
      </c>
      <c r="B350" s="21">
        <v>5</v>
      </c>
      <c r="C350" s="6">
        <v>1982</v>
      </c>
      <c r="D350" s="27">
        <f>SPFI_CLB14!$D$5</f>
        <v>0.98153299999999999</v>
      </c>
      <c r="E350" s="27"/>
      <c r="F350" s="27"/>
      <c r="G350" s="27"/>
      <c r="H350" s="27"/>
      <c r="I350" s="27"/>
      <c r="J350" s="33">
        <f t="shared" ref="J350:J362" si="199">D350*J$11</f>
        <v>8.902752245235801E-2</v>
      </c>
      <c r="K350" s="27"/>
      <c r="L350" s="27"/>
      <c r="M350" s="27"/>
      <c r="N350" s="27"/>
      <c r="O350" s="27"/>
      <c r="P350" s="34">
        <f t="shared" si="188"/>
        <v>8.902752245235801E-2</v>
      </c>
      <c r="Q350" s="35">
        <f t="shared" ref="Q350:Q366" si="200">IF(C$11&gt;0,P350/C$11,0)</f>
        <v>0.9815330000000001</v>
      </c>
    </row>
    <row r="351" spans="1:17" x14ac:dyDescent="0.2">
      <c r="A351" s="10"/>
      <c r="B351" s="26"/>
      <c r="C351" s="11">
        <v>1983</v>
      </c>
      <c r="D351" s="32">
        <f>SPFI_CLB14!$D$6</f>
        <v>0.93659899999999996</v>
      </c>
      <c r="E351" s="32"/>
      <c r="F351" s="32"/>
      <c r="G351" s="32"/>
      <c r="H351" s="32"/>
      <c r="I351" s="32"/>
      <c r="J351" s="28">
        <f t="shared" si="199"/>
        <v>8.4951895149074003E-2</v>
      </c>
      <c r="K351" s="29"/>
      <c r="L351" s="29"/>
      <c r="M351" s="29"/>
      <c r="N351" s="29"/>
      <c r="O351" s="29"/>
      <c r="P351" s="30">
        <f t="shared" ref="P351:P362" si="201">SUM(J351:O351)</f>
        <v>8.4951895149074003E-2</v>
      </c>
      <c r="Q351" s="31">
        <f t="shared" si="200"/>
        <v>0.93659899999999996</v>
      </c>
    </row>
    <row r="352" spans="1:17" x14ac:dyDescent="0.2">
      <c r="A352" s="10"/>
      <c r="B352" s="26"/>
      <c r="C352" s="11">
        <v>1984</v>
      </c>
      <c r="D352" s="32">
        <f>SPFI_CLB14!$D$7</f>
        <v>0.92793599999999998</v>
      </c>
      <c r="E352" s="32"/>
      <c r="F352" s="32"/>
      <c r="G352" s="32"/>
      <c r="H352" s="32"/>
      <c r="I352" s="32"/>
      <c r="J352" s="28">
        <f t="shared" si="199"/>
        <v>8.4166139166336001E-2</v>
      </c>
      <c r="K352" s="29"/>
      <c r="L352" s="29"/>
      <c r="M352" s="29"/>
      <c r="N352" s="29"/>
      <c r="O352" s="29"/>
      <c r="P352" s="30">
        <f t="shared" si="201"/>
        <v>8.4166139166336001E-2</v>
      </c>
      <c r="Q352" s="31">
        <f t="shared" si="200"/>
        <v>0.92793599999999998</v>
      </c>
    </row>
    <row r="353" spans="1:17" x14ac:dyDescent="0.2">
      <c r="A353" s="10"/>
      <c r="B353" s="26"/>
      <c r="C353" s="11">
        <v>1985</v>
      </c>
      <c r="D353" s="32">
        <f>SPFI_CLB14!$D$8</f>
        <v>0.90386500000000003</v>
      </c>
      <c r="E353" s="32"/>
      <c r="F353" s="32"/>
      <c r="G353" s="32"/>
      <c r="H353" s="32"/>
      <c r="I353" s="32"/>
      <c r="J353" s="28">
        <f t="shared" si="199"/>
        <v>8.1982838662990012E-2</v>
      </c>
      <c r="K353" s="29"/>
      <c r="L353" s="29"/>
      <c r="M353" s="29"/>
      <c r="N353" s="29"/>
      <c r="O353" s="29"/>
      <c r="P353" s="30">
        <f t="shared" si="201"/>
        <v>8.1982838662990012E-2</v>
      </c>
      <c r="Q353" s="31">
        <f t="shared" si="200"/>
        <v>0.90386500000000003</v>
      </c>
    </row>
    <row r="354" spans="1:17" x14ac:dyDescent="0.2">
      <c r="A354" s="10"/>
      <c r="B354" s="26"/>
      <c r="C354" s="11">
        <v>1986</v>
      </c>
      <c r="D354" s="32">
        <f>SPFI_CLB14!$D$9</f>
        <v>0.73087500000000005</v>
      </c>
      <c r="E354" s="32"/>
      <c r="F354" s="32"/>
      <c r="G354" s="32"/>
      <c r="H354" s="32"/>
      <c r="I354" s="32"/>
      <c r="J354" s="28">
        <f t="shared" si="199"/>
        <v>6.6292208690250015E-2</v>
      </c>
      <c r="K354" s="29"/>
      <c r="L354" s="29"/>
      <c r="M354" s="29"/>
      <c r="N354" s="29"/>
      <c r="O354" s="29"/>
      <c r="P354" s="30">
        <f t="shared" si="201"/>
        <v>6.6292208690250015E-2</v>
      </c>
      <c r="Q354" s="31">
        <f t="shared" si="200"/>
        <v>0.73087500000000016</v>
      </c>
    </row>
    <row r="355" spans="1:17" x14ac:dyDescent="0.2">
      <c r="A355" s="10"/>
      <c r="B355" s="26"/>
      <c r="C355" s="11">
        <v>1987</v>
      </c>
      <c r="D355" s="32">
        <f>SPFI_CLB14!$D$10</f>
        <v>0.71733499999999994</v>
      </c>
      <c r="E355" s="32"/>
      <c r="F355" s="32"/>
      <c r="G355" s="32"/>
      <c r="H355" s="32"/>
      <c r="I355" s="32"/>
      <c r="J355" s="28">
        <f t="shared" si="199"/>
        <v>6.5064096488210002E-2</v>
      </c>
      <c r="K355" s="29"/>
      <c r="L355" s="29"/>
      <c r="M355" s="29"/>
      <c r="N355" s="29"/>
      <c r="O355" s="29"/>
      <c r="P355" s="30">
        <f t="shared" si="201"/>
        <v>6.5064096488210002E-2</v>
      </c>
      <c r="Q355" s="31">
        <f t="shared" si="200"/>
        <v>0.71733499999999994</v>
      </c>
    </row>
    <row r="356" spans="1:17" x14ac:dyDescent="0.2">
      <c r="A356" s="10"/>
      <c r="B356" s="26"/>
      <c r="C356" s="11">
        <v>1988</v>
      </c>
      <c r="D356" s="32">
        <f>SPFI_CLB14!$D$11</f>
        <v>0.64558800000000005</v>
      </c>
      <c r="E356" s="32"/>
      <c r="F356" s="32"/>
      <c r="G356" s="32"/>
      <c r="H356" s="32"/>
      <c r="I356" s="32"/>
      <c r="J356" s="28">
        <f t="shared" si="199"/>
        <v>5.8556462355288011E-2</v>
      </c>
      <c r="K356" s="29"/>
      <c r="L356" s="29"/>
      <c r="M356" s="29"/>
      <c r="N356" s="29"/>
      <c r="O356" s="29"/>
      <c r="P356" s="30">
        <f t="shared" si="201"/>
        <v>5.8556462355288011E-2</v>
      </c>
      <c r="Q356" s="31">
        <f t="shared" si="200"/>
        <v>0.64558800000000005</v>
      </c>
    </row>
    <row r="357" spans="1:17" x14ac:dyDescent="0.2">
      <c r="A357" s="10"/>
      <c r="B357" s="26"/>
      <c r="C357" s="11">
        <v>1989</v>
      </c>
      <c r="D357" s="32">
        <f>SPFI_CLB14!$D$12</f>
        <v>0.65287700000000004</v>
      </c>
      <c r="E357" s="32"/>
      <c r="F357" s="32"/>
      <c r="G357" s="32"/>
      <c r="H357" s="32"/>
      <c r="I357" s="32"/>
      <c r="J357" s="28">
        <f t="shared" si="199"/>
        <v>5.921759306730201E-2</v>
      </c>
      <c r="K357" s="29"/>
      <c r="L357" s="29"/>
      <c r="M357" s="29"/>
      <c r="N357" s="29"/>
      <c r="O357" s="29"/>
      <c r="P357" s="30">
        <f t="shared" si="201"/>
        <v>5.921759306730201E-2</v>
      </c>
      <c r="Q357" s="31">
        <f t="shared" si="200"/>
        <v>0.65287700000000004</v>
      </c>
    </row>
    <row r="358" spans="1:17" x14ac:dyDescent="0.2">
      <c r="A358" s="10"/>
      <c r="B358" s="26"/>
      <c r="C358" s="11">
        <v>1990</v>
      </c>
      <c r="D358" s="32">
        <f>SPFI_CLB14!$D$13</f>
        <v>0.56965100000000002</v>
      </c>
      <c r="E358" s="32"/>
      <c r="F358" s="32"/>
      <c r="G358" s="32"/>
      <c r="H358" s="32"/>
      <c r="I358" s="32"/>
      <c r="J358" s="28">
        <f t="shared" si="199"/>
        <v>5.1668784638426002E-2</v>
      </c>
      <c r="K358" s="29"/>
      <c r="L358" s="29"/>
      <c r="M358" s="29"/>
      <c r="N358" s="29"/>
      <c r="O358" s="29"/>
      <c r="P358" s="30">
        <f t="shared" si="201"/>
        <v>5.1668784638426002E-2</v>
      </c>
      <c r="Q358" s="31">
        <f t="shared" si="200"/>
        <v>0.56965100000000002</v>
      </c>
    </row>
    <row r="359" spans="1:17" x14ac:dyDescent="0.2">
      <c r="A359" s="10"/>
      <c r="B359" s="26"/>
      <c r="C359" s="11">
        <v>1991</v>
      </c>
      <c r="D359" s="32">
        <f>SPFI_CLB14!$D$14</f>
        <v>0.62776900000000002</v>
      </c>
      <c r="E359" s="32"/>
      <c r="F359" s="32"/>
      <c r="G359" s="32"/>
      <c r="H359" s="32"/>
      <c r="I359" s="32"/>
      <c r="J359" s="28">
        <f t="shared" si="199"/>
        <v>5.6940234044494005E-2</v>
      </c>
      <c r="K359" s="29"/>
      <c r="L359" s="29"/>
      <c r="M359" s="29"/>
      <c r="N359" s="29"/>
      <c r="O359" s="29"/>
      <c r="P359" s="30">
        <f t="shared" si="201"/>
        <v>5.6940234044494005E-2</v>
      </c>
      <c r="Q359" s="31">
        <f t="shared" si="200"/>
        <v>0.62776900000000002</v>
      </c>
    </row>
    <row r="360" spans="1:17" x14ac:dyDescent="0.2">
      <c r="A360" s="10"/>
      <c r="B360" s="26"/>
      <c r="C360" s="11">
        <v>1992</v>
      </c>
      <c r="D360" s="32">
        <f>SPFI_CLB14!$D$15</f>
        <v>0.43504100000000001</v>
      </c>
      <c r="E360" s="32"/>
      <c r="F360" s="32"/>
      <c r="G360" s="32"/>
      <c r="H360" s="32"/>
      <c r="I360" s="32"/>
      <c r="J360" s="28">
        <f t="shared" si="199"/>
        <v>3.9459317613566004E-2</v>
      </c>
      <c r="K360" s="29"/>
      <c r="L360" s="29"/>
      <c r="M360" s="29"/>
      <c r="N360" s="29"/>
      <c r="O360" s="29"/>
      <c r="P360" s="30">
        <f t="shared" si="201"/>
        <v>3.9459317613566004E-2</v>
      </c>
      <c r="Q360" s="31">
        <f t="shared" si="200"/>
        <v>0.43504100000000001</v>
      </c>
    </row>
    <row r="361" spans="1:17" x14ac:dyDescent="0.2">
      <c r="A361" s="10"/>
      <c r="B361" s="26"/>
      <c r="C361" s="11">
        <v>1993</v>
      </c>
      <c r="D361" s="32">
        <f>SPFI_CLB14!$D$16</f>
        <v>0.499164</v>
      </c>
      <c r="E361" s="32"/>
      <c r="F361" s="32"/>
      <c r="G361" s="32"/>
      <c r="H361" s="32"/>
      <c r="I361" s="32"/>
      <c r="J361" s="28">
        <f t="shared" si="199"/>
        <v>4.5275435688264004E-2</v>
      </c>
      <c r="K361" s="29"/>
      <c r="L361" s="29"/>
      <c r="M361" s="29"/>
      <c r="N361" s="29"/>
      <c r="O361" s="29"/>
      <c r="P361" s="30">
        <f t="shared" si="201"/>
        <v>4.5275435688264004E-2</v>
      </c>
      <c r="Q361" s="31">
        <f t="shared" si="200"/>
        <v>0.499164</v>
      </c>
    </row>
    <row r="362" spans="1:17" x14ac:dyDescent="0.2">
      <c r="A362" s="10"/>
      <c r="B362" s="26"/>
      <c r="C362" s="11">
        <v>1994</v>
      </c>
      <c r="D362" s="32">
        <f>SPFI_CLB14!$D$17</f>
        <v>0.59591300000000003</v>
      </c>
      <c r="E362" s="32"/>
      <c r="F362" s="32"/>
      <c r="G362" s="32"/>
      <c r="H362" s="32"/>
      <c r="I362" s="32"/>
      <c r="J362" s="28">
        <f t="shared" si="199"/>
        <v>5.4050814376238009E-2</v>
      </c>
      <c r="K362" s="29"/>
      <c r="L362" s="29"/>
      <c r="M362" s="29"/>
      <c r="N362" s="29"/>
      <c r="O362" s="29"/>
      <c r="P362" s="30">
        <f t="shared" si="201"/>
        <v>5.4050814376238009E-2</v>
      </c>
      <c r="Q362" s="31">
        <f t="shared" si="200"/>
        <v>0.59591300000000003</v>
      </c>
    </row>
    <row r="363" spans="1:17" x14ac:dyDescent="0.2">
      <c r="A363" s="10"/>
      <c r="B363" s="26"/>
      <c r="C363" s="11">
        <v>1995</v>
      </c>
      <c r="D363" s="32">
        <f>SPFI_CLB14!$D$18</f>
        <v>0.25400800000000001</v>
      </c>
      <c r="E363" s="32"/>
      <c r="F363" s="32"/>
      <c r="G363" s="32"/>
      <c r="H363" s="32"/>
      <c r="I363" s="32"/>
      <c r="J363" s="28">
        <f t="shared" ref="J363" si="202">D363*J$11</f>
        <v>2.3039167224208002E-2</v>
      </c>
      <c r="K363" s="29"/>
      <c r="L363" s="29"/>
      <c r="M363" s="29"/>
      <c r="N363" s="29"/>
      <c r="O363" s="29"/>
      <c r="P363" s="30">
        <f>SUM(J363:O363)</f>
        <v>2.3039167224208002E-2</v>
      </c>
      <c r="Q363" s="31">
        <f t="shared" si="200"/>
        <v>0.25400800000000001</v>
      </c>
    </row>
    <row r="364" spans="1:17" x14ac:dyDescent="0.2">
      <c r="A364" s="10"/>
      <c r="B364" s="26"/>
      <c r="C364" s="11">
        <v>1996</v>
      </c>
      <c r="D364" s="32">
        <f>SPFI_CLB14!$D$19</f>
        <v>0</v>
      </c>
      <c r="E364" s="32"/>
      <c r="F364" s="32"/>
      <c r="G364" s="32"/>
      <c r="H364" s="32"/>
      <c r="I364" s="32"/>
      <c r="J364" s="28">
        <f t="shared" ref="J364" si="203">D364*J$11</f>
        <v>0</v>
      </c>
      <c r="K364" s="29"/>
      <c r="L364" s="29"/>
      <c r="M364" s="29"/>
      <c r="N364" s="29"/>
      <c r="O364" s="29"/>
      <c r="P364" s="30">
        <f>SUM(J364:O364)</f>
        <v>0</v>
      </c>
      <c r="Q364" s="31">
        <f t="shared" si="200"/>
        <v>0</v>
      </c>
    </row>
    <row r="365" spans="1:17" x14ac:dyDescent="0.2">
      <c r="A365" s="10"/>
      <c r="B365" s="26"/>
      <c r="C365" s="11">
        <v>1997</v>
      </c>
      <c r="D365" s="32">
        <f>SPFI_CLB14!$D$20</f>
        <v>0.201487</v>
      </c>
      <c r="E365" s="32"/>
      <c r="F365" s="32"/>
      <c r="G365" s="32"/>
      <c r="H365" s="32"/>
      <c r="I365" s="32"/>
      <c r="J365" s="28">
        <f t="shared" ref="J365" si="204">D365*J$11</f>
        <v>1.8275379856162E-2</v>
      </c>
      <c r="K365" s="29"/>
      <c r="L365" s="29"/>
      <c r="M365" s="29"/>
      <c r="N365" s="29"/>
      <c r="O365" s="29"/>
      <c r="P365" s="30">
        <f>SUM(J365:O365)</f>
        <v>1.8275379856162E-2</v>
      </c>
      <c r="Q365" s="31">
        <f t="shared" si="200"/>
        <v>0.201487</v>
      </c>
    </row>
    <row r="366" spans="1:17" x14ac:dyDescent="0.2">
      <c r="A366" s="10"/>
      <c r="B366" s="26"/>
      <c r="C366" s="11">
        <v>1998</v>
      </c>
      <c r="D366" s="32">
        <f>SPFI_CLB14!$D$21</f>
        <v>0.37506400000000001</v>
      </c>
      <c r="E366" s="32"/>
      <c r="F366" s="32"/>
      <c r="G366" s="32"/>
      <c r="H366" s="32"/>
      <c r="I366" s="32"/>
      <c r="J366" s="28">
        <f t="shared" ref="J366" si="205">D366*J$11</f>
        <v>3.4019252211664006E-2</v>
      </c>
      <c r="K366" s="29"/>
      <c r="L366" s="29"/>
      <c r="M366" s="29"/>
      <c r="N366" s="29"/>
      <c r="O366" s="29"/>
      <c r="P366" s="30">
        <f>SUM(J366:O366)</f>
        <v>3.4019252211664006E-2</v>
      </c>
      <c r="Q366" s="31">
        <f t="shared" si="200"/>
        <v>0.37506400000000006</v>
      </c>
    </row>
    <row r="367" spans="1:17" x14ac:dyDescent="0.2">
      <c r="A367" s="10"/>
      <c r="B367" s="26"/>
      <c r="C367" s="11">
        <v>1999</v>
      </c>
      <c r="D367" s="32">
        <f>SPFI_CLB14!$D$22</f>
        <v>0.29823699999999997</v>
      </c>
      <c r="E367" s="32"/>
      <c r="F367" s="32"/>
      <c r="G367" s="32"/>
      <c r="H367" s="32"/>
      <c r="I367" s="32"/>
      <c r="J367" s="28">
        <f t="shared" ref="J367" si="206">D367*J$11</f>
        <v>2.7050849246661998E-2</v>
      </c>
      <c r="K367" s="29"/>
      <c r="L367" s="29"/>
      <c r="M367" s="29"/>
      <c r="N367" s="29"/>
      <c r="O367" s="29"/>
      <c r="P367" s="30">
        <f>SUM(J367:O367)</f>
        <v>2.7050849246661998E-2</v>
      </c>
      <c r="Q367" s="31">
        <f t="shared" ref="Q367:Q372" si="207">IF(C$11&gt;0,P367/C$11,0)</f>
        <v>0.29823699999999997</v>
      </c>
    </row>
    <row r="368" spans="1:17" x14ac:dyDescent="0.2">
      <c r="A368" s="10"/>
      <c r="B368" s="26"/>
      <c r="C368" s="11">
        <v>2000</v>
      </c>
      <c r="D368" s="32">
        <f>SPFI_CLB14!$D$23</f>
        <v>8.4414000000000003E-2</v>
      </c>
      <c r="E368" s="32"/>
      <c r="F368" s="32"/>
      <c r="G368" s="32"/>
      <c r="H368" s="32"/>
      <c r="I368" s="32"/>
      <c r="J368" s="28">
        <f t="shared" ref="J368" si="208">D368*J$11</f>
        <v>7.6565630297640011E-3</v>
      </c>
      <c r="K368" s="29"/>
      <c r="L368" s="29"/>
      <c r="M368" s="29"/>
      <c r="N368" s="29"/>
      <c r="O368" s="29"/>
      <c r="P368" s="30">
        <f t="shared" ref="P368:P373" si="209">SUM(J368:O368)</f>
        <v>7.6565630297640011E-3</v>
      </c>
      <c r="Q368" s="31">
        <f t="shared" si="207"/>
        <v>8.4414000000000003E-2</v>
      </c>
    </row>
    <row r="369" spans="1:17" x14ac:dyDescent="0.2">
      <c r="A369" s="10"/>
      <c r="B369" s="26"/>
      <c r="C369" s="11">
        <v>2001</v>
      </c>
      <c r="D369" s="32">
        <f>SPFI_CLB14!$D$24</f>
        <v>7.8909000000000007E-2</v>
      </c>
      <c r="E369" s="32"/>
      <c r="F369" s="32"/>
      <c r="G369" s="32"/>
      <c r="H369" s="32"/>
      <c r="I369" s="32"/>
      <c r="J369" s="28">
        <f t="shared" ref="J369" si="210">D369*J$11</f>
        <v>7.157245624134001E-3</v>
      </c>
      <c r="K369" s="29"/>
      <c r="L369" s="29"/>
      <c r="M369" s="29"/>
      <c r="N369" s="29"/>
      <c r="O369" s="29"/>
      <c r="P369" s="30">
        <f t="shared" si="209"/>
        <v>7.157245624134001E-3</v>
      </c>
      <c r="Q369" s="31">
        <f t="shared" si="207"/>
        <v>7.8909000000000007E-2</v>
      </c>
    </row>
    <row r="370" spans="1:17" x14ac:dyDescent="0.2">
      <c r="A370" s="10"/>
      <c r="B370" s="26"/>
      <c r="C370" s="11">
        <v>2002</v>
      </c>
      <c r="D370" s="32">
        <f>SPFI_CLB14!$D$25</f>
        <v>0.29974699999999999</v>
      </c>
      <c r="E370" s="32"/>
      <c r="F370" s="32"/>
      <c r="G370" s="32"/>
      <c r="H370" s="32"/>
      <c r="I370" s="32"/>
      <c r="J370" s="28">
        <f t="shared" ref="J370" si="211">D370*J$11</f>
        <v>2.7187810060922E-2</v>
      </c>
      <c r="K370" s="29"/>
      <c r="L370" s="29"/>
      <c r="M370" s="29"/>
      <c r="N370" s="29"/>
      <c r="O370" s="29"/>
      <c r="P370" s="30">
        <f t="shared" si="209"/>
        <v>2.7187810060922E-2</v>
      </c>
      <c r="Q370" s="31">
        <f t="shared" si="207"/>
        <v>0.29974699999999999</v>
      </c>
    </row>
    <row r="371" spans="1:17" x14ac:dyDescent="0.2">
      <c r="A371" s="10"/>
      <c r="B371" s="26"/>
      <c r="C371" s="11">
        <v>2003</v>
      </c>
      <c r="D371" s="32">
        <f>SPFI_CLB14!$D$26</f>
        <v>0.20691100000000001</v>
      </c>
      <c r="E371" s="32"/>
      <c r="F371" s="32"/>
      <c r="G371" s="32"/>
      <c r="H371" s="32"/>
      <c r="I371" s="32"/>
      <c r="J371" s="28">
        <f t="shared" ref="J371" si="212">D371*J$11</f>
        <v>1.8767350357186002E-2</v>
      </c>
      <c r="K371" s="29"/>
      <c r="L371" s="29"/>
      <c r="M371" s="29"/>
      <c r="N371" s="29"/>
      <c r="O371" s="29"/>
      <c r="P371" s="30">
        <f t="shared" si="209"/>
        <v>1.8767350357186002E-2</v>
      </c>
      <c r="Q371" s="31">
        <f t="shared" si="207"/>
        <v>0.20691100000000001</v>
      </c>
    </row>
    <row r="372" spans="1:17" x14ac:dyDescent="0.2">
      <c r="A372" s="10"/>
      <c r="B372" s="26"/>
      <c r="C372" s="11">
        <v>2004</v>
      </c>
      <c r="D372" s="32">
        <f>SPFI_CLB14!$D$27</f>
        <v>0.269237</v>
      </c>
      <c r="E372" s="32"/>
      <c r="F372" s="32"/>
      <c r="G372" s="32"/>
      <c r="H372" s="32"/>
      <c r="I372" s="32"/>
      <c r="J372" s="28">
        <f t="shared" ref="J372" si="213">D372*J$11</f>
        <v>2.4420475992662002E-2</v>
      </c>
      <c r="K372" s="29"/>
      <c r="L372" s="29"/>
      <c r="M372" s="29"/>
      <c r="N372" s="29"/>
      <c r="O372" s="29"/>
      <c r="P372" s="30">
        <f t="shared" si="209"/>
        <v>2.4420475992662002E-2</v>
      </c>
      <c r="Q372" s="31">
        <f t="shared" si="207"/>
        <v>0.269237</v>
      </c>
    </row>
    <row r="373" spans="1:17" x14ac:dyDescent="0.2">
      <c r="A373" s="10"/>
      <c r="B373" s="26"/>
      <c r="C373" s="11">
        <v>2005</v>
      </c>
      <c r="D373" s="32">
        <f>SPFI_CLB14!$D$28</f>
        <v>0.37848700000000002</v>
      </c>
      <c r="E373" s="32"/>
      <c r="F373" s="32"/>
      <c r="G373" s="32"/>
      <c r="H373" s="32"/>
      <c r="I373" s="32"/>
      <c r="J373" s="28">
        <f t="shared" ref="J373" si="214">D373*J$11</f>
        <v>3.4329726958162006E-2</v>
      </c>
      <c r="K373" s="29"/>
      <c r="L373" s="29"/>
      <c r="M373" s="29"/>
      <c r="N373" s="29"/>
      <c r="O373" s="29"/>
      <c r="P373" s="30">
        <f t="shared" si="209"/>
        <v>3.4329726958162006E-2</v>
      </c>
      <c r="Q373" s="31">
        <f t="shared" ref="Q373:Q378" si="215">IF(C$11&gt;0,P373/C$11,0)</f>
        <v>0.37848700000000002</v>
      </c>
    </row>
    <row r="374" spans="1:17" x14ac:dyDescent="0.2">
      <c r="A374" s="10"/>
      <c r="B374" s="26"/>
      <c r="C374" s="11">
        <v>2006</v>
      </c>
      <c r="D374" s="32">
        <f>SPFI_CLB14!$D$29</f>
        <v>0.381023</v>
      </c>
      <c r="E374" s="32"/>
      <c r="F374" s="32"/>
      <c r="G374" s="32"/>
      <c r="H374" s="32"/>
      <c r="I374" s="32"/>
      <c r="J374" s="28">
        <f t="shared" ref="J374" si="216">D374*J$11</f>
        <v>3.4559748564097999E-2</v>
      </c>
      <c r="K374" s="29"/>
      <c r="L374" s="29"/>
      <c r="M374" s="29"/>
      <c r="N374" s="29"/>
      <c r="O374" s="29"/>
      <c r="P374" s="30">
        <f t="shared" ref="P374:P381" si="217">SUM(J374:O374)</f>
        <v>3.4559748564097999E-2</v>
      </c>
      <c r="Q374" s="31">
        <f t="shared" si="215"/>
        <v>0.38102299999999995</v>
      </c>
    </row>
    <row r="375" spans="1:17" x14ac:dyDescent="0.2">
      <c r="A375" s="10"/>
      <c r="B375" s="26"/>
      <c r="C375" s="11">
        <v>2007</v>
      </c>
      <c r="D375" s="32">
        <f>SPFI_CLB14!$D$30</f>
        <v>0.356512</v>
      </c>
      <c r="E375" s="32"/>
      <c r="F375" s="32"/>
      <c r="G375" s="32"/>
      <c r="H375" s="32"/>
      <c r="I375" s="32"/>
      <c r="J375" s="28">
        <f t="shared" ref="J375" si="218">D375*J$11</f>
        <v>3.2336538949312002E-2</v>
      </c>
      <c r="K375" s="29"/>
      <c r="L375" s="29"/>
      <c r="M375" s="29"/>
      <c r="N375" s="29"/>
      <c r="O375" s="29"/>
      <c r="P375" s="30">
        <f t="shared" si="217"/>
        <v>3.2336538949312002E-2</v>
      </c>
      <c r="Q375" s="31">
        <f t="shared" si="215"/>
        <v>0.356512</v>
      </c>
    </row>
    <row r="376" spans="1:17" x14ac:dyDescent="0.2">
      <c r="A376" s="10"/>
      <c r="B376" s="26"/>
      <c r="C376" s="11">
        <v>2008</v>
      </c>
      <c r="D376" s="32">
        <f>SPFI_CLB14!$D$31</f>
        <v>0.25494499999999998</v>
      </c>
      <c r="E376" s="32"/>
      <c r="F376" s="32"/>
      <c r="G376" s="32"/>
      <c r="H376" s="32"/>
      <c r="I376" s="32"/>
      <c r="J376" s="28">
        <f t="shared" ref="J376" si="219">D376*J$11</f>
        <v>2.3124155491070001E-2</v>
      </c>
      <c r="K376" s="29"/>
      <c r="L376" s="29"/>
      <c r="M376" s="29"/>
      <c r="N376" s="29"/>
      <c r="O376" s="29"/>
      <c r="P376" s="30">
        <f t="shared" si="217"/>
        <v>2.3124155491070001E-2</v>
      </c>
      <c r="Q376" s="31">
        <f t="shared" si="215"/>
        <v>0.25494499999999998</v>
      </c>
    </row>
    <row r="377" spans="1:17" x14ac:dyDescent="0.2">
      <c r="A377" s="10"/>
      <c r="B377" s="26"/>
      <c r="C377" s="11">
        <v>2009</v>
      </c>
      <c r="D377" s="32">
        <f>SPFI_CLB14!$D$32</f>
        <v>0.52383000000000002</v>
      </c>
      <c r="E377" s="32"/>
      <c r="F377" s="32"/>
      <c r="G377" s="32"/>
      <c r="H377" s="32"/>
      <c r="I377" s="32"/>
      <c r="J377" s="28">
        <f t="shared" ref="J377" si="220">D377*J$11</f>
        <v>4.7512704194580008E-2</v>
      </c>
      <c r="K377" s="29"/>
      <c r="L377" s="29"/>
      <c r="M377" s="29"/>
      <c r="N377" s="29"/>
      <c r="O377" s="29"/>
      <c r="P377" s="30">
        <f t="shared" si="217"/>
        <v>4.7512704194580008E-2</v>
      </c>
      <c r="Q377" s="31">
        <f t="shared" si="215"/>
        <v>0.52383000000000002</v>
      </c>
    </row>
    <row r="378" spans="1:17" x14ac:dyDescent="0.2">
      <c r="A378" s="10"/>
      <c r="B378" s="26"/>
      <c r="C378" s="11">
        <v>2010</v>
      </c>
      <c r="D378" s="32">
        <f>SPFI_CLB14!$D$33</f>
        <v>0.31394</v>
      </c>
      <c r="E378" s="32"/>
      <c r="F378" s="32"/>
      <c r="G378" s="32"/>
      <c r="H378" s="32"/>
      <c r="I378" s="32"/>
      <c r="J378" s="28">
        <f t="shared" ref="J378" si="221">D378*J$11</f>
        <v>2.8475151012440001E-2</v>
      </c>
      <c r="K378" s="29"/>
      <c r="L378" s="29"/>
      <c r="M378" s="29"/>
      <c r="N378" s="29"/>
      <c r="O378" s="29"/>
      <c r="P378" s="30">
        <f t="shared" si="217"/>
        <v>2.8475151012440001E-2</v>
      </c>
      <c r="Q378" s="31">
        <f t="shared" si="215"/>
        <v>0.31394</v>
      </c>
    </row>
    <row r="379" spans="1:17" x14ac:dyDescent="0.2">
      <c r="A379" s="10"/>
      <c r="B379" s="26"/>
      <c r="C379" s="11">
        <v>2011</v>
      </c>
      <c r="D379" s="32">
        <f>SPFI_CLB14!$D$34</f>
        <v>0.294348</v>
      </c>
      <c r="E379" s="32"/>
      <c r="F379" s="32"/>
      <c r="G379" s="32"/>
      <c r="H379" s="32"/>
      <c r="I379" s="32"/>
      <c r="J379" s="28">
        <f t="shared" ref="J379" si="222">D379*J$11</f>
        <v>2.6698107123048001E-2</v>
      </c>
      <c r="K379" s="29"/>
      <c r="L379" s="29"/>
      <c r="M379" s="29"/>
      <c r="N379" s="29"/>
      <c r="O379" s="29"/>
      <c r="P379" s="30">
        <f t="shared" ref="P379" si="223">SUM(J379:O379)</f>
        <v>2.6698107123048001E-2</v>
      </c>
      <c r="Q379" s="31">
        <f t="shared" ref="Q379" si="224">IF(C$11&gt;0,P379/C$11,0)</f>
        <v>0.294348</v>
      </c>
    </row>
    <row r="380" spans="1:17" x14ac:dyDescent="0.2">
      <c r="A380" s="10"/>
      <c r="B380" s="26"/>
      <c r="C380" s="11">
        <v>2012</v>
      </c>
      <c r="D380" s="32">
        <f>SPFI_CLB14!$D$35</f>
        <v>0.34784100000000001</v>
      </c>
      <c r="E380" s="32"/>
      <c r="F380" s="32"/>
      <c r="G380" s="32"/>
      <c r="H380" s="32"/>
      <c r="I380" s="32"/>
      <c r="J380" s="28">
        <f t="shared" ref="J380" si="225">D380*J$11</f>
        <v>3.1550057346366005E-2</v>
      </c>
      <c r="K380" s="29"/>
      <c r="L380" s="29"/>
      <c r="M380" s="29"/>
      <c r="N380" s="29"/>
      <c r="O380" s="29"/>
      <c r="P380" s="30">
        <f t="shared" ref="P380" si="226">SUM(J380:O380)</f>
        <v>3.1550057346366005E-2</v>
      </c>
      <c r="Q380" s="31">
        <f t="shared" ref="Q380" si="227">IF(C$11&gt;0,P380/C$11,0)</f>
        <v>0.34784100000000001</v>
      </c>
    </row>
    <row r="381" spans="1:17" x14ac:dyDescent="0.2">
      <c r="A381" s="5" t="s">
        <v>8</v>
      </c>
      <c r="B381" s="21">
        <v>2</v>
      </c>
      <c r="C381" s="6">
        <v>1982</v>
      </c>
      <c r="D381" s="27">
        <f>SPFI_CLB14!$D$5</f>
        <v>0.98153299999999999</v>
      </c>
      <c r="E381" s="27"/>
      <c r="F381" s="27"/>
      <c r="G381" s="27"/>
      <c r="H381" s="27"/>
      <c r="I381" s="27"/>
      <c r="J381" s="33">
        <f t="shared" ref="J381:J393" si="228">D381*J$12</f>
        <v>1.0252869928476E-2</v>
      </c>
      <c r="K381" s="27"/>
      <c r="L381" s="27"/>
      <c r="M381" s="27"/>
      <c r="N381" s="27"/>
      <c r="O381" s="27"/>
      <c r="P381" s="34">
        <f t="shared" si="217"/>
        <v>1.0252869928476E-2</v>
      </c>
      <c r="Q381" s="35">
        <f t="shared" ref="Q381:Q397" si="229">IF(C$12&gt;0,P381/C$12,0)</f>
        <v>0.98153299999999999</v>
      </c>
    </row>
    <row r="382" spans="1:17" x14ac:dyDescent="0.2">
      <c r="A382" s="10"/>
      <c r="B382" s="26"/>
      <c r="C382" s="11">
        <v>1983</v>
      </c>
      <c r="D382" s="32">
        <f>SPFI_CLB14!$D$6</f>
        <v>0.93659899999999996</v>
      </c>
      <c r="E382" s="32"/>
      <c r="F382" s="32"/>
      <c r="G382" s="32"/>
      <c r="H382" s="32"/>
      <c r="I382" s="32"/>
      <c r="J382" s="28">
        <f t="shared" si="228"/>
        <v>9.7834996094280004E-3</v>
      </c>
      <c r="K382" s="29"/>
      <c r="L382" s="29"/>
      <c r="M382" s="29"/>
      <c r="N382" s="29"/>
      <c r="O382" s="29"/>
      <c r="P382" s="30">
        <f t="shared" ref="P382:P393" si="230">SUM(J382:O382)</f>
        <v>9.7834996094280004E-3</v>
      </c>
      <c r="Q382" s="31">
        <f t="shared" si="229"/>
        <v>0.93659899999999996</v>
      </c>
    </row>
    <row r="383" spans="1:17" x14ac:dyDescent="0.2">
      <c r="A383" s="10"/>
      <c r="B383" s="26"/>
      <c r="C383" s="11">
        <v>1984</v>
      </c>
      <c r="D383" s="32">
        <f>SPFI_CLB14!$D$7</f>
        <v>0.92793599999999998</v>
      </c>
      <c r="E383" s="32"/>
      <c r="F383" s="32"/>
      <c r="G383" s="32"/>
      <c r="H383" s="32"/>
      <c r="I383" s="32"/>
      <c r="J383" s="28">
        <f t="shared" si="228"/>
        <v>9.6930078865920012E-3</v>
      </c>
      <c r="K383" s="29"/>
      <c r="L383" s="29"/>
      <c r="M383" s="29"/>
      <c r="N383" s="29"/>
      <c r="O383" s="29"/>
      <c r="P383" s="30">
        <f t="shared" si="230"/>
        <v>9.6930078865920012E-3</v>
      </c>
      <c r="Q383" s="31">
        <f t="shared" si="229"/>
        <v>0.92793600000000009</v>
      </c>
    </row>
    <row r="384" spans="1:17" x14ac:dyDescent="0.2">
      <c r="A384" s="10"/>
      <c r="B384" s="26"/>
      <c r="C384" s="11">
        <v>1985</v>
      </c>
      <c r="D384" s="32">
        <f>SPFI_CLB14!$D$8</f>
        <v>0.90386500000000003</v>
      </c>
      <c r="E384" s="32"/>
      <c r="F384" s="32"/>
      <c r="G384" s="32"/>
      <c r="H384" s="32"/>
      <c r="I384" s="32"/>
      <c r="J384" s="28">
        <f t="shared" si="228"/>
        <v>9.4415677087800014E-3</v>
      </c>
      <c r="K384" s="29"/>
      <c r="L384" s="29"/>
      <c r="M384" s="29"/>
      <c r="N384" s="29"/>
      <c r="O384" s="29"/>
      <c r="P384" s="30">
        <f t="shared" si="230"/>
        <v>9.4415677087800014E-3</v>
      </c>
      <c r="Q384" s="31">
        <f t="shared" si="229"/>
        <v>0.90386500000000003</v>
      </c>
    </row>
    <row r="385" spans="1:17" x14ac:dyDescent="0.2">
      <c r="A385" s="10"/>
      <c r="B385" s="26"/>
      <c r="C385" s="11">
        <v>1986</v>
      </c>
      <c r="D385" s="32">
        <f>SPFI_CLB14!$D$9</f>
        <v>0.73087500000000005</v>
      </c>
      <c r="E385" s="32"/>
      <c r="F385" s="32"/>
      <c r="G385" s="32"/>
      <c r="H385" s="32"/>
      <c r="I385" s="32"/>
      <c r="J385" s="28">
        <f t="shared" si="228"/>
        <v>7.6345536105000009E-3</v>
      </c>
      <c r="K385" s="29"/>
      <c r="L385" s="29"/>
      <c r="M385" s="29"/>
      <c r="N385" s="29"/>
      <c r="O385" s="29"/>
      <c r="P385" s="30">
        <f t="shared" si="230"/>
        <v>7.6345536105000009E-3</v>
      </c>
      <c r="Q385" s="31">
        <f t="shared" si="229"/>
        <v>0.73087500000000005</v>
      </c>
    </row>
    <row r="386" spans="1:17" x14ac:dyDescent="0.2">
      <c r="A386" s="10"/>
      <c r="B386" s="26"/>
      <c r="C386" s="11">
        <v>1987</v>
      </c>
      <c r="D386" s="32">
        <f>SPFI_CLB14!$D$10</f>
        <v>0.71733499999999994</v>
      </c>
      <c r="E386" s="32"/>
      <c r="F386" s="32"/>
      <c r="G386" s="32"/>
      <c r="H386" s="32"/>
      <c r="I386" s="32"/>
      <c r="J386" s="28">
        <f t="shared" si="228"/>
        <v>7.4931178576199998E-3</v>
      </c>
      <c r="K386" s="29"/>
      <c r="L386" s="29"/>
      <c r="M386" s="29"/>
      <c r="N386" s="29"/>
      <c r="O386" s="29"/>
      <c r="P386" s="30">
        <f t="shared" si="230"/>
        <v>7.4931178576199998E-3</v>
      </c>
      <c r="Q386" s="31">
        <f t="shared" si="229"/>
        <v>0.71733499999999994</v>
      </c>
    </row>
    <row r="387" spans="1:17" x14ac:dyDescent="0.2">
      <c r="A387" s="10"/>
      <c r="B387" s="26"/>
      <c r="C387" s="11">
        <v>1988</v>
      </c>
      <c r="D387" s="32">
        <f>SPFI_CLB14!$D$11</f>
        <v>0.64558800000000005</v>
      </c>
      <c r="E387" s="32"/>
      <c r="F387" s="32"/>
      <c r="G387" s="32"/>
      <c r="H387" s="32"/>
      <c r="I387" s="32"/>
      <c r="J387" s="28">
        <f t="shared" si="228"/>
        <v>6.7436650539360009E-3</v>
      </c>
      <c r="K387" s="29"/>
      <c r="L387" s="29"/>
      <c r="M387" s="29"/>
      <c r="N387" s="29"/>
      <c r="O387" s="29"/>
      <c r="P387" s="30">
        <f t="shared" si="230"/>
        <v>6.7436650539360009E-3</v>
      </c>
      <c r="Q387" s="31">
        <f t="shared" si="229"/>
        <v>0.64558800000000005</v>
      </c>
    </row>
    <row r="388" spans="1:17" x14ac:dyDescent="0.2">
      <c r="A388" s="10"/>
      <c r="B388" s="26"/>
      <c r="C388" s="11">
        <v>1989</v>
      </c>
      <c r="D388" s="32">
        <f>SPFI_CLB14!$D$12</f>
        <v>0.65287700000000004</v>
      </c>
      <c r="E388" s="32"/>
      <c r="F388" s="32"/>
      <c r="G388" s="32"/>
      <c r="H388" s="32"/>
      <c r="I388" s="32"/>
      <c r="J388" s="28">
        <f t="shared" si="228"/>
        <v>6.8198042860440006E-3</v>
      </c>
      <c r="K388" s="29"/>
      <c r="L388" s="29"/>
      <c r="M388" s="29"/>
      <c r="N388" s="29"/>
      <c r="O388" s="29"/>
      <c r="P388" s="30">
        <f t="shared" si="230"/>
        <v>6.8198042860440006E-3</v>
      </c>
      <c r="Q388" s="31">
        <f t="shared" si="229"/>
        <v>0.65287700000000004</v>
      </c>
    </row>
    <row r="389" spans="1:17" x14ac:dyDescent="0.2">
      <c r="A389" s="10"/>
      <c r="B389" s="26"/>
      <c r="C389" s="11">
        <v>1990</v>
      </c>
      <c r="D389" s="32">
        <f>SPFI_CLB14!$D$13</f>
        <v>0.56965100000000002</v>
      </c>
      <c r="E389" s="32"/>
      <c r="F389" s="32"/>
      <c r="G389" s="32"/>
      <c r="H389" s="32"/>
      <c r="I389" s="32"/>
      <c r="J389" s="28">
        <f t="shared" si="228"/>
        <v>5.9504444655720003E-3</v>
      </c>
      <c r="K389" s="29"/>
      <c r="L389" s="29"/>
      <c r="M389" s="29"/>
      <c r="N389" s="29"/>
      <c r="O389" s="29"/>
      <c r="P389" s="30">
        <f t="shared" si="230"/>
        <v>5.9504444655720003E-3</v>
      </c>
      <c r="Q389" s="31">
        <f t="shared" si="229"/>
        <v>0.56965100000000002</v>
      </c>
    </row>
    <row r="390" spans="1:17" x14ac:dyDescent="0.2">
      <c r="A390" s="10"/>
      <c r="B390" s="26"/>
      <c r="C390" s="11">
        <v>1991</v>
      </c>
      <c r="D390" s="32">
        <f>SPFI_CLB14!$D$14</f>
        <v>0.62776900000000002</v>
      </c>
      <c r="E390" s="32"/>
      <c r="F390" s="32"/>
      <c r="G390" s="32"/>
      <c r="H390" s="32"/>
      <c r="I390" s="32"/>
      <c r="J390" s="28">
        <f t="shared" si="228"/>
        <v>6.5575318426680006E-3</v>
      </c>
      <c r="K390" s="29"/>
      <c r="L390" s="29"/>
      <c r="M390" s="29"/>
      <c r="N390" s="29"/>
      <c r="O390" s="29"/>
      <c r="P390" s="30">
        <f t="shared" si="230"/>
        <v>6.5575318426680006E-3</v>
      </c>
      <c r="Q390" s="31">
        <f t="shared" si="229"/>
        <v>0.62776900000000002</v>
      </c>
    </row>
    <row r="391" spans="1:17" x14ac:dyDescent="0.2">
      <c r="A391" s="10"/>
      <c r="B391" s="26"/>
      <c r="C391" s="11">
        <v>1992</v>
      </c>
      <c r="D391" s="32">
        <f>SPFI_CLB14!$D$15</f>
        <v>0.43504100000000001</v>
      </c>
      <c r="E391" s="32"/>
      <c r="F391" s="32"/>
      <c r="G391" s="32"/>
      <c r="H391" s="32"/>
      <c r="I391" s="32"/>
      <c r="J391" s="28">
        <f t="shared" si="228"/>
        <v>4.5443390966520003E-3</v>
      </c>
      <c r="K391" s="29"/>
      <c r="L391" s="29"/>
      <c r="M391" s="29"/>
      <c r="N391" s="29"/>
      <c r="O391" s="29"/>
      <c r="P391" s="30">
        <f t="shared" si="230"/>
        <v>4.5443390966520003E-3</v>
      </c>
      <c r="Q391" s="31">
        <f t="shared" si="229"/>
        <v>0.43504100000000001</v>
      </c>
    </row>
    <row r="392" spans="1:17" x14ac:dyDescent="0.2">
      <c r="A392" s="10"/>
      <c r="B392" s="26"/>
      <c r="C392" s="11">
        <v>1993</v>
      </c>
      <c r="D392" s="32">
        <f>SPFI_CLB14!$D$16</f>
        <v>0.499164</v>
      </c>
      <c r="E392" s="32"/>
      <c r="F392" s="32"/>
      <c r="G392" s="32"/>
      <c r="H392" s="32"/>
      <c r="I392" s="32"/>
      <c r="J392" s="28">
        <f t="shared" si="228"/>
        <v>5.2141533346080002E-3</v>
      </c>
      <c r="K392" s="29"/>
      <c r="L392" s="29"/>
      <c r="M392" s="29"/>
      <c r="N392" s="29"/>
      <c r="O392" s="29"/>
      <c r="P392" s="30">
        <f t="shared" si="230"/>
        <v>5.2141533346080002E-3</v>
      </c>
      <c r="Q392" s="31">
        <f t="shared" si="229"/>
        <v>0.499164</v>
      </c>
    </row>
    <row r="393" spans="1:17" x14ac:dyDescent="0.2">
      <c r="A393" s="10"/>
      <c r="B393" s="26"/>
      <c r="C393" s="11">
        <v>1994</v>
      </c>
      <c r="D393" s="32">
        <f>SPFI_CLB14!$D$17</f>
        <v>0.59591300000000003</v>
      </c>
      <c r="E393" s="32"/>
      <c r="F393" s="32"/>
      <c r="G393" s="32"/>
      <c r="H393" s="32"/>
      <c r="I393" s="32"/>
      <c r="J393" s="28">
        <f t="shared" si="228"/>
        <v>6.224771329836001E-3</v>
      </c>
      <c r="K393" s="29"/>
      <c r="L393" s="29"/>
      <c r="M393" s="29"/>
      <c r="N393" s="29"/>
      <c r="O393" s="29"/>
      <c r="P393" s="30">
        <f t="shared" si="230"/>
        <v>6.224771329836001E-3</v>
      </c>
      <c r="Q393" s="31">
        <f t="shared" si="229"/>
        <v>0.59591300000000003</v>
      </c>
    </row>
    <row r="394" spans="1:17" x14ac:dyDescent="0.2">
      <c r="A394" s="10"/>
      <c r="B394" s="26"/>
      <c r="C394" s="11">
        <v>1995</v>
      </c>
      <c r="D394" s="32">
        <f>SPFI_CLB14!$D$18</f>
        <v>0.25400800000000001</v>
      </c>
      <c r="E394" s="32"/>
      <c r="F394" s="32"/>
      <c r="G394" s="32"/>
      <c r="H394" s="32"/>
      <c r="I394" s="32"/>
      <c r="J394" s="28">
        <f t="shared" ref="J394" si="231">D394*J$12</f>
        <v>2.6533096541760002E-3</v>
      </c>
      <c r="K394" s="29"/>
      <c r="L394" s="29"/>
      <c r="M394" s="29"/>
      <c r="N394" s="29"/>
      <c r="O394" s="29"/>
      <c r="P394" s="30">
        <f>SUM(J394:O394)</f>
        <v>2.6533096541760002E-3</v>
      </c>
      <c r="Q394" s="31">
        <f t="shared" si="229"/>
        <v>0.25400800000000001</v>
      </c>
    </row>
    <row r="395" spans="1:17" x14ac:dyDescent="0.2">
      <c r="A395" s="10"/>
      <c r="B395" s="26"/>
      <c r="C395" s="11">
        <v>1996</v>
      </c>
      <c r="D395" s="32">
        <f>SPFI_CLB14!$D$19</f>
        <v>0</v>
      </c>
      <c r="E395" s="32"/>
      <c r="F395" s="32"/>
      <c r="G395" s="32"/>
      <c r="H395" s="32"/>
      <c r="I395" s="32"/>
      <c r="J395" s="28">
        <f t="shared" ref="J395" si="232">D395*J$12</f>
        <v>0</v>
      </c>
      <c r="K395" s="29"/>
      <c r="L395" s="29"/>
      <c r="M395" s="29"/>
      <c r="N395" s="29"/>
      <c r="O395" s="29"/>
      <c r="P395" s="30">
        <f>SUM(J395:O395)</f>
        <v>0</v>
      </c>
      <c r="Q395" s="31">
        <f t="shared" si="229"/>
        <v>0</v>
      </c>
    </row>
    <row r="396" spans="1:17" x14ac:dyDescent="0.2">
      <c r="A396" s="10"/>
      <c r="B396" s="26"/>
      <c r="C396" s="11">
        <v>1997</v>
      </c>
      <c r="D396" s="32">
        <f>SPFI_CLB14!$D$20</f>
        <v>0.201487</v>
      </c>
      <c r="E396" s="32"/>
      <c r="F396" s="32"/>
      <c r="G396" s="32"/>
      <c r="H396" s="32"/>
      <c r="I396" s="32"/>
      <c r="J396" s="28">
        <f t="shared" ref="J396" si="233">D396*J$12</f>
        <v>2.104687262964E-3</v>
      </c>
      <c r="K396" s="29"/>
      <c r="L396" s="29"/>
      <c r="M396" s="29"/>
      <c r="N396" s="29"/>
      <c r="O396" s="29"/>
      <c r="P396" s="30">
        <f>SUM(J396:O396)</f>
        <v>2.104687262964E-3</v>
      </c>
      <c r="Q396" s="31">
        <f t="shared" si="229"/>
        <v>0.201487</v>
      </c>
    </row>
    <row r="397" spans="1:17" x14ac:dyDescent="0.2">
      <c r="A397" s="10"/>
      <c r="B397" s="26"/>
      <c r="C397" s="11">
        <v>1998</v>
      </c>
      <c r="D397" s="32">
        <f>SPFI_CLB14!$D$21</f>
        <v>0.37506400000000001</v>
      </c>
      <c r="E397" s="32"/>
      <c r="F397" s="32"/>
      <c r="G397" s="32"/>
      <c r="H397" s="32"/>
      <c r="I397" s="32"/>
      <c r="J397" s="28">
        <f t="shared" ref="J397" si="234">D397*J$12</f>
        <v>3.9178330294080002E-3</v>
      </c>
      <c r="K397" s="29"/>
      <c r="L397" s="29"/>
      <c r="M397" s="29"/>
      <c r="N397" s="29"/>
      <c r="O397" s="29"/>
      <c r="P397" s="30">
        <f>SUM(J397:O397)</f>
        <v>3.9178330294080002E-3</v>
      </c>
      <c r="Q397" s="31">
        <f t="shared" si="229"/>
        <v>0.37506400000000001</v>
      </c>
    </row>
    <row r="398" spans="1:17" x14ac:dyDescent="0.2">
      <c r="A398" s="10"/>
      <c r="B398" s="26"/>
      <c r="C398" s="11">
        <v>1999</v>
      </c>
      <c r="D398" s="32">
        <f>SPFI_CLB14!$D$22</f>
        <v>0.29823699999999997</v>
      </c>
      <c r="E398" s="32"/>
      <c r="F398" s="32"/>
      <c r="G398" s="32"/>
      <c r="H398" s="32"/>
      <c r="I398" s="32"/>
      <c r="J398" s="28">
        <f t="shared" ref="J398" si="235">D398*J$12</f>
        <v>3.115315703964E-3</v>
      </c>
      <c r="K398" s="29"/>
      <c r="L398" s="29"/>
      <c r="M398" s="29"/>
      <c r="N398" s="29"/>
      <c r="O398" s="29"/>
      <c r="P398" s="30">
        <f>SUM(J398:O398)</f>
        <v>3.115315703964E-3</v>
      </c>
      <c r="Q398" s="31">
        <f t="shared" ref="Q398:Q403" si="236">IF(C$12&gt;0,P398/C$12,0)</f>
        <v>0.29823699999999997</v>
      </c>
    </row>
    <row r="399" spans="1:17" x14ac:dyDescent="0.2">
      <c r="A399" s="10"/>
      <c r="B399" s="26"/>
      <c r="C399" s="11">
        <v>2000</v>
      </c>
      <c r="D399" s="32">
        <f>SPFI_CLB14!$D$23</f>
        <v>8.4414000000000003E-2</v>
      </c>
      <c r="E399" s="32"/>
      <c r="F399" s="32"/>
      <c r="G399" s="32"/>
      <c r="H399" s="32"/>
      <c r="I399" s="32"/>
      <c r="J399" s="28">
        <f t="shared" ref="J399" si="237">D399*J$12</f>
        <v>8.8176939760800004E-4</v>
      </c>
      <c r="K399" s="29"/>
      <c r="L399" s="29"/>
      <c r="M399" s="29"/>
      <c r="N399" s="29"/>
      <c r="O399" s="29"/>
      <c r="P399" s="30">
        <f t="shared" ref="P399:P404" si="238">SUM(J399:O399)</f>
        <v>8.8176939760800004E-4</v>
      </c>
      <c r="Q399" s="31">
        <f t="shared" si="236"/>
        <v>8.4414000000000003E-2</v>
      </c>
    </row>
    <row r="400" spans="1:17" x14ac:dyDescent="0.2">
      <c r="A400" s="10"/>
      <c r="B400" s="26"/>
      <c r="C400" s="11">
        <v>2001</v>
      </c>
      <c r="D400" s="32">
        <f>SPFI_CLB14!$D$24</f>
        <v>7.8909000000000007E-2</v>
      </c>
      <c r="E400" s="32"/>
      <c r="F400" s="32"/>
      <c r="G400" s="32"/>
      <c r="H400" s="32"/>
      <c r="I400" s="32"/>
      <c r="J400" s="28">
        <f t="shared" ref="J400" si="239">D400*J$12</f>
        <v>8.2426542274800015E-4</v>
      </c>
      <c r="K400" s="29"/>
      <c r="L400" s="29"/>
      <c r="M400" s="29"/>
      <c r="N400" s="29"/>
      <c r="O400" s="29"/>
      <c r="P400" s="30">
        <f t="shared" si="238"/>
        <v>8.2426542274800015E-4</v>
      </c>
      <c r="Q400" s="31">
        <f t="shared" si="236"/>
        <v>7.8909000000000007E-2</v>
      </c>
    </row>
    <row r="401" spans="1:17" x14ac:dyDescent="0.2">
      <c r="A401" s="10"/>
      <c r="B401" s="26"/>
      <c r="C401" s="11">
        <v>2002</v>
      </c>
      <c r="D401" s="32">
        <f>SPFI_CLB14!$D$25</f>
        <v>0.29974699999999999</v>
      </c>
      <c r="E401" s="32"/>
      <c r="F401" s="32"/>
      <c r="G401" s="32"/>
      <c r="H401" s="32"/>
      <c r="I401" s="32"/>
      <c r="J401" s="28">
        <f t="shared" ref="J401" si="240">D401*J$12</f>
        <v>3.1310888196840001E-3</v>
      </c>
      <c r="K401" s="29"/>
      <c r="L401" s="29"/>
      <c r="M401" s="29"/>
      <c r="N401" s="29"/>
      <c r="O401" s="29"/>
      <c r="P401" s="30">
        <f t="shared" si="238"/>
        <v>3.1310888196840001E-3</v>
      </c>
      <c r="Q401" s="31">
        <f t="shared" si="236"/>
        <v>0.29974699999999999</v>
      </c>
    </row>
    <row r="402" spans="1:17" x14ac:dyDescent="0.2">
      <c r="A402" s="10"/>
      <c r="B402" s="26"/>
      <c r="C402" s="11">
        <v>2003</v>
      </c>
      <c r="D402" s="32">
        <f>SPFI_CLB14!$D$26</f>
        <v>0.20691100000000001</v>
      </c>
      <c r="E402" s="32"/>
      <c r="F402" s="32"/>
      <c r="G402" s="32"/>
      <c r="H402" s="32"/>
      <c r="I402" s="32"/>
      <c r="J402" s="28">
        <f t="shared" ref="J402" si="241">D402*J$12</f>
        <v>2.1613451302920001E-3</v>
      </c>
      <c r="K402" s="29"/>
      <c r="L402" s="29"/>
      <c r="M402" s="29"/>
      <c r="N402" s="29"/>
      <c r="O402" s="29"/>
      <c r="P402" s="30">
        <f t="shared" si="238"/>
        <v>2.1613451302920001E-3</v>
      </c>
      <c r="Q402" s="31">
        <f t="shared" si="236"/>
        <v>0.20691099999999998</v>
      </c>
    </row>
    <row r="403" spans="1:17" x14ac:dyDescent="0.2">
      <c r="A403" s="10"/>
      <c r="B403" s="26"/>
      <c r="C403" s="11">
        <v>2004</v>
      </c>
      <c r="D403" s="32">
        <f>SPFI_CLB14!$D$27</f>
        <v>0.269237</v>
      </c>
      <c r="E403" s="32"/>
      <c r="F403" s="32"/>
      <c r="G403" s="32"/>
      <c r="H403" s="32"/>
      <c r="I403" s="32"/>
      <c r="J403" s="28">
        <f t="shared" ref="J403" si="242">D403*J$12</f>
        <v>2.8123883159640001E-3</v>
      </c>
      <c r="K403" s="29"/>
      <c r="L403" s="29"/>
      <c r="M403" s="29"/>
      <c r="N403" s="29"/>
      <c r="O403" s="29"/>
      <c r="P403" s="30">
        <f t="shared" si="238"/>
        <v>2.8123883159640001E-3</v>
      </c>
      <c r="Q403" s="31">
        <f t="shared" si="236"/>
        <v>0.269237</v>
      </c>
    </row>
    <row r="404" spans="1:17" x14ac:dyDescent="0.2">
      <c r="A404" s="10"/>
      <c r="B404" s="26"/>
      <c r="C404" s="11">
        <v>2005</v>
      </c>
      <c r="D404" s="32">
        <f>SPFI_CLB14!$D$28</f>
        <v>0.37848700000000002</v>
      </c>
      <c r="E404" s="32"/>
      <c r="F404" s="32"/>
      <c r="G404" s="32"/>
      <c r="H404" s="32"/>
      <c r="I404" s="32"/>
      <c r="J404" s="28">
        <f t="shared" ref="J404" si="243">D404*J$12</f>
        <v>3.9535889069640005E-3</v>
      </c>
      <c r="K404" s="29"/>
      <c r="L404" s="29"/>
      <c r="M404" s="29"/>
      <c r="N404" s="29"/>
      <c r="O404" s="29"/>
      <c r="P404" s="30">
        <f t="shared" si="238"/>
        <v>3.9535889069640005E-3</v>
      </c>
      <c r="Q404" s="31">
        <f t="shared" ref="Q404:Q409" si="244">IF(C$12&gt;0,P404/C$12,0)</f>
        <v>0.37848700000000002</v>
      </c>
    </row>
    <row r="405" spans="1:17" x14ac:dyDescent="0.2">
      <c r="A405" s="10"/>
      <c r="B405" s="26"/>
      <c r="C405" s="11">
        <v>2006</v>
      </c>
      <c r="D405" s="32">
        <f>SPFI_CLB14!$D$29</f>
        <v>0.381023</v>
      </c>
      <c r="E405" s="32"/>
      <c r="F405" s="32"/>
      <c r="G405" s="32"/>
      <c r="H405" s="32"/>
      <c r="I405" s="32"/>
      <c r="J405" s="28">
        <f t="shared" ref="J405" si="245">D405*J$12</f>
        <v>3.9800793847560006E-3</v>
      </c>
      <c r="K405" s="29"/>
      <c r="L405" s="29"/>
      <c r="M405" s="29"/>
      <c r="N405" s="29"/>
      <c r="O405" s="29"/>
      <c r="P405" s="30">
        <f t="shared" ref="P405:P412" si="246">SUM(J405:O405)</f>
        <v>3.9800793847560006E-3</v>
      </c>
      <c r="Q405" s="31">
        <f t="shared" si="244"/>
        <v>0.38102300000000006</v>
      </c>
    </row>
    <row r="406" spans="1:17" x14ac:dyDescent="0.2">
      <c r="A406" s="10"/>
      <c r="B406" s="26"/>
      <c r="C406" s="11">
        <v>2007</v>
      </c>
      <c r="D406" s="32">
        <f>SPFI_CLB14!$D$30</f>
        <v>0.356512</v>
      </c>
      <c r="E406" s="32"/>
      <c r="F406" s="32"/>
      <c r="G406" s="32"/>
      <c r="H406" s="32"/>
      <c r="I406" s="32"/>
      <c r="J406" s="28">
        <f t="shared" ref="J406" si="247">D406*J$12</f>
        <v>3.7240430672640002E-3</v>
      </c>
      <c r="K406" s="29"/>
      <c r="L406" s="29"/>
      <c r="M406" s="29"/>
      <c r="N406" s="29"/>
      <c r="O406" s="29"/>
      <c r="P406" s="30">
        <f t="shared" si="246"/>
        <v>3.7240430672640002E-3</v>
      </c>
      <c r="Q406" s="31">
        <f t="shared" si="244"/>
        <v>0.356512</v>
      </c>
    </row>
    <row r="407" spans="1:17" x14ac:dyDescent="0.2">
      <c r="A407" s="10"/>
      <c r="B407" s="26"/>
      <c r="C407" s="11">
        <v>2008</v>
      </c>
      <c r="D407" s="32">
        <f>SPFI_CLB14!$D$31</f>
        <v>0.25494499999999998</v>
      </c>
      <c r="E407" s="32"/>
      <c r="F407" s="32"/>
      <c r="G407" s="32"/>
      <c r="H407" s="32"/>
      <c r="I407" s="32"/>
      <c r="J407" s="28">
        <f t="shared" ref="J407" si="248">D407*J$12</f>
        <v>2.66309734254E-3</v>
      </c>
      <c r="K407" s="29"/>
      <c r="L407" s="29"/>
      <c r="M407" s="29"/>
      <c r="N407" s="29"/>
      <c r="O407" s="29"/>
      <c r="P407" s="30">
        <f t="shared" si="246"/>
        <v>2.66309734254E-3</v>
      </c>
      <c r="Q407" s="31">
        <f t="shared" si="244"/>
        <v>0.25494499999999998</v>
      </c>
    </row>
    <row r="408" spans="1:17" x14ac:dyDescent="0.2">
      <c r="A408" s="10"/>
      <c r="B408" s="26"/>
      <c r="C408" s="11">
        <v>2009</v>
      </c>
      <c r="D408" s="32">
        <f>SPFI_CLB14!$D$32</f>
        <v>0.52383000000000002</v>
      </c>
      <c r="E408" s="32"/>
      <c r="F408" s="32"/>
      <c r="G408" s="32"/>
      <c r="H408" s="32"/>
      <c r="I408" s="32"/>
      <c r="J408" s="28">
        <f t="shared" ref="J408" si="249">D408*J$12</f>
        <v>5.4718087467600009E-3</v>
      </c>
      <c r="K408" s="29"/>
      <c r="L408" s="29"/>
      <c r="M408" s="29"/>
      <c r="N408" s="29"/>
      <c r="O408" s="29"/>
      <c r="P408" s="30">
        <f t="shared" si="246"/>
        <v>5.4718087467600009E-3</v>
      </c>
      <c r="Q408" s="31">
        <f t="shared" si="244"/>
        <v>0.52383000000000002</v>
      </c>
    </row>
    <row r="409" spans="1:17" x14ac:dyDescent="0.2">
      <c r="A409" s="10"/>
      <c r="B409" s="26"/>
      <c r="C409" s="11">
        <v>2010</v>
      </c>
      <c r="D409" s="32">
        <f>SPFI_CLB14!$D$33</f>
        <v>0.31394</v>
      </c>
      <c r="E409" s="32"/>
      <c r="F409" s="32"/>
      <c r="G409" s="32"/>
      <c r="H409" s="32"/>
      <c r="I409" s="32"/>
      <c r="J409" s="28">
        <f t="shared" ref="J409" si="250">D409*J$12</f>
        <v>3.2793456616800002E-3</v>
      </c>
      <c r="K409" s="29"/>
      <c r="L409" s="29"/>
      <c r="M409" s="29"/>
      <c r="N409" s="29"/>
      <c r="O409" s="29"/>
      <c r="P409" s="30">
        <f t="shared" si="246"/>
        <v>3.2793456616800002E-3</v>
      </c>
      <c r="Q409" s="31">
        <f t="shared" si="244"/>
        <v>0.31394</v>
      </c>
    </row>
    <row r="410" spans="1:17" x14ac:dyDescent="0.2">
      <c r="A410" s="10"/>
      <c r="B410" s="26"/>
      <c r="C410" s="11">
        <v>2011</v>
      </c>
      <c r="D410" s="32">
        <f>SPFI_CLB14!$D$34</f>
        <v>0.294348</v>
      </c>
      <c r="E410" s="32"/>
      <c r="F410" s="32"/>
      <c r="G410" s="32"/>
      <c r="H410" s="32"/>
      <c r="I410" s="32"/>
      <c r="J410" s="28">
        <f t="shared" ref="J410" si="251">D410*J$12</f>
        <v>3.074692096656E-3</v>
      </c>
      <c r="K410" s="29"/>
      <c r="L410" s="29"/>
      <c r="M410" s="29"/>
      <c r="N410" s="29"/>
      <c r="O410" s="29"/>
      <c r="P410" s="30">
        <f t="shared" ref="P410" si="252">SUM(J410:O410)</f>
        <v>3.074692096656E-3</v>
      </c>
      <c r="Q410" s="31">
        <f t="shared" ref="Q410" si="253">IF(C$12&gt;0,P410/C$12,0)</f>
        <v>0.294348</v>
      </c>
    </row>
    <row r="411" spans="1:17" x14ac:dyDescent="0.2">
      <c r="A411" s="10"/>
      <c r="B411" s="26"/>
      <c r="C411" s="11">
        <v>2012</v>
      </c>
      <c r="D411" s="32">
        <f>SPFI_CLB14!$D$35</f>
        <v>0.34784100000000001</v>
      </c>
      <c r="E411" s="32"/>
      <c r="F411" s="32"/>
      <c r="G411" s="32"/>
      <c r="H411" s="32"/>
      <c r="I411" s="32"/>
      <c r="J411" s="28">
        <f t="shared" ref="J411" si="254">D411*J$12</f>
        <v>3.6334677782520002E-3</v>
      </c>
      <c r="K411" s="29"/>
      <c r="L411" s="29"/>
      <c r="M411" s="29"/>
      <c r="N411" s="29"/>
      <c r="O411" s="29"/>
      <c r="P411" s="30">
        <f t="shared" ref="P411" si="255">SUM(J411:O411)</f>
        <v>3.6334677782520002E-3</v>
      </c>
      <c r="Q411" s="31">
        <f t="shared" ref="Q411" si="256">IF(C$12&gt;0,P411/C$12,0)</f>
        <v>0.34784100000000001</v>
      </c>
    </row>
    <row r="412" spans="1:17" x14ac:dyDescent="0.2">
      <c r="A412" s="5" t="s">
        <v>8</v>
      </c>
      <c r="B412" s="21">
        <v>3</v>
      </c>
      <c r="C412" s="6">
        <v>1982</v>
      </c>
      <c r="D412" s="27">
        <f>SPFI_CLB14!$D$5</f>
        <v>0.98153299999999999</v>
      </c>
      <c r="E412" s="27"/>
      <c r="F412" s="27"/>
      <c r="G412" s="27"/>
      <c r="H412" s="27"/>
      <c r="I412" s="27"/>
      <c r="J412" s="33">
        <f t="shared" ref="J412:J424" si="257">D412*J$13</f>
        <v>0</v>
      </c>
      <c r="K412" s="27"/>
      <c r="L412" s="27"/>
      <c r="M412" s="27"/>
      <c r="N412" s="27"/>
      <c r="O412" s="27"/>
      <c r="P412" s="34">
        <f t="shared" si="246"/>
        <v>0</v>
      </c>
      <c r="Q412" s="35">
        <f t="shared" ref="Q412:Q428" si="258">IF(C$13&gt;0,P412/C$13,0)</f>
        <v>0</v>
      </c>
    </row>
    <row r="413" spans="1:17" x14ac:dyDescent="0.2">
      <c r="A413" s="10"/>
      <c r="B413" s="26"/>
      <c r="C413" s="11">
        <v>1983</v>
      </c>
      <c r="D413" s="32">
        <f>SPFI_CLB14!$D$6</f>
        <v>0.93659899999999996</v>
      </c>
      <c r="E413" s="32"/>
      <c r="F413" s="32"/>
      <c r="G413" s="32"/>
      <c r="H413" s="32"/>
      <c r="I413" s="32"/>
      <c r="J413" s="28">
        <f t="shared" si="257"/>
        <v>0</v>
      </c>
      <c r="K413" s="29"/>
      <c r="L413" s="29"/>
      <c r="M413" s="29"/>
      <c r="N413" s="29"/>
      <c r="O413" s="29"/>
      <c r="P413" s="30">
        <f t="shared" ref="P413:P424" si="259">SUM(J413:O413)</f>
        <v>0</v>
      </c>
      <c r="Q413" s="31">
        <f t="shared" si="258"/>
        <v>0</v>
      </c>
    </row>
    <row r="414" spans="1:17" x14ac:dyDescent="0.2">
      <c r="A414" s="10"/>
      <c r="B414" s="26"/>
      <c r="C414" s="11">
        <v>1984</v>
      </c>
      <c r="D414" s="32">
        <f>SPFI_CLB14!$D$7</f>
        <v>0.92793599999999998</v>
      </c>
      <c r="E414" s="32"/>
      <c r="F414" s="32"/>
      <c r="G414" s="32"/>
      <c r="H414" s="32"/>
      <c r="I414" s="32"/>
      <c r="J414" s="28">
        <f t="shared" si="257"/>
        <v>0</v>
      </c>
      <c r="K414" s="29"/>
      <c r="L414" s="29"/>
      <c r="M414" s="29"/>
      <c r="N414" s="29"/>
      <c r="O414" s="29"/>
      <c r="P414" s="30">
        <f t="shared" si="259"/>
        <v>0</v>
      </c>
      <c r="Q414" s="31">
        <f t="shared" si="258"/>
        <v>0</v>
      </c>
    </row>
    <row r="415" spans="1:17" x14ac:dyDescent="0.2">
      <c r="A415" s="10"/>
      <c r="B415" s="26"/>
      <c r="C415" s="11">
        <v>1985</v>
      </c>
      <c r="D415" s="32">
        <f>SPFI_CLB14!$D$8</f>
        <v>0.90386500000000003</v>
      </c>
      <c r="E415" s="32"/>
      <c r="F415" s="32"/>
      <c r="G415" s="32"/>
      <c r="H415" s="32"/>
      <c r="I415" s="32"/>
      <c r="J415" s="28">
        <f t="shared" si="257"/>
        <v>0</v>
      </c>
      <c r="K415" s="29"/>
      <c r="L415" s="29"/>
      <c r="M415" s="29"/>
      <c r="N415" s="29"/>
      <c r="O415" s="29"/>
      <c r="P415" s="30">
        <f t="shared" si="259"/>
        <v>0</v>
      </c>
      <c r="Q415" s="31">
        <f t="shared" si="258"/>
        <v>0</v>
      </c>
    </row>
    <row r="416" spans="1:17" x14ac:dyDescent="0.2">
      <c r="A416" s="10"/>
      <c r="B416" s="26"/>
      <c r="C416" s="11">
        <v>1986</v>
      </c>
      <c r="D416" s="32">
        <f>SPFI_CLB14!$D$9</f>
        <v>0.73087500000000005</v>
      </c>
      <c r="E416" s="32"/>
      <c r="F416" s="32"/>
      <c r="G416" s="32"/>
      <c r="H416" s="32"/>
      <c r="I416" s="32"/>
      <c r="J416" s="28">
        <f t="shared" si="257"/>
        <v>0</v>
      </c>
      <c r="K416" s="29"/>
      <c r="L416" s="29"/>
      <c r="M416" s="29"/>
      <c r="N416" s="29"/>
      <c r="O416" s="29"/>
      <c r="P416" s="30">
        <f t="shared" si="259"/>
        <v>0</v>
      </c>
      <c r="Q416" s="31">
        <f t="shared" si="258"/>
        <v>0</v>
      </c>
    </row>
    <row r="417" spans="1:17" x14ac:dyDescent="0.2">
      <c r="A417" s="10"/>
      <c r="B417" s="26"/>
      <c r="C417" s="11">
        <v>1987</v>
      </c>
      <c r="D417" s="32">
        <f>SPFI_CLB14!$D$10</f>
        <v>0.71733499999999994</v>
      </c>
      <c r="E417" s="32"/>
      <c r="F417" s="32"/>
      <c r="G417" s="32"/>
      <c r="H417" s="32"/>
      <c r="I417" s="32"/>
      <c r="J417" s="28">
        <f t="shared" si="257"/>
        <v>0</v>
      </c>
      <c r="K417" s="29"/>
      <c r="L417" s="29"/>
      <c r="M417" s="29"/>
      <c r="N417" s="29"/>
      <c r="O417" s="29"/>
      <c r="P417" s="30">
        <f t="shared" si="259"/>
        <v>0</v>
      </c>
      <c r="Q417" s="31">
        <f t="shared" si="258"/>
        <v>0</v>
      </c>
    </row>
    <row r="418" spans="1:17" x14ac:dyDescent="0.2">
      <c r="A418" s="10"/>
      <c r="B418" s="26"/>
      <c r="C418" s="11">
        <v>1988</v>
      </c>
      <c r="D418" s="32">
        <f>SPFI_CLB14!$D$11</f>
        <v>0.64558800000000005</v>
      </c>
      <c r="E418" s="32"/>
      <c r="F418" s="32"/>
      <c r="G418" s="32"/>
      <c r="H418" s="32"/>
      <c r="I418" s="32"/>
      <c r="J418" s="28">
        <f t="shared" si="257"/>
        <v>0</v>
      </c>
      <c r="K418" s="29"/>
      <c r="L418" s="29"/>
      <c r="M418" s="29"/>
      <c r="N418" s="29"/>
      <c r="O418" s="29"/>
      <c r="P418" s="30">
        <f t="shared" si="259"/>
        <v>0</v>
      </c>
      <c r="Q418" s="31">
        <f t="shared" si="258"/>
        <v>0</v>
      </c>
    </row>
    <row r="419" spans="1:17" x14ac:dyDescent="0.2">
      <c r="A419" s="10"/>
      <c r="B419" s="26"/>
      <c r="C419" s="11">
        <v>1989</v>
      </c>
      <c r="D419" s="32">
        <f>SPFI_CLB14!$D$12</f>
        <v>0.65287700000000004</v>
      </c>
      <c r="E419" s="32"/>
      <c r="F419" s="32"/>
      <c r="G419" s="32"/>
      <c r="H419" s="32"/>
      <c r="I419" s="32"/>
      <c r="J419" s="28">
        <f t="shared" si="257"/>
        <v>0</v>
      </c>
      <c r="K419" s="29"/>
      <c r="L419" s="29"/>
      <c r="M419" s="29"/>
      <c r="N419" s="29"/>
      <c r="O419" s="29"/>
      <c r="P419" s="30">
        <f t="shared" si="259"/>
        <v>0</v>
      </c>
      <c r="Q419" s="31">
        <f t="shared" si="258"/>
        <v>0</v>
      </c>
    </row>
    <row r="420" spans="1:17" x14ac:dyDescent="0.2">
      <c r="A420" s="10"/>
      <c r="B420" s="26"/>
      <c r="C420" s="11">
        <v>1990</v>
      </c>
      <c r="D420" s="32">
        <f>SPFI_CLB14!$D$13</f>
        <v>0.56965100000000002</v>
      </c>
      <c r="E420" s="32"/>
      <c r="F420" s="32"/>
      <c r="G420" s="32"/>
      <c r="H420" s="32"/>
      <c r="I420" s="32"/>
      <c r="J420" s="28">
        <f t="shared" si="257"/>
        <v>0</v>
      </c>
      <c r="K420" s="29"/>
      <c r="L420" s="29"/>
      <c r="M420" s="29"/>
      <c r="N420" s="29"/>
      <c r="O420" s="29"/>
      <c r="P420" s="30">
        <f t="shared" si="259"/>
        <v>0</v>
      </c>
      <c r="Q420" s="31">
        <f t="shared" si="258"/>
        <v>0</v>
      </c>
    </row>
    <row r="421" spans="1:17" x14ac:dyDescent="0.2">
      <c r="A421" s="10"/>
      <c r="B421" s="26"/>
      <c r="C421" s="11">
        <v>1991</v>
      </c>
      <c r="D421" s="32">
        <f>SPFI_CLB14!$D$14</f>
        <v>0.62776900000000002</v>
      </c>
      <c r="E421" s="32"/>
      <c r="F421" s="32"/>
      <c r="G421" s="32"/>
      <c r="H421" s="32"/>
      <c r="I421" s="32"/>
      <c r="J421" s="28">
        <f t="shared" si="257"/>
        <v>0</v>
      </c>
      <c r="K421" s="29"/>
      <c r="L421" s="29"/>
      <c r="M421" s="29"/>
      <c r="N421" s="29"/>
      <c r="O421" s="29"/>
      <c r="P421" s="30">
        <f t="shared" si="259"/>
        <v>0</v>
      </c>
      <c r="Q421" s="31">
        <f t="shared" si="258"/>
        <v>0</v>
      </c>
    </row>
    <row r="422" spans="1:17" x14ac:dyDescent="0.2">
      <c r="A422" s="10"/>
      <c r="B422" s="26"/>
      <c r="C422" s="11">
        <v>1992</v>
      </c>
      <c r="D422" s="32">
        <f>SPFI_CLB14!$D$15</f>
        <v>0.43504100000000001</v>
      </c>
      <c r="E422" s="32"/>
      <c r="F422" s="32"/>
      <c r="G422" s="32"/>
      <c r="H422" s="32"/>
      <c r="I422" s="32"/>
      <c r="J422" s="28">
        <f t="shared" si="257"/>
        <v>0</v>
      </c>
      <c r="K422" s="29"/>
      <c r="L422" s="29"/>
      <c r="M422" s="29"/>
      <c r="N422" s="29"/>
      <c r="O422" s="29"/>
      <c r="P422" s="30">
        <f t="shared" si="259"/>
        <v>0</v>
      </c>
      <c r="Q422" s="31">
        <f t="shared" si="258"/>
        <v>0</v>
      </c>
    </row>
    <row r="423" spans="1:17" x14ac:dyDescent="0.2">
      <c r="A423" s="10"/>
      <c r="B423" s="26"/>
      <c r="C423" s="11">
        <v>1993</v>
      </c>
      <c r="D423" s="32">
        <f>SPFI_CLB14!$D$16</f>
        <v>0.499164</v>
      </c>
      <c r="E423" s="32"/>
      <c r="F423" s="32"/>
      <c r="G423" s="32"/>
      <c r="H423" s="32"/>
      <c r="I423" s="32"/>
      <c r="J423" s="28">
        <f t="shared" si="257"/>
        <v>0</v>
      </c>
      <c r="K423" s="29"/>
      <c r="L423" s="29"/>
      <c r="M423" s="29"/>
      <c r="N423" s="29"/>
      <c r="O423" s="29"/>
      <c r="P423" s="30">
        <f t="shared" si="259"/>
        <v>0</v>
      </c>
      <c r="Q423" s="31">
        <f t="shared" si="258"/>
        <v>0</v>
      </c>
    </row>
    <row r="424" spans="1:17" x14ac:dyDescent="0.2">
      <c r="A424" s="10"/>
      <c r="B424" s="26"/>
      <c r="C424" s="11">
        <v>1994</v>
      </c>
      <c r="D424" s="32">
        <f>SPFI_CLB14!$D$17</f>
        <v>0.59591300000000003</v>
      </c>
      <c r="E424" s="32"/>
      <c r="F424" s="32"/>
      <c r="G424" s="32"/>
      <c r="H424" s="32"/>
      <c r="I424" s="32"/>
      <c r="J424" s="28">
        <f t="shared" si="257"/>
        <v>0</v>
      </c>
      <c r="K424" s="29"/>
      <c r="L424" s="29"/>
      <c r="M424" s="29"/>
      <c r="N424" s="29"/>
      <c r="O424" s="29"/>
      <c r="P424" s="30">
        <f t="shared" si="259"/>
        <v>0</v>
      </c>
      <c r="Q424" s="31">
        <f t="shared" si="258"/>
        <v>0</v>
      </c>
    </row>
    <row r="425" spans="1:17" x14ac:dyDescent="0.2">
      <c r="A425" s="10"/>
      <c r="B425" s="26"/>
      <c r="C425" s="11">
        <v>1995</v>
      </c>
      <c r="D425" s="32">
        <f>SPFI_CLB14!$D$18</f>
        <v>0.25400800000000001</v>
      </c>
      <c r="E425" s="32"/>
      <c r="F425" s="32"/>
      <c r="G425" s="32"/>
      <c r="H425" s="32"/>
      <c r="I425" s="32"/>
      <c r="J425" s="28">
        <f t="shared" ref="J425" si="260">D425*J$13</f>
        <v>0</v>
      </c>
      <c r="K425" s="29"/>
      <c r="L425" s="29"/>
      <c r="M425" s="29"/>
      <c r="N425" s="29"/>
      <c r="O425" s="29"/>
      <c r="P425" s="30">
        <f>SUM(J425:O425)</f>
        <v>0</v>
      </c>
      <c r="Q425" s="31">
        <f t="shared" si="258"/>
        <v>0</v>
      </c>
    </row>
    <row r="426" spans="1:17" x14ac:dyDescent="0.2">
      <c r="A426" s="10"/>
      <c r="B426" s="26"/>
      <c r="C426" s="11">
        <v>1996</v>
      </c>
      <c r="D426" s="32">
        <f>SPFI_CLB14!$D$19</f>
        <v>0</v>
      </c>
      <c r="E426" s="32"/>
      <c r="F426" s="32"/>
      <c r="G426" s="32"/>
      <c r="H426" s="32"/>
      <c r="I426" s="32"/>
      <c r="J426" s="28">
        <f t="shared" ref="J426" si="261">D426*J$13</f>
        <v>0</v>
      </c>
      <c r="K426" s="29"/>
      <c r="L426" s="29"/>
      <c r="M426" s="29"/>
      <c r="N426" s="29"/>
      <c r="O426" s="29"/>
      <c r="P426" s="30">
        <f>SUM(J426:O426)</f>
        <v>0</v>
      </c>
      <c r="Q426" s="31">
        <f t="shared" si="258"/>
        <v>0</v>
      </c>
    </row>
    <row r="427" spans="1:17" x14ac:dyDescent="0.2">
      <c r="A427" s="10"/>
      <c r="B427" s="26"/>
      <c r="C427" s="11">
        <v>1997</v>
      </c>
      <c r="D427" s="32">
        <f>SPFI_CLB14!$D$20</f>
        <v>0.201487</v>
      </c>
      <c r="E427" s="32"/>
      <c r="F427" s="32"/>
      <c r="G427" s="32"/>
      <c r="H427" s="32"/>
      <c r="I427" s="32"/>
      <c r="J427" s="28">
        <f t="shared" ref="J427" si="262">D427*J$13</f>
        <v>0</v>
      </c>
      <c r="K427" s="29"/>
      <c r="L427" s="29"/>
      <c r="M427" s="29"/>
      <c r="N427" s="29"/>
      <c r="O427" s="29"/>
      <c r="P427" s="30">
        <f>SUM(J427:O427)</f>
        <v>0</v>
      </c>
      <c r="Q427" s="31">
        <f t="shared" si="258"/>
        <v>0</v>
      </c>
    </row>
    <row r="428" spans="1:17" x14ac:dyDescent="0.2">
      <c r="A428" s="10"/>
      <c r="B428" s="26"/>
      <c r="C428" s="11">
        <v>1998</v>
      </c>
      <c r="D428" s="32">
        <f>SPFI_CLB14!$D$21</f>
        <v>0.37506400000000001</v>
      </c>
      <c r="E428" s="32"/>
      <c r="F428" s="32"/>
      <c r="G428" s="32"/>
      <c r="H428" s="32"/>
      <c r="I428" s="32"/>
      <c r="J428" s="28">
        <f t="shared" ref="J428" si="263">D428*J$13</f>
        <v>0</v>
      </c>
      <c r="K428" s="29"/>
      <c r="L428" s="29"/>
      <c r="M428" s="29"/>
      <c r="N428" s="29"/>
      <c r="O428" s="29"/>
      <c r="P428" s="30">
        <f>SUM(J428:O428)</f>
        <v>0</v>
      </c>
      <c r="Q428" s="31">
        <f t="shared" si="258"/>
        <v>0</v>
      </c>
    </row>
    <row r="429" spans="1:17" x14ac:dyDescent="0.2">
      <c r="A429" s="10"/>
      <c r="B429" s="26"/>
      <c r="C429" s="11">
        <v>1999</v>
      </c>
      <c r="D429" s="32">
        <f>SPFI_CLB14!$D$22</f>
        <v>0.29823699999999997</v>
      </c>
      <c r="E429" s="32"/>
      <c r="F429" s="32"/>
      <c r="G429" s="32"/>
      <c r="H429" s="32"/>
      <c r="I429" s="32"/>
      <c r="J429" s="28">
        <f t="shared" ref="J429" si="264">D429*J$13</f>
        <v>0</v>
      </c>
      <c r="K429" s="29"/>
      <c r="L429" s="29"/>
      <c r="M429" s="29"/>
      <c r="N429" s="29"/>
      <c r="O429" s="29"/>
      <c r="P429" s="30">
        <f>SUM(J429:O429)</f>
        <v>0</v>
      </c>
      <c r="Q429" s="31">
        <f t="shared" ref="Q429:Q434" si="265">IF(C$13&gt;0,P429/C$13,0)</f>
        <v>0</v>
      </c>
    </row>
    <row r="430" spans="1:17" x14ac:dyDescent="0.2">
      <c r="A430" s="10"/>
      <c r="B430" s="26"/>
      <c r="C430" s="11">
        <v>2000</v>
      </c>
      <c r="D430" s="32">
        <f>SPFI_CLB14!$D$23</f>
        <v>8.4414000000000003E-2</v>
      </c>
      <c r="E430" s="32"/>
      <c r="F430" s="32"/>
      <c r="G430" s="32"/>
      <c r="H430" s="32"/>
      <c r="I430" s="32"/>
      <c r="J430" s="28">
        <f t="shared" ref="J430" si="266">D430*J$13</f>
        <v>0</v>
      </c>
      <c r="K430" s="29"/>
      <c r="L430" s="29"/>
      <c r="M430" s="29"/>
      <c r="N430" s="29"/>
      <c r="O430" s="29"/>
      <c r="P430" s="30">
        <f t="shared" ref="P430:P435" si="267">SUM(J430:O430)</f>
        <v>0</v>
      </c>
      <c r="Q430" s="31">
        <f t="shared" si="265"/>
        <v>0</v>
      </c>
    </row>
    <row r="431" spans="1:17" x14ac:dyDescent="0.2">
      <c r="A431" s="10"/>
      <c r="B431" s="26"/>
      <c r="C431" s="11">
        <v>2001</v>
      </c>
      <c r="D431" s="32">
        <f>SPFI_CLB14!$D$24</f>
        <v>7.8909000000000007E-2</v>
      </c>
      <c r="E431" s="32"/>
      <c r="F431" s="32"/>
      <c r="G431" s="32"/>
      <c r="H431" s="32"/>
      <c r="I431" s="32"/>
      <c r="J431" s="28">
        <f t="shared" ref="J431" si="268">D431*J$13</f>
        <v>0</v>
      </c>
      <c r="K431" s="29"/>
      <c r="L431" s="29"/>
      <c r="M431" s="29"/>
      <c r="N431" s="29"/>
      <c r="O431" s="29"/>
      <c r="P431" s="30">
        <f t="shared" si="267"/>
        <v>0</v>
      </c>
      <c r="Q431" s="31">
        <f t="shared" si="265"/>
        <v>0</v>
      </c>
    </row>
    <row r="432" spans="1:17" x14ac:dyDescent="0.2">
      <c r="A432" s="10"/>
      <c r="B432" s="26"/>
      <c r="C432" s="11">
        <v>2002</v>
      </c>
      <c r="D432" s="32">
        <f>SPFI_CLB14!$D$25</f>
        <v>0.29974699999999999</v>
      </c>
      <c r="E432" s="32"/>
      <c r="F432" s="32"/>
      <c r="G432" s="32"/>
      <c r="H432" s="32"/>
      <c r="I432" s="32"/>
      <c r="J432" s="28">
        <f t="shared" ref="J432" si="269">D432*J$13</f>
        <v>0</v>
      </c>
      <c r="K432" s="29"/>
      <c r="L432" s="29"/>
      <c r="M432" s="29"/>
      <c r="N432" s="29"/>
      <c r="O432" s="29"/>
      <c r="P432" s="30">
        <f t="shared" si="267"/>
        <v>0</v>
      </c>
      <c r="Q432" s="31">
        <f t="shared" si="265"/>
        <v>0</v>
      </c>
    </row>
    <row r="433" spans="1:17" x14ac:dyDescent="0.2">
      <c r="A433" s="10"/>
      <c r="B433" s="26"/>
      <c r="C433" s="11">
        <v>2003</v>
      </c>
      <c r="D433" s="32">
        <f>SPFI_CLB14!$D$26</f>
        <v>0.20691100000000001</v>
      </c>
      <c r="E433" s="32"/>
      <c r="F433" s="32"/>
      <c r="G433" s="32"/>
      <c r="H433" s="32"/>
      <c r="I433" s="32"/>
      <c r="J433" s="28">
        <f t="shared" ref="J433" si="270">D433*J$13</f>
        <v>0</v>
      </c>
      <c r="K433" s="29"/>
      <c r="L433" s="29"/>
      <c r="M433" s="29"/>
      <c r="N433" s="29"/>
      <c r="O433" s="29"/>
      <c r="P433" s="30">
        <f t="shared" si="267"/>
        <v>0</v>
      </c>
      <c r="Q433" s="31">
        <f t="shared" si="265"/>
        <v>0</v>
      </c>
    </row>
    <row r="434" spans="1:17" x14ac:dyDescent="0.2">
      <c r="A434" s="10"/>
      <c r="B434" s="26"/>
      <c r="C434" s="11">
        <v>2004</v>
      </c>
      <c r="D434" s="32">
        <f>SPFI_CLB14!$D$27</f>
        <v>0.269237</v>
      </c>
      <c r="E434" s="32"/>
      <c r="F434" s="32"/>
      <c r="G434" s="32"/>
      <c r="H434" s="32"/>
      <c r="I434" s="32"/>
      <c r="J434" s="28">
        <f t="shared" ref="J434" si="271">D434*J$13</f>
        <v>0</v>
      </c>
      <c r="K434" s="29"/>
      <c r="L434" s="29"/>
      <c r="M434" s="29"/>
      <c r="N434" s="29"/>
      <c r="O434" s="29"/>
      <c r="P434" s="30">
        <f t="shared" si="267"/>
        <v>0</v>
      </c>
      <c r="Q434" s="31">
        <f t="shared" si="265"/>
        <v>0</v>
      </c>
    </row>
    <row r="435" spans="1:17" x14ac:dyDescent="0.2">
      <c r="A435" s="10"/>
      <c r="B435" s="26"/>
      <c r="C435" s="11">
        <v>2005</v>
      </c>
      <c r="D435" s="32">
        <f>SPFI_CLB14!$D$28</f>
        <v>0.37848700000000002</v>
      </c>
      <c r="E435" s="32"/>
      <c r="F435" s="32"/>
      <c r="G435" s="32"/>
      <c r="H435" s="32"/>
      <c r="I435" s="32"/>
      <c r="J435" s="28">
        <f t="shared" ref="J435" si="272">D435*J$13</f>
        <v>0</v>
      </c>
      <c r="K435" s="29"/>
      <c r="L435" s="29"/>
      <c r="M435" s="29"/>
      <c r="N435" s="29"/>
      <c r="O435" s="29"/>
      <c r="P435" s="30">
        <f t="shared" si="267"/>
        <v>0</v>
      </c>
      <c r="Q435" s="31">
        <f t="shared" ref="Q435:Q440" si="273">IF(C$13&gt;0,P435/C$13,0)</f>
        <v>0</v>
      </c>
    </row>
    <row r="436" spans="1:17" x14ac:dyDescent="0.2">
      <c r="A436" s="10"/>
      <c r="B436" s="26"/>
      <c r="C436" s="11">
        <v>2006</v>
      </c>
      <c r="D436" s="32">
        <f>SPFI_CLB14!$D$29</f>
        <v>0.381023</v>
      </c>
      <c r="E436" s="32"/>
      <c r="F436" s="32"/>
      <c r="G436" s="32"/>
      <c r="H436" s="32"/>
      <c r="I436" s="32"/>
      <c r="J436" s="28">
        <f t="shared" ref="J436" si="274">D436*J$13</f>
        <v>0</v>
      </c>
      <c r="K436" s="29"/>
      <c r="L436" s="29"/>
      <c r="M436" s="29"/>
      <c r="N436" s="29"/>
      <c r="O436" s="29"/>
      <c r="P436" s="30">
        <f t="shared" ref="P436:P443" si="275">SUM(J436:O436)</f>
        <v>0</v>
      </c>
      <c r="Q436" s="31">
        <f t="shared" si="273"/>
        <v>0</v>
      </c>
    </row>
    <row r="437" spans="1:17" x14ac:dyDescent="0.2">
      <c r="A437" s="10"/>
      <c r="B437" s="26"/>
      <c r="C437" s="11">
        <v>2007</v>
      </c>
      <c r="D437" s="32">
        <f>SPFI_CLB14!$D$30</f>
        <v>0.356512</v>
      </c>
      <c r="E437" s="32"/>
      <c r="F437" s="32"/>
      <c r="G437" s="32"/>
      <c r="H437" s="32"/>
      <c r="I437" s="32"/>
      <c r="J437" s="28">
        <f t="shared" ref="J437" si="276">D437*J$13</f>
        <v>0</v>
      </c>
      <c r="K437" s="29"/>
      <c r="L437" s="29"/>
      <c r="M437" s="29"/>
      <c r="N437" s="29"/>
      <c r="O437" s="29"/>
      <c r="P437" s="30">
        <f t="shared" si="275"/>
        <v>0</v>
      </c>
      <c r="Q437" s="31">
        <f t="shared" si="273"/>
        <v>0</v>
      </c>
    </row>
    <row r="438" spans="1:17" x14ac:dyDescent="0.2">
      <c r="A438" s="10"/>
      <c r="B438" s="26"/>
      <c r="C438" s="11">
        <v>2008</v>
      </c>
      <c r="D438" s="32">
        <f>SPFI_CLB14!$D$31</f>
        <v>0.25494499999999998</v>
      </c>
      <c r="E438" s="32"/>
      <c r="F438" s="32"/>
      <c r="G438" s="32"/>
      <c r="H438" s="32"/>
      <c r="I438" s="32"/>
      <c r="J438" s="28">
        <f t="shared" ref="J438" si="277">D438*J$13</f>
        <v>0</v>
      </c>
      <c r="K438" s="29"/>
      <c r="L438" s="29"/>
      <c r="M438" s="29"/>
      <c r="N438" s="29"/>
      <c r="O438" s="29"/>
      <c r="P438" s="30">
        <f t="shared" si="275"/>
        <v>0</v>
      </c>
      <c r="Q438" s="31">
        <f t="shared" si="273"/>
        <v>0</v>
      </c>
    </row>
    <row r="439" spans="1:17" x14ac:dyDescent="0.2">
      <c r="A439" s="10"/>
      <c r="B439" s="26"/>
      <c r="C439" s="11">
        <v>2009</v>
      </c>
      <c r="D439" s="32">
        <f>SPFI_CLB14!$D$32</f>
        <v>0.52383000000000002</v>
      </c>
      <c r="E439" s="32"/>
      <c r="F439" s="32"/>
      <c r="G439" s="32"/>
      <c r="H439" s="32"/>
      <c r="I439" s="32"/>
      <c r="J439" s="28">
        <f t="shared" ref="J439" si="278">D439*J$13</f>
        <v>0</v>
      </c>
      <c r="K439" s="29"/>
      <c r="L439" s="29"/>
      <c r="M439" s="29"/>
      <c r="N439" s="29"/>
      <c r="O439" s="29"/>
      <c r="P439" s="30">
        <f t="shared" si="275"/>
        <v>0</v>
      </c>
      <c r="Q439" s="31">
        <f t="shared" si="273"/>
        <v>0</v>
      </c>
    </row>
    <row r="440" spans="1:17" x14ac:dyDescent="0.2">
      <c r="A440" s="10"/>
      <c r="B440" s="26"/>
      <c r="C440" s="11">
        <v>2010</v>
      </c>
      <c r="D440" s="32">
        <f>SPFI_CLB14!$D$33</f>
        <v>0.31394</v>
      </c>
      <c r="E440" s="32"/>
      <c r="F440" s="32"/>
      <c r="G440" s="32"/>
      <c r="H440" s="32"/>
      <c r="I440" s="32"/>
      <c r="J440" s="28">
        <f t="shared" ref="J440" si="279">D440*J$13</f>
        <v>0</v>
      </c>
      <c r="K440" s="29"/>
      <c r="L440" s="29"/>
      <c r="M440" s="29"/>
      <c r="N440" s="29"/>
      <c r="O440" s="29"/>
      <c r="P440" s="30">
        <f t="shared" si="275"/>
        <v>0</v>
      </c>
      <c r="Q440" s="31">
        <f t="shared" si="273"/>
        <v>0</v>
      </c>
    </row>
    <row r="441" spans="1:17" x14ac:dyDescent="0.2">
      <c r="A441" s="10"/>
      <c r="B441" s="26"/>
      <c r="C441" s="11">
        <v>2011</v>
      </c>
      <c r="D441" s="32">
        <f>SPFI_CLB14!$D$34</f>
        <v>0.294348</v>
      </c>
      <c r="E441" s="32"/>
      <c r="F441" s="32"/>
      <c r="G441" s="32"/>
      <c r="H441" s="32"/>
      <c r="I441" s="32"/>
      <c r="J441" s="28">
        <f t="shared" ref="J441" si="280">D441*J$13</f>
        <v>0</v>
      </c>
      <c r="K441" s="29"/>
      <c r="L441" s="29"/>
      <c r="M441" s="29"/>
      <c r="N441" s="29"/>
      <c r="O441" s="29"/>
      <c r="P441" s="30">
        <f t="shared" ref="P441" si="281">SUM(J441:O441)</f>
        <v>0</v>
      </c>
      <c r="Q441" s="31">
        <f t="shared" ref="Q441" si="282">IF(C$13&gt;0,P441/C$13,0)</f>
        <v>0</v>
      </c>
    </row>
    <row r="442" spans="1:17" x14ac:dyDescent="0.2">
      <c r="A442" s="10"/>
      <c r="B442" s="26"/>
      <c r="C442" s="11">
        <v>2012</v>
      </c>
      <c r="D442" s="32">
        <f>SPFI_CLB14!$D$35</f>
        <v>0.34784100000000001</v>
      </c>
      <c r="E442" s="32"/>
      <c r="F442" s="32"/>
      <c r="G442" s="32"/>
      <c r="H442" s="32"/>
      <c r="I442" s="32"/>
      <c r="J442" s="28">
        <f t="shared" ref="J442" si="283">D442*J$13</f>
        <v>0</v>
      </c>
      <c r="K442" s="29"/>
      <c r="L442" s="29"/>
      <c r="M442" s="29"/>
      <c r="N442" s="29"/>
      <c r="O442" s="29"/>
      <c r="P442" s="30">
        <f t="shared" ref="P442" si="284">SUM(J442:O442)</f>
        <v>0</v>
      </c>
      <c r="Q442" s="31">
        <f t="shared" ref="Q442" si="285">IF(C$13&gt;0,P442/C$13,0)</f>
        <v>0</v>
      </c>
    </row>
    <row r="443" spans="1:17" x14ac:dyDescent="0.2">
      <c r="A443" s="5" t="s">
        <v>8</v>
      </c>
      <c r="B443" s="21">
        <v>4</v>
      </c>
      <c r="C443" s="6">
        <v>1982</v>
      </c>
      <c r="D443" s="27">
        <f>SPFI_CLB14!$D$5</f>
        <v>0.98153299999999999</v>
      </c>
      <c r="E443" s="27"/>
      <c r="F443" s="27"/>
      <c r="G443" s="27"/>
      <c r="H443" s="27"/>
      <c r="I443" s="27"/>
      <c r="J443" s="33">
        <f t="shared" ref="J443:J455" si="286">D443*J$14</f>
        <v>4.6821740866977997E-2</v>
      </c>
      <c r="K443" s="27"/>
      <c r="L443" s="27"/>
      <c r="M443" s="27"/>
      <c r="N443" s="27"/>
      <c r="O443" s="27"/>
      <c r="P443" s="34">
        <f t="shared" si="275"/>
        <v>4.6821740866977997E-2</v>
      </c>
      <c r="Q443" s="35">
        <f t="shared" ref="Q443:Q459" si="287">IF(C$14&gt;0,P443/C$14,0)</f>
        <v>0.98153299999999999</v>
      </c>
    </row>
    <row r="444" spans="1:17" x14ac:dyDescent="0.2">
      <c r="A444" s="10"/>
      <c r="B444" s="26"/>
      <c r="C444" s="11">
        <v>1983</v>
      </c>
      <c r="D444" s="32">
        <f>SPFI_CLB14!$D$6</f>
        <v>0.93659899999999996</v>
      </c>
      <c r="E444" s="32"/>
      <c r="F444" s="32"/>
      <c r="G444" s="32"/>
      <c r="H444" s="32"/>
      <c r="I444" s="32"/>
      <c r="J444" s="28">
        <f t="shared" si="286"/>
        <v>4.4678269272933994E-2</v>
      </c>
      <c r="K444" s="29"/>
      <c r="L444" s="29"/>
      <c r="M444" s="29"/>
      <c r="N444" s="29"/>
      <c r="O444" s="29"/>
      <c r="P444" s="30">
        <f t="shared" ref="P444:P455" si="288">SUM(J444:O444)</f>
        <v>4.4678269272933994E-2</v>
      </c>
      <c r="Q444" s="31">
        <f t="shared" si="287"/>
        <v>0.93659899999999996</v>
      </c>
    </row>
    <row r="445" spans="1:17" x14ac:dyDescent="0.2">
      <c r="A445" s="10"/>
      <c r="B445" s="26"/>
      <c r="C445" s="11">
        <v>1984</v>
      </c>
      <c r="D445" s="32">
        <f>SPFI_CLB14!$D$7</f>
        <v>0.92793599999999998</v>
      </c>
      <c r="E445" s="32"/>
      <c r="F445" s="32"/>
      <c r="G445" s="32"/>
      <c r="H445" s="32"/>
      <c r="I445" s="32"/>
      <c r="J445" s="28">
        <f t="shared" si="286"/>
        <v>4.4265021077375996E-2</v>
      </c>
      <c r="K445" s="29"/>
      <c r="L445" s="29"/>
      <c r="M445" s="29"/>
      <c r="N445" s="29"/>
      <c r="O445" s="29"/>
      <c r="P445" s="30">
        <f t="shared" si="288"/>
        <v>4.4265021077375996E-2</v>
      </c>
      <c r="Q445" s="31">
        <f t="shared" si="287"/>
        <v>0.92793599999999998</v>
      </c>
    </row>
    <row r="446" spans="1:17" x14ac:dyDescent="0.2">
      <c r="A446" s="10"/>
      <c r="B446" s="26"/>
      <c r="C446" s="11">
        <v>1985</v>
      </c>
      <c r="D446" s="32">
        <f>SPFI_CLB14!$D$8</f>
        <v>0.90386500000000003</v>
      </c>
      <c r="E446" s="32"/>
      <c r="F446" s="32"/>
      <c r="G446" s="32"/>
      <c r="H446" s="32"/>
      <c r="I446" s="32"/>
      <c r="J446" s="28">
        <f t="shared" si="286"/>
        <v>4.3116770204090001E-2</v>
      </c>
      <c r="K446" s="29"/>
      <c r="L446" s="29"/>
      <c r="M446" s="29"/>
      <c r="N446" s="29"/>
      <c r="O446" s="29"/>
      <c r="P446" s="30">
        <f t="shared" si="288"/>
        <v>4.3116770204090001E-2</v>
      </c>
      <c r="Q446" s="31">
        <f t="shared" si="287"/>
        <v>0.90386500000000003</v>
      </c>
    </row>
    <row r="447" spans="1:17" x14ac:dyDescent="0.2">
      <c r="A447" s="10"/>
      <c r="B447" s="26"/>
      <c r="C447" s="11">
        <v>1986</v>
      </c>
      <c r="D447" s="32">
        <f>SPFI_CLB14!$D$9</f>
        <v>0.73087500000000005</v>
      </c>
      <c r="E447" s="32"/>
      <c r="F447" s="32"/>
      <c r="G447" s="32"/>
      <c r="H447" s="32"/>
      <c r="I447" s="32"/>
      <c r="J447" s="28">
        <f t="shared" si="286"/>
        <v>3.4864686012750001E-2</v>
      </c>
      <c r="K447" s="29"/>
      <c r="L447" s="29"/>
      <c r="M447" s="29"/>
      <c r="N447" s="29"/>
      <c r="O447" s="29"/>
      <c r="P447" s="30">
        <f t="shared" si="288"/>
        <v>3.4864686012750001E-2</v>
      </c>
      <c r="Q447" s="31">
        <f t="shared" si="287"/>
        <v>0.73087500000000005</v>
      </c>
    </row>
    <row r="448" spans="1:17" x14ac:dyDescent="0.2">
      <c r="A448" s="10"/>
      <c r="B448" s="26"/>
      <c r="C448" s="11">
        <v>1987</v>
      </c>
      <c r="D448" s="32">
        <f>SPFI_CLB14!$D$10</f>
        <v>0.71733499999999994</v>
      </c>
      <c r="E448" s="32"/>
      <c r="F448" s="32"/>
      <c r="G448" s="32"/>
      <c r="H448" s="32"/>
      <c r="I448" s="32"/>
      <c r="J448" s="28">
        <f t="shared" si="286"/>
        <v>3.4218791915109993E-2</v>
      </c>
      <c r="K448" s="29"/>
      <c r="L448" s="29"/>
      <c r="M448" s="29"/>
      <c r="N448" s="29"/>
      <c r="O448" s="29"/>
      <c r="P448" s="30">
        <f t="shared" si="288"/>
        <v>3.4218791915109993E-2</v>
      </c>
      <c r="Q448" s="31">
        <f t="shared" si="287"/>
        <v>0.71733499999999994</v>
      </c>
    </row>
    <row r="449" spans="1:17" x14ac:dyDescent="0.2">
      <c r="A449" s="10"/>
      <c r="B449" s="26"/>
      <c r="C449" s="11">
        <v>1988</v>
      </c>
      <c r="D449" s="32">
        <f>SPFI_CLB14!$D$11</f>
        <v>0.64558800000000005</v>
      </c>
      <c r="E449" s="32"/>
      <c r="F449" s="32"/>
      <c r="G449" s="32"/>
      <c r="H449" s="32"/>
      <c r="I449" s="32"/>
      <c r="J449" s="28">
        <f t="shared" si="286"/>
        <v>3.0796268737608001E-2</v>
      </c>
      <c r="K449" s="29"/>
      <c r="L449" s="29"/>
      <c r="M449" s="29"/>
      <c r="N449" s="29"/>
      <c r="O449" s="29"/>
      <c r="P449" s="30">
        <f t="shared" si="288"/>
        <v>3.0796268737608001E-2</v>
      </c>
      <c r="Q449" s="31">
        <f t="shared" si="287"/>
        <v>0.64558800000000005</v>
      </c>
    </row>
    <row r="450" spans="1:17" x14ac:dyDescent="0.2">
      <c r="A450" s="10"/>
      <c r="B450" s="26"/>
      <c r="C450" s="11">
        <v>1989</v>
      </c>
      <c r="D450" s="32">
        <f>SPFI_CLB14!$D$12</f>
        <v>0.65287700000000004</v>
      </c>
      <c r="E450" s="32"/>
      <c r="F450" s="32"/>
      <c r="G450" s="32"/>
      <c r="H450" s="32"/>
      <c r="I450" s="32"/>
      <c r="J450" s="28">
        <f t="shared" si="286"/>
        <v>3.1143973470082E-2</v>
      </c>
      <c r="K450" s="29"/>
      <c r="L450" s="29"/>
      <c r="M450" s="29"/>
      <c r="N450" s="29"/>
      <c r="O450" s="29"/>
      <c r="P450" s="30">
        <f t="shared" si="288"/>
        <v>3.1143973470082E-2</v>
      </c>
      <c r="Q450" s="31">
        <f t="shared" si="287"/>
        <v>0.65287700000000004</v>
      </c>
    </row>
    <row r="451" spans="1:17" x14ac:dyDescent="0.2">
      <c r="A451" s="10"/>
      <c r="B451" s="26"/>
      <c r="C451" s="11">
        <v>1990</v>
      </c>
      <c r="D451" s="32">
        <f>SPFI_CLB14!$D$13</f>
        <v>0.56965100000000002</v>
      </c>
      <c r="E451" s="32"/>
      <c r="F451" s="32"/>
      <c r="G451" s="32"/>
      <c r="H451" s="32"/>
      <c r="I451" s="32"/>
      <c r="J451" s="28">
        <f t="shared" si="286"/>
        <v>2.7173871389566E-2</v>
      </c>
      <c r="K451" s="29"/>
      <c r="L451" s="29"/>
      <c r="M451" s="29"/>
      <c r="N451" s="29"/>
      <c r="O451" s="29"/>
      <c r="P451" s="30">
        <f t="shared" si="288"/>
        <v>2.7173871389566E-2</v>
      </c>
      <c r="Q451" s="31">
        <f t="shared" si="287"/>
        <v>0.56965100000000002</v>
      </c>
    </row>
    <row r="452" spans="1:17" x14ac:dyDescent="0.2">
      <c r="A452" s="10"/>
      <c r="B452" s="26"/>
      <c r="C452" s="11">
        <v>1991</v>
      </c>
      <c r="D452" s="32">
        <f>SPFI_CLB14!$D$14</f>
        <v>0.62776900000000002</v>
      </c>
      <c r="E452" s="32"/>
      <c r="F452" s="32"/>
      <c r="G452" s="32"/>
      <c r="H452" s="32"/>
      <c r="I452" s="32"/>
      <c r="J452" s="28">
        <f t="shared" si="286"/>
        <v>2.9946254932153998E-2</v>
      </c>
      <c r="K452" s="29"/>
      <c r="L452" s="29"/>
      <c r="M452" s="29"/>
      <c r="N452" s="29"/>
      <c r="O452" s="29"/>
      <c r="P452" s="30">
        <f t="shared" si="288"/>
        <v>2.9946254932153998E-2</v>
      </c>
      <c r="Q452" s="31">
        <f t="shared" si="287"/>
        <v>0.62776900000000002</v>
      </c>
    </row>
    <row r="453" spans="1:17" x14ac:dyDescent="0.2">
      <c r="A453" s="10"/>
      <c r="B453" s="26"/>
      <c r="C453" s="11">
        <v>1992</v>
      </c>
      <c r="D453" s="32">
        <f>SPFI_CLB14!$D$15</f>
        <v>0.43504100000000001</v>
      </c>
      <c r="E453" s="32"/>
      <c r="F453" s="32"/>
      <c r="G453" s="32"/>
      <c r="H453" s="32"/>
      <c r="I453" s="32"/>
      <c r="J453" s="28">
        <f t="shared" si="286"/>
        <v>2.0752615519306E-2</v>
      </c>
      <c r="K453" s="29"/>
      <c r="L453" s="29"/>
      <c r="M453" s="29"/>
      <c r="N453" s="29"/>
      <c r="O453" s="29"/>
      <c r="P453" s="30">
        <f t="shared" si="288"/>
        <v>2.0752615519306E-2</v>
      </c>
      <c r="Q453" s="31">
        <f t="shared" si="287"/>
        <v>0.43504100000000001</v>
      </c>
    </row>
    <row r="454" spans="1:17" x14ac:dyDescent="0.2">
      <c r="A454" s="10"/>
      <c r="B454" s="26"/>
      <c r="C454" s="11">
        <v>1993</v>
      </c>
      <c r="D454" s="32">
        <f>SPFI_CLB14!$D$16</f>
        <v>0.499164</v>
      </c>
      <c r="E454" s="32"/>
      <c r="F454" s="32"/>
      <c r="G454" s="32"/>
      <c r="H454" s="32"/>
      <c r="I454" s="32"/>
      <c r="J454" s="28">
        <f t="shared" si="286"/>
        <v>2.3811453571223998E-2</v>
      </c>
      <c r="K454" s="29"/>
      <c r="L454" s="29"/>
      <c r="M454" s="29"/>
      <c r="N454" s="29"/>
      <c r="O454" s="29"/>
      <c r="P454" s="30">
        <f t="shared" si="288"/>
        <v>2.3811453571223998E-2</v>
      </c>
      <c r="Q454" s="31">
        <f t="shared" si="287"/>
        <v>0.499164</v>
      </c>
    </row>
    <row r="455" spans="1:17" x14ac:dyDescent="0.2">
      <c r="A455" s="10"/>
      <c r="B455" s="26"/>
      <c r="C455" s="11">
        <v>1994</v>
      </c>
      <c r="D455" s="32">
        <f>SPFI_CLB14!$D$17</f>
        <v>0.59591300000000003</v>
      </c>
      <c r="E455" s="32"/>
      <c r="F455" s="32"/>
      <c r="G455" s="32"/>
      <c r="H455" s="32"/>
      <c r="I455" s="32"/>
      <c r="J455" s="28">
        <f t="shared" si="286"/>
        <v>2.8426638804058001E-2</v>
      </c>
      <c r="K455" s="29"/>
      <c r="L455" s="29"/>
      <c r="M455" s="29"/>
      <c r="N455" s="29"/>
      <c r="O455" s="29"/>
      <c r="P455" s="30">
        <f t="shared" si="288"/>
        <v>2.8426638804058001E-2</v>
      </c>
      <c r="Q455" s="31">
        <f t="shared" si="287"/>
        <v>0.59591300000000003</v>
      </c>
    </row>
    <row r="456" spans="1:17" x14ac:dyDescent="0.2">
      <c r="A456" s="10"/>
      <c r="B456" s="26"/>
      <c r="C456" s="11">
        <v>1995</v>
      </c>
      <c r="D456" s="32">
        <f>SPFI_CLB14!$D$18</f>
        <v>0.25400800000000001</v>
      </c>
      <c r="E456" s="32"/>
      <c r="F456" s="32"/>
      <c r="G456" s="32"/>
      <c r="H456" s="32"/>
      <c r="I456" s="32"/>
      <c r="J456" s="28">
        <f t="shared" ref="J456" si="289">D456*J$14</f>
        <v>1.2116858785328E-2</v>
      </c>
      <c r="K456" s="29"/>
      <c r="L456" s="29"/>
      <c r="M456" s="29"/>
      <c r="N456" s="29"/>
      <c r="O456" s="29"/>
      <c r="P456" s="30">
        <f>SUM(J456:O456)</f>
        <v>1.2116858785328E-2</v>
      </c>
      <c r="Q456" s="31">
        <f t="shared" si="287"/>
        <v>0.25400800000000001</v>
      </c>
    </row>
    <row r="457" spans="1:17" x14ac:dyDescent="0.2">
      <c r="A457" s="10"/>
      <c r="B457" s="26"/>
      <c r="C457" s="11">
        <v>1996</v>
      </c>
      <c r="D457" s="32">
        <f>SPFI_CLB14!$D$19</f>
        <v>0</v>
      </c>
      <c r="E457" s="32"/>
      <c r="F457" s="32"/>
      <c r="G457" s="32"/>
      <c r="H457" s="32"/>
      <c r="I457" s="32"/>
      <c r="J457" s="28">
        <f t="shared" ref="J457" si="290">D457*J$14</f>
        <v>0</v>
      </c>
      <c r="K457" s="29"/>
      <c r="L457" s="29"/>
      <c r="M457" s="29"/>
      <c r="N457" s="29"/>
      <c r="O457" s="29"/>
      <c r="P457" s="30">
        <f>SUM(J457:O457)</f>
        <v>0</v>
      </c>
      <c r="Q457" s="31">
        <f t="shared" si="287"/>
        <v>0</v>
      </c>
    </row>
    <row r="458" spans="1:17" x14ac:dyDescent="0.2">
      <c r="A458" s="10"/>
      <c r="B458" s="26"/>
      <c r="C458" s="11">
        <v>1997</v>
      </c>
      <c r="D458" s="32">
        <f>SPFI_CLB14!$D$20</f>
        <v>0.201487</v>
      </c>
      <c r="E458" s="32"/>
      <c r="F458" s="32"/>
      <c r="G458" s="32"/>
      <c r="H458" s="32"/>
      <c r="I458" s="32"/>
      <c r="J458" s="28">
        <f t="shared" ref="J458" si="291">D458*J$14</f>
        <v>9.611467064341999E-3</v>
      </c>
      <c r="K458" s="29"/>
      <c r="L458" s="29"/>
      <c r="M458" s="29"/>
      <c r="N458" s="29"/>
      <c r="O458" s="29"/>
      <c r="P458" s="30">
        <f>SUM(J458:O458)</f>
        <v>9.611467064341999E-3</v>
      </c>
      <c r="Q458" s="31">
        <f t="shared" si="287"/>
        <v>0.201487</v>
      </c>
    </row>
    <row r="459" spans="1:17" x14ac:dyDescent="0.2">
      <c r="A459" s="10"/>
      <c r="B459" s="26"/>
      <c r="C459" s="11">
        <v>1998</v>
      </c>
      <c r="D459" s="32">
        <f>SPFI_CLB14!$D$21</f>
        <v>0.37506400000000001</v>
      </c>
      <c r="E459" s="32"/>
      <c r="F459" s="32"/>
      <c r="G459" s="32"/>
      <c r="H459" s="32"/>
      <c r="I459" s="32"/>
      <c r="J459" s="28">
        <f t="shared" ref="J459" si="292">D459*J$14</f>
        <v>1.7891552720624E-2</v>
      </c>
      <c r="K459" s="29"/>
      <c r="L459" s="29"/>
      <c r="M459" s="29"/>
      <c r="N459" s="29"/>
      <c r="O459" s="29"/>
      <c r="P459" s="30">
        <f>SUM(J459:O459)</f>
        <v>1.7891552720624E-2</v>
      </c>
      <c r="Q459" s="31">
        <f t="shared" si="287"/>
        <v>0.37506400000000001</v>
      </c>
    </row>
    <row r="460" spans="1:17" x14ac:dyDescent="0.2">
      <c r="A460" s="10"/>
      <c r="B460" s="26"/>
      <c r="C460" s="11">
        <v>1999</v>
      </c>
      <c r="D460" s="32">
        <f>SPFI_CLB14!$D$22</f>
        <v>0.29823699999999997</v>
      </c>
      <c r="E460" s="32"/>
      <c r="F460" s="32"/>
      <c r="G460" s="32"/>
      <c r="H460" s="32"/>
      <c r="I460" s="32"/>
      <c r="J460" s="28">
        <f t="shared" ref="J460" si="293">D460*J$14</f>
        <v>1.4226699999841998E-2</v>
      </c>
      <c r="K460" s="29"/>
      <c r="L460" s="29"/>
      <c r="M460" s="29"/>
      <c r="N460" s="29"/>
      <c r="O460" s="29"/>
      <c r="P460" s="30">
        <f>SUM(J460:O460)</f>
        <v>1.4226699999841998E-2</v>
      </c>
      <c r="Q460" s="31">
        <f t="shared" ref="Q460:Q465" si="294">IF(C$14&gt;0,P460/C$14,0)</f>
        <v>0.29823699999999997</v>
      </c>
    </row>
    <row r="461" spans="1:17" x14ac:dyDescent="0.2">
      <c r="A461" s="10"/>
      <c r="B461" s="26"/>
      <c r="C461" s="11">
        <v>2000</v>
      </c>
      <c r="D461" s="32">
        <f>SPFI_CLB14!$D$23</f>
        <v>8.4414000000000003E-2</v>
      </c>
      <c r="E461" s="32"/>
      <c r="F461" s="32"/>
      <c r="G461" s="32"/>
      <c r="H461" s="32"/>
      <c r="I461" s="32"/>
      <c r="J461" s="28">
        <f t="shared" ref="J461" si="295">D461*J$14</f>
        <v>4.026772847724E-3</v>
      </c>
      <c r="K461" s="29"/>
      <c r="L461" s="29"/>
      <c r="M461" s="29"/>
      <c r="N461" s="29"/>
      <c r="O461" s="29"/>
      <c r="P461" s="30">
        <f t="shared" ref="P461:P466" si="296">SUM(J461:O461)</f>
        <v>4.026772847724E-3</v>
      </c>
      <c r="Q461" s="31">
        <f t="shared" si="294"/>
        <v>8.4414000000000003E-2</v>
      </c>
    </row>
    <row r="462" spans="1:17" x14ac:dyDescent="0.2">
      <c r="A462" s="10"/>
      <c r="B462" s="26"/>
      <c r="C462" s="11">
        <v>2001</v>
      </c>
      <c r="D462" s="32">
        <f>SPFI_CLB14!$D$24</f>
        <v>7.8909000000000007E-2</v>
      </c>
      <c r="E462" s="32"/>
      <c r="F462" s="32"/>
      <c r="G462" s="32"/>
      <c r="H462" s="32"/>
      <c r="I462" s="32"/>
      <c r="J462" s="28">
        <f t="shared" ref="J462" si="297">D462*J$14</f>
        <v>3.7641696713940002E-3</v>
      </c>
      <c r="K462" s="29"/>
      <c r="L462" s="29"/>
      <c r="M462" s="29"/>
      <c r="N462" s="29"/>
      <c r="O462" s="29"/>
      <c r="P462" s="30">
        <f t="shared" si="296"/>
        <v>3.7641696713940002E-3</v>
      </c>
      <c r="Q462" s="31">
        <f t="shared" si="294"/>
        <v>7.8909000000000007E-2</v>
      </c>
    </row>
    <row r="463" spans="1:17" x14ac:dyDescent="0.2">
      <c r="A463" s="10"/>
      <c r="B463" s="26"/>
      <c r="C463" s="11">
        <v>2002</v>
      </c>
      <c r="D463" s="32">
        <f>SPFI_CLB14!$D$25</f>
        <v>0.29974699999999999</v>
      </c>
      <c r="E463" s="32"/>
      <c r="F463" s="32"/>
      <c r="G463" s="32"/>
      <c r="H463" s="32"/>
      <c r="I463" s="32"/>
      <c r="J463" s="28">
        <f t="shared" ref="J463" si="298">D463*J$14</f>
        <v>1.4298731025501998E-2</v>
      </c>
      <c r="K463" s="29"/>
      <c r="L463" s="29"/>
      <c r="M463" s="29"/>
      <c r="N463" s="29"/>
      <c r="O463" s="29"/>
      <c r="P463" s="30">
        <f t="shared" si="296"/>
        <v>1.4298731025501998E-2</v>
      </c>
      <c r="Q463" s="31">
        <f t="shared" si="294"/>
        <v>0.29974699999999999</v>
      </c>
    </row>
    <row r="464" spans="1:17" x14ac:dyDescent="0.2">
      <c r="A464" s="10"/>
      <c r="B464" s="26"/>
      <c r="C464" s="11">
        <v>2003</v>
      </c>
      <c r="D464" s="32">
        <f>SPFI_CLB14!$D$26</f>
        <v>0.20691100000000001</v>
      </c>
      <c r="E464" s="32"/>
      <c r="F464" s="32"/>
      <c r="G464" s="32"/>
      <c r="H464" s="32"/>
      <c r="I464" s="32"/>
      <c r="J464" s="28">
        <f t="shared" ref="J464" si="299">D464*J$14</f>
        <v>9.8702063247260007E-3</v>
      </c>
      <c r="K464" s="29"/>
      <c r="L464" s="29"/>
      <c r="M464" s="29"/>
      <c r="N464" s="29"/>
      <c r="O464" s="29"/>
      <c r="P464" s="30">
        <f t="shared" si="296"/>
        <v>9.8702063247260007E-3</v>
      </c>
      <c r="Q464" s="31">
        <f t="shared" si="294"/>
        <v>0.20691100000000001</v>
      </c>
    </row>
    <row r="465" spans="1:17" x14ac:dyDescent="0.2">
      <c r="A465" s="10"/>
      <c r="B465" s="26"/>
      <c r="C465" s="11">
        <v>2004</v>
      </c>
      <c r="D465" s="32">
        <f>SPFI_CLB14!$D$27</f>
        <v>0.269237</v>
      </c>
      <c r="E465" s="32"/>
      <c r="F465" s="32"/>
      <c r="G465" s="32"/>
      <c r="H465" s="32"/>
      <c r="I465" s="32"/>
      <c r="J465" s="28">
        <f t="shared" ref="J465" si="300">D465*J$14</f>
        <v>1.2843322685842E-2</v>
      </c>
      <c r="K465" s="29"/>
      <c r="L465" s="29"/>
      <c r="M465" s="29"/>
      <c r="N465" s="29"/>
      <c r="O465" s="29"/>
      <c r="P465" s="30">
        <f t="shared" si="296"/>
        <v>1.2843322685842E-2</v>
      </c>
      <c r="Q465" s="31">
        <f t="shared" si="294"/>
        <v>0.269237</v>
      </c>
    </row>
    <row r="466" spans="1:17" x14ac:dyDescent="0.2">
      <c r="A466" s="10"/>
      <c r="B466" s="26"/>
      <c r="C466" s="11">
        <v>2005</v>
      </c>
      <c r="D466" s="32">
        <f>SPFI_CLB14!$D$28</f>
        <v>0.37848700000000002</v>
      </c>
      <c r="E466" s="32"/>
      <c r="F466" s="32"/>
      <c r="G466" s="32"/>
      <c r="H466" s="32"/>
      <c r="I466" s="32"/>
      <c r="J466" s="28">
        <f t="shared" ref="J466" si="301">D466*J$14</f>
        <v>1.8054838946342001E-2</v>
      </c>
      <c r="K466" s="29"/>
      <c r="L466" s="29"/>
      <c r="M466" s="29"/>
      <c r="N466" s="29"/>
      <c r="O466" s="29"/>
      <c r="P466" s="30">
        <f t="shared" si="296"/>
        <v>1.8054838946342001E-2</v>
      </c>
      <c r="Q466" s="31">
        <f t="shared" ref="Q466:Q471" si="302">IF(C$14&gt;0,P466/C$14,0)</f>
        <v>0.37848700000000007</v>
      </c>
    </row>
    <row r="467" spans="1:17" x14ac:dyDescent="0.2">
      <c r="A467" s="10"/>
      <c r="B467" s="26"/>
      <c r="C467" s="11">
        <v>2006</v>
      </c>
      <c r="D467" s="32">
        <f>SPFI_CLB14!$D$29</f>
        <v>0.381023</v>
      </c>
      <c r="E467" s="32"/>
      <c r="F467" s="32"/>
      <c r="G467" s="32"/>
      <c r="H467" s="32"/>
      <c r="I467" s="32"/>
      <c r="J467" s="28">
        <f t="shared" ref="J467" si="303">D467*J$14</f>
        <v>1.8175812907317998E-2</v>
      </c>
      <c r="K467" s="29"/>
      <c r="L467" s="29"/>
      <c r="M467" s="29"/>
      <c r="N467" s="29"/>
      <c r="O467" s="29"/>
      <c r="P467" s="30">
        <f t="shared" ref="P467:P474" si="304">SUM(J467:O467)</f>
        <v>1.8175812907317998E-2</v>
      </c>
      <c r="Q467" s="31">
        <f t="shared" si="302"/>
        <v>0.381023</v>
      </c>
    </row>
    <row r="468" spans="1:17" x14ac:dyDescent="0.2">
      <c r="A468" s="10"/>
      <c r="B468" s="26"/>
      <c r="C468" s="11">
        <v>2007</v>
      </c>
      <c r="D468" s="32">
        <f>SPFI_CLB14!$D$30</f>
        <v>0.356512</v>
      </c>
      <c r="E468" s="32"/>
      <c r="F468" s="32"/>
      <c r="G468" s="32"/>
      <c r="H468" s="32"/>
      <c r="I468" s="32"/>
      <c r="J468" s="28">
        <f t="shared" ref="J468" si="305">D468*J$14</f>
        <v>1.7006572860991997E-2</v>
      </c>
      <c r="K468" s="29"/>
      <c r="L468" s="29"/>
      <c r="M468" s="29"/>
      <c r="N468" s="29"/>
      <c r="O468" s="29"/>
      <c r="P468" s="30">
        <f t="shared" si="304"/>
        <v>1.7006572860991997E-2</v>
      </c>
      <c r="Q468" s="31">
        <f t="shared" si="302"/>
        <v>0.35651199999999994</v>
      </c>
    </row>
    <row r="469" spans="1:17" x14ac:dyDescent="0.2">
      <c r="A469" s="10"/>
      <c r="B469" s="26"/>
      <c r="C469" s="11">
        <v>2008</v>
      </c>
      <c r="D469" s="32">
        <f>SPFI_CLB14!$D$31</f>
        <v>0.25494499999999998</v>
      </c>
      <c r="E469" s="32"/>
      <c r="F469" s="32"/>
      <c r="G469" s="32"/>
      <c r="H469" s="32"/>
      <c r="I469" s="32"/>
      <c r="J469" s="28">
        <f t="shared" ref="J469" si="306">D469*J$14</f>
        <v>1.2161556183369998E-2</v>
      </c>
      <c r="K469" s="29"/>
      <c r="L469" s="29"/>
      <c r="M469" s="29"/>
      <c r="N469" s="29"/>
      <c r="O469" s="29"/>
      <c r="P469" s="30">
        <f t="shared" si="304"/>
        <v>1.2161556183369998E-2</v>
      </c>
      <c r="Q469" s="31">
        <f t="shared" si="302"/>
        <v>0.25494499999999998</v>
      </c>
    </row>
    <row r="470" spans="1:17" x14ac:dyDescent="0.2">
      <c r="A470" s="10"/>
      <c r="B470" s="26"/>
      <c r="C470" s="11">
        <v>2009</v>
      </c>
      <c r="D470" s="32">
        <f>SPFI_CLB14!$D$32</f>
        <v>0.52383000000000002</v>
      </c>
      <c r="E470" s="32"/>
      <c r="F470" s="32"/>
      <c r="G470" s="32"/>
      <c r="H470" s="32"/>
      <c r="I470" s="32"/>
      <c r="J470" s="28">
        <f t="shared" ref="J470" si="307">D470*J$14</f>
        <v>2.4988087530779999E-2</v>
      </c>
      <c r="K470" s="29"/>
      <c r="L470" s="29"/>
      <c r="M470" s="29"/>
      <c r="N470" s="29"/>
      <c r="O470" s="29"/>
      <c r="P470" s="30">
        <f t="shared" si="304"/>
        <v>2.4988087530779999E-2</v>
      </c>
      <c r="Q470" s="31">
        <f t="shared" si="302"/>
        <v>0.52383000000000002</v>
      </c>
    </row>
    <row r="471" spans="1:17" x14ac:dyDescent="0.2">
      <c r="A471" s="10"/>
      <c r="B471" s="26"/>
      <c r="C471" s="11">
        <v>2010</v>
      </c>
      <c r="D471" s="32">
        <f>SPFI_CLB14!$D$33</f>
        <v>0.31394</v>
      </c>
      <c r="E471" s="32"/>
      <c r="F471" s="32"/>
      <c r="G471" s="32"/>
      <c r="H471" s="32"/>
      <c r="I471" s="32"/>
      <c r="J471" s="28">
        <f t="shared" ref="J471" si="308">D471*J$14</f>
        <v>1.497577496404E-2</v>
      </c>
      <c r="K471" s="29"/>
      <c r="L471" s="29"/>
      <c r="M471" s="29"/>
      <c r="N471" s="29"/>
      <c r="O471" s="29"/>
      <c r="P471" s="30">
        <f t="shared" si="304"/>
        <v>1.497577496404E-2</v>
      </c>
      <c r="Q471" s="31">
        <f t="shared" si="302"/>
        <v>0.31394</v>
      </c>
    </row>
    <row r="472" spans="1:17" x14ac:dyDescent="0.2">
      <c r="A472" s="10"/>
      <c r="B472" s="26"/>
      <c r="C472" s="11">
        <v>2011</v>
      </c>
      <c r="D472" s="32">
        <f>SPFI_CLB14!$D$34</f>
        <v>0.294348</v>
      </c>
      <c r="E472" s="32"/>
      <c r="F472" s="32"/>
      <c r="G472" s="32"/>
      <c r="H472" s="32"/>
      <c r="I472" s="32"/>
      <c r="J472" s="28">
        <f t="shared" ref="J472" si="309">D472*J$14</f>
        <v>1.4041184331767998E-2</v>
      </c>
      <c r="K472" s="29"/>
      <c r="L472" s="29"/>
      <c r="M472" s="29"/>
      <c r="N472" s="29"/>
      <c r="O472" s="29"/>
      <c r="P472" s="30">
        <f t="shared" ref="P472" si="310">SUM(J472:O472)</f>
        <v>1.4041184331767998E-2</v>
      </c>
      <c r="Q472" s="31">
        <f t="shared" ref="Q472" si="311">IF(C$14&gt;0,P472/C$14,0)</f>
        <v>0.294348</v>
      </c>
    </row>
    <row r="473" spans="1:17" x14ac:dyDescent="0.2">
      <c r="A473" s="10"/>
      <c r="B473" s="26"/>
      <c r="C473" s="11">
        <v>2012</v>
      </c>
      <c r="D473" s="32">
        <f>SPFI_CLB14!$D$35</f>
        <v>0.34784100000000001</v>
      </c>
      <c r="E473" s="32"/>
      <c r="F473" s="32"/>
      <c r="G473" s="32"/>
      <c r="H473" s="32"/>
      <c r="I473" s="32"/>
      <c r="J473" s="28">
        <f t="shared" ref="J473" si="312">D473*J$14</f>
        <v>1.6592943044105999E-2</v>
      </c>
      <c r="K473" s="29"/>
      <c r="L473" s="29"/>
      <c r="M473" s="29"/>
      <c r="N473" s="29"/>
      <c r="O473" s="29"/>
      <c r="P473" s="30">
        <f t="shared" ref="P473" si="313">SUM(J473:O473)</f>
        <v>1.6592943044105999E-2</v>
      </c>
      <c r="Q473" s="31">
        <f t="shared" ref="Q473" si="314">IF(C$14&gt;0,P473/C$14,0)</f>
        <v>0.34784100000000001</v>
      </c>
    </row>
    <row r="474" spans="1:17" x14ac:dyDescent="0.2">
      <c r="A474" s="5" t="s">
        <v>8</v>
      </c>
      <c r="B474" s="21">
        <v>5</v>
      </c>
      <c r="C474" s="6">
        <v>1982</v>
      </c>
      <c r="D474" s="27">
        <f>SPFI_CLB14!$D$5</f>
        <v>0.98153299999999999</v>
      </c>
      <c r="E474" s="27"/>
      <c r="F474" s="27"/>
      <c r="G474" s="27"/>
      <c r="H474" s="27"/>
      <c r="I474" s="27"/>
      <c r="J474" s="33">
        <f t="shared" ref="J474:J486" si="315">D474*J$15</f>
        <v>0.12363155081612999</v>
      </c>
      <c r="K474" s="27"/>
      <c r="L474" s="27"/>
      <c r="M474" s="27"/>
      <c r="N474" s="27"/>
      <c r="O474" s="27"/>
      <c r="P474" s="34">
        <f t="shared" si="304"/>
        <v>0.12363155081612999</v>
      </c>
      <c r="Q474" s="35">
        <f t="shared" ref="Q474:Q490" si="316">IF(C$15&gt;0,P474/C$15,0)</f>
        <v>0.98153299999999999</v>
      </c>
    </row>
    <row r="475" spans="1:17" x14ac:dyDescent="0.2">
      <c r="A475" s="10"/>
      <c r="B475" s="26"/>
      <c r="C475" s="11">
        <v>1983</v>
      </c>
      <c r="D475" s="32">
        <f>SPFI_CLB14!$D$6</f>
        <v>0.93659899999999996</v>
      </c>
      <c r="E475" s="32"/>
      <c r="F475" s="32"/>
      <c r="G475" s="32"/>
      <c r="H475" s="32"/>
      <c r="I475" s="32"/>
      <c r="J475" s="28">
        <f t="shared" si="315"/>
        <v>0.11797177156838999</v>
      </c>
      <c r="K475" s="29"/>
      <c r="L475" s="29"/>
      <c r="M475" s="29"/>
      <c r="N475" s="29"/>
      <c r="O475" s="29"/>
      <c r="P475" s="30">
        <f t="shared" ref="P475:P486" si="317">SUM(J475:O475)</f>
        <v>0.11797177156838999</v>
      </c>
      <c r="Q475" s="31">
        <f t="shared" si="316"/>
        <v>0.93659899999999996</v>
      </c>
    </row>
    <row r="476" spans="1:17" x14ac:dyDescent="0.2">
      <c r="A476" s="10"/>
      <c r="B476" s="26"/>
      <c r="C476" s="11">
        <v>1984</v>
      </c>
      <c r="D476" s="32">
        <f>SPFI_CLB14!$D$7</f>
        <v>0.92793599999999998</v>
      </c>
      <c r="E476" s="32"/>
      <c r="F476" s="32"/>
      <c r="G476" s="32"/>
      <c r="H476" s="32"/>
      <c r="I476" s="32"/>
      <c r="J476" s="28">
        <f t="shared" si="315"/>
        <v>0.11688060079295999</v>
      </c>
      <c r="K476" s="29"/>
      <c r="L476" s="29"/>
      <c r="M476" s="29"/>
      <c r="N476" s="29"/>
      <c r="O476" s="29"/>
      <c r="P476" s="30">
        <f t="shared" si="317"/>
        <v>0.11688060079295999</v>
      </c>
      <c r="Q476" s="31">
        <f t="shared" si="316"/>
        <v>0.92793599999999998</v>
      </c>
    </row>
    <row r="477" spans="1:17" x14ac:dyDescent="0.2">
      <c r="A477" s="10"/>
      <c r="B477" s="26"/>
      <c r="C477" s="11">
        <v>1985</v>
      </c>
      <c r="D477" s="32">
        <f>SPFI_CLB14!$D$8</f>
        <v>0.90386500000000003</v>
      </c>
      <c r="E477" s="32"/>
      <c r="F477" s="32"/>
      <c r="G477" s="32"/>
      <c r="H477" s="32"/>
      <c r="I477" s="32"/>
      <c r="J477" s="28">
        <f t="shared" si="315"/>
        <v>0.11384867516265</v>
      </c>
      <c r="K477" s="29"/>
      <c r="L477" s="29"/>
      <c r="M477" s="29"/>
      <c r="N477" s="29"/>
      <c r="O477" s="29"/>
      <c r="P477" s="30">
        <f t="shared" si="317"/>
        <v>0.11384867516265</v>
      </c>
      <c r="Q477" s="31">
        <f t="shared" si="316"/>
        <v>0.90386500000000003</v>
      </c>
    </row>
    <row r="478" spans="1:17" x14ac:dyDescent="0.2">
      <c r="A478" s="10"/>
      <c r="B478" s="26"/>
      <c r="C478" s="11">
        <v>1986</v>
      </c>
      <c r="D478" s="32">
        <f>SPFI_CLB14!$D$9</f>
        <v>0.73087500000000005</v>
      </c>
      <c r="E478" s="32"/>
      <c r="F478" s="32"/>
      <c r="G478" s="32"/>
      <c r="H478" s="32"/>
      <c r="I478" s="32"/>
      <c r="J478" s="28">
        <f t="shared" si="315"/>
        <v>9.2059268208750003E-2</v>
      </c>
      <c r="K478" s="29"/>
      <c r="L478" s="29"/>
      <c r="M478" s="29"/>
      <c r="N478" s="29"/>
      <c r="O478" s="29"/>
      <c r="P478" s="30">
        <f t="shared" si="317"/>
        <v>9.2059268208750003E-2</v>
      </c>
      <c r="Q478" s="31">
        <f t="shared" si="316"/>
        <v>0.73087500000000005</v>
      </c>
    </row>
    <row r="479" spans="1:17" x14ac:dyDescent="0.2">
      <c r="A479" s="10"/>
      <c r="B479" s="26"/>
      <c r="C479" s="11">
        <v>1987</v>
      </c>
      <c r="D479" s="32">
        <f>SPFI_CLB14!$D$10</f>
        <v>0.71733499999999994</v>
      </c>
      <c r="E479" s="32"/>
      <c r="F479" s="32"/>
      <c r="G479" s="32"/>
      <c r="H479" s="32"/>
      <c r="I479" s="32"/>
      <c r="J479" s="28">
        <f t="shared" si="315"/>
        <v>9.0353802169349989E-2</v>
      </c>
      <c r="K479" s="29"/>
      <c r="L479" s="29"/>
      <c r="M479" s="29"/>
      <c r="N479" s="29"/>
      <c r="O479" s="29"/>
      <c r="P479" s="30">
        <f t="shared" si="317"/>
        <v>9.0353802169349989E-2</v>
      </c>
      <c r="Q479" s="31">
        <f t="shared" si="316"/>
        <v>0.71733499999999994</v>
      </c>
    </row>
    <row r="480" spans="1:17" x14ac:dyDescent="0.2">
      <c r="A480" s="10"/>
      <c r="B480" s="26"/>
      <c r="C480" s="11">
        <v>1988</v>
      </c>
      <c r="D480" s="32">
        <f>SPFI_CLB14!$D$11</f>
        <v>0.64558800000000005</v>
      </c>
      <c r="E480" s="32"/>
      <c r="F480" s="32"/>
      <c r="G480" s="32"/>
      <c r="H480" s="32"/>
      <c r="I480" s="32"/>
      <c r="J480" s="28">
        <f t="shared" si="315"/>
        <v>8.1316721524680002E-2</v>
      </c>
      <c r="K480" s="29"/>
      <c r="L480" s="29"/>
      <c r="M480" s="29"/>
      <c r="N480" s="29"/>
      <c r="O480" s="29"/>
      <c r="P480" s="30">
        <f t="shared" si="317"/>
        <v>8.1316721524680002E-2</v>
      </c>
      <c r="Q480" s="31">
        <f t="shared" si="316"/>
        <v>0.64558800000000005</v>
      </c>
    </row>
    <row r="481" spans="1:17" x14ac:dyDescent="0.2">
      <c r="A481" s="10"/>
      <c r="B481" s="26"/>
      <c r="C481" s="11">
        <v>1989</v>
      </c>
      <c r="D481" s="32">
        <f>SPFI_CLB14!$D$12</f>
        <v>0.65287700000000004</v>
      </c>
      <c r="E481" s="32"/>
      <c r="F481" s="32"/>
      <c r="G481" s="32"/>
      <c r="H481" s="32"/>
      <c r="I481" s="32"/>
      <c r="J481" s="28">
        <f t="shared" si="315"/>
        <v>8.2234826543970005E-2</v>
      </c>
      <c r="K481" s="29"/>
      <c r="L481" s="29"/>
      <c r="M481" s="29"/>
      <c r="N481" s="29"/>
      <c r="O481" s="29"/>
      <c r="P481" s="30">
        <f t="shared" si="317"/>
        <v>8.2234826543970005E-2</v>
      </c>
      <c r="Q481" s="31">
        <f t="shared" si="316"/>
        <v>0.65287700000000004</v>
      </c>
    </row>
    <row r="482" spans="1:17" x14ac:dyDescent="0.2">
      <c r="A482" s="10"/>
      <c r="B482" s="26"/>
      <c r="C482" s="11">
        <v>1990</v>
      </c>
      <c r="D482" s="32">
        <f>SPFI_CLB14!$D$13</f>
        <v>0.56965100000000002</v>
      </c>
      <c r="E482" s="32"/>
      <c r="F482" s="32"/>
      <c r="G482" s="32"/>
      <c r="H482" s="32"/>
      <c r="I482" s="32"/>
      <c r="J482" s="28">
        <f t="shared" si="315"/>
        <v>7.1751878494109994E-2</v>
      </c>
      <c r="K482" s="29"/>
      <c r="L482" s="29"/>
      <c r="M482" s="29"/>
      <c r="N482" s="29"/>
      <c r="O482" s="29"/>
      <c r="P482" s="30">
        <f t="shared" si="317"/>
        <v>7.1751878494109994E-2</v>
      </c>
      <c r="Q482" s="31">
        <f t="shared" si="316"/>
        <v>0.56965100000000002</v>
      </c>
    </row>
    <row r="483" spans="1:17" x14ac:dyDescent="0.2">
      <c r="A483" s="10"/>
      <c r="B483" s="26"/>
      <c r="C483" s="11">
        <v>1991</v>
      </c>
      <c r="D483" s="32">
        <f>SPFI_CLB14!$D$14</f>
        <v>0.62776900000000002</v>
      </c>
      <c r="E483" s="32"/>
      <c r="F483" s="32"/>
      <c r="G483" s="32"/>
      <c r="H483" s="32"/>
      <c r="I483" s="32"/>
      <c r="J483" s="28">
        <f t="shared" si="315"/>
        <v>7.9072282872090005E-2</v>
      </c>
      <c r="K483" s="29"/>
      <c r="L483" s="29"/>
      <c r="M483" s="29"/>
      <c r="N483" s="29"/>
      <c r="O483" s="29"/>
      <c r="P483" s="30">
        <f t="shared" si="317"/>
        <v>7.9072282872090005E-2</v>
      </c>
      <c r="Q483" s="31">
        <f t="shared" si="316"/>
        <v>0.62776900000000002</v>
      </c>
    </row>
    <row r="484" spans="1:17" x14ac:dyDescent="0.2">
      <c r="A484" s="10"/>
      <c r="B484" s="26"/>
      <c r="C484" s="11">
        <v>1992</v>
      </c>
      <c r="D484" s="32">
        <f>SPFI_CLB14!$D$15</f>
        <v>0.43504100000000001</v>
      </c>
      <c r="E484" s="32"/>
      <c r="F484" s="32"/>
      <c r="G484" s="32"/>
      <c r="H484" s="32"/>
      <c r="I484" s="32"/>
      <c r="J484" s="28">
        <f t="shared" si="315"/>
        <v>5.4796724612010003E-2</v>
      </c>
      <c r="K484" s="29"/>
      <c r="L484" s="29"/>
      <c r="M484" s="29"/>
      <c r="N484" s="29"/>
      <c r="O484" s="29"/>
      <c r="P484" s="30">
        <f t="shared" si="317"/>
        <v>5.4796724612010003E-2</v>
      </c>
      <c r="Q484" s="31">
        <f t="shared" si="316"/>
        <v>0.43504100000000001</v>
      </c>
    </row>
    <row r="485" spans="1:17" x14ac:dyDescent="0.2">
      <c r="A485" s="10"/>
      <c r="B485" s="26"/>
      <c r="C485" s="11">
        <v>1993</v>
      </c>
      <c r="D485" s="32">
        <f>SPFI_CLB14!$D$16</f>
        <v>0.499164</v>
      </c>
      <c r="E485" s="32"/>
      <c r="F485" s="32"/>
      <c r="G485" s="32"/>
      <c r="H485" s="32"/>
      <c r="I485" s="32"/>
      <c r="J485" s="28">
        <f t="shared" si="315"/>
        <v>6.2873504438040004E-2</v>
      </c>
      <c r="K485" s="29"/>
      <c r="L485" s="29"/>
      <c r="M485" s="29"/>
      <c r="N485" s="29"/>
      <c r="O485" s="29"/>
      <c r="P485" s="30">
        <f t="shared" si="317"/>
        <v>6.2873504438040004E-2</v>
      </c>
      <c r="Q485" s="31">
        <f t="shared" si="316"/>
        <v>0.49916400000000005</v>
      </c>
    </row>
    <row r="486" spans="1:17" x14ac:dyDescent="0.2">
      <c r="A486" s="10"/>
      <c r="B486" s="26"/>
      <c r="C486" s="11">
        <v>1994</v>
      </c>
      <c r="D486" s="32">
        <f>SPFI_CLB14!$D$17</f>
        <v>0.59591300000000003</v>
      </c>
      <c r="E486" s="32"/>
      <c r="F486" s="32"/>
      <c r="G486" s="32"/>
      <c r="H486" s="32"/>
      <c r="I486" s="32"/>
      <c r="J486" s="28">
        <f t="shared" si="315"/>
        <v>7.5059777247930004E-2</v>
      </c>
      <c r="K486" s="29"/>
      <c r="L486" s="29"/>
      <c r="M486" s="29"/>
      <c r="N486" s="29"/>
      <c r="O486" s="29"/>
      <c r="P486" s="30">
        <f t="shared" si="317"/>
        <v>7.5059777247930004E-2</v>
      </c>
      <c r="Q486" s="31">
        <f t="shared" si="316"/>
        <v>0.59591300000000003</v>
      </c>
    </row>
    <row r="487" spans="1:17" x14ac:dyDescent="0.2">
      <c r="A487" s="10"/>
      <c r="B487" s="26"/>
      <c r="C487" s="11">
        <v>1995</v>
      </c>
      <c r="D487" s="32">
        <f>SPFI_CLB14!$D$18</f>
        <v>0.25400800000000001</v>
      </c>
      <c r="E487" s="32"/>
      <c r="F487" s="32"/>
      <c r="G487" s="32"/>
      <c r="H487" s="32"/>
      <c r="I487" s="32"/>
      <c r="J487" s="28">
        <f t="shared" ref="J487" si="318">D487*J$15</f>
        <v>3.1994240600879999E-2</v>
      </c>
      <c r="K487" s="29"/>
      <c r="L487" s="29"/>
      <c r="M487" s="29"/>
      <c r="N487" s="29"/>
      <c r="O487" s="29"/>
      <c r="P487" s="30">
        <f>SUM(J487:O487)</f>
        <v>3.1994240600879999E-2</v>
      </c>
      <c r="Q487" s="31">
        <f t="shared" si="316"/>
        <v>0.25400800000000001</v>
      </c>
    </row>
    <row r="488" spans="1:17" x14ac:dyDescent="0.2">
      <c r="A488" s="10"/>
      <c r="B488" s="26"/>
      <c r="C488" s="11">
        <v>1996</v>
      </c>
      <c r="D488" s="32">
        <f>SPFI_CLB14!$D$19</f>
        <v>0</v>
      </c>
      <c r="E488" s="32"/>
      <c r="F488" s="32"/>
      <c r="G488" s="32"/>
      <c r="H488" s="32"/>
      <c r="I488" s="32"/>
      <c r="J488" s="28">
        <f t="shared" ref="J488" si="319">D488*J$15</f>
        <v>0</v>
      </c>
      <c r="K488" s="29"/>
      <c r="L488" s="29"/>
      <c r="M488" s="29"/>
      <c r="N488" s="29"/>
      <c r="O488" s="29"/>
      <c r="P488" s="30">
        <f>SUM(J488:O488)</f>
        <v>0</v>
      </c>
      <c r="Q488" s="31">
        <f t="shared" si="316"/>
        <v>0</v>
      </c>
    </row>
    <row r="489" spans="1:17" x14ac:dyDescent="0.2">
      <c r="A489" s="10"/>
      <c r="B489" s="26"/>
      <c r="C489" s="11">
        <v>1997</v>
      </c>
      <c r="D489" s="32">
        <f>SPFI_CLB14!$D$20</f>
        <v>0.201487</v>
      </c>
      <c r="E489" s="32"/>
      <c r="F489" s="32"/>
      <c r="G489" s="32"/>
      <c r="H489" s="32"/>
      <c r="I489" s="32"/>
      <c r="J489" s="28">
        <f t="shared" ref="J489" si="320">D489*J$15</f>
        <v>2.5378820966069998E-2</v>
      </c>
      <c r="K489" s="29"/>
      <c r="L489" s="29"/>
      <c r="M489" s="29"/>
      <c r="N489" s="29"/>
      <c r="O489" s="29"/>
      <c r="P489" s="30">
        <f>SUM(J489:O489)</f>
        <v>2.5378820966069998E-2</v>
      </c>
      <c r="Q489" s="31">
        <f t="shared" si="316"/>
        <v>0.201487</v>
      </c>
    </row>
    <row r="490" spans="1:17" x14ac:dyDescent="0.2">
      <c r="A490" s="10"/>
      <c r="B490" s="26"/>
      <c r="C490" s="11">
        <v>1998</v>
      </c>
      <c r="D490" s="32">
        <f>SPFI_CLB14!$D$21</f>
        <v>0.37506400000000001</v>
      </c>
      <c r="E490" s="32"/>
      <c r="F490" s="32"/>
      <c r="G490" s="32"/>
      <c r="H490" s="32"/>
      <c r="I490" s="32"/>
      <c r="J490" s="28">
        <f t="shared" ref="J490" si="321">D490*J$15</f>
        <v>4.7242165037039999E-2</v>
      </c>
      <c r="K490" s="29"/>
      <c r="L490" s="29"/>
      <c r="M490" s="29"/>
      <c r="N490" s="29"/>
      <c r="O490" s="29"/>
      <c r="P490" s="30">
        <f>SUM(J490:O490)</f>
        <v>4.7242165037039999E-2</v>
      </c>
      <c r="Q490" s="31">
        <f t="shared" si="316"/>
        <v>0.37506400000000001</v>
      </c>
    </row>
    <row r="491" spans="1:17" x14ac:dyDescent="0.2">
      <c r="A491" s="10"/>
      <c r="B491" s="26"/>
      <c r="C491" s="11">
        <v>1999</v>
      </c>
      <c r="D491" s="32">
        <f>SPFI_CLB14!$D$22</f>
        <v>0.29823699999999997</v>
      </c>
      <c r="E491" s="32"/>
      <c r="F491" s="32"/>
      <c r="G491" s="32"/>
      <c r="H491" s="32"/>
      <c r="I491" s="32"/>
      <c r="J491" s="28">
        <f t="shared" ref="J491" si="322">D491*J$15</f>
        <v>3.7565219733569993E-2</v>
      </c>
      <c r="K491" s="29"/>
      <c r="L491" s="29"/>
      <c r="M491" s="29"/>
      <c r="N491" s="29"/>
      <c r="O491" s="29"/>
      <c r="P491" s="30">
        <f>SUM(J491:O491)</f>
        <v>3.7565219733569993E-2</v>
      </c>
      <c r="Q491" s="31">
        <f t="shared" ref="Q491:Q496" si="323">IF(C$15&gt;0,P491/C$15,0)</f>
        <v>0.29823699999999997</v>
      </c>
    </row>
    <row r="492" spans="1:17" x14ac:dyDescent="0.2">
      <c r="A492" s="10"/>
      <c r="B492" s="26"/>
      <c r="C492" s="11">
        <v>2000</v>
      </c>
      <c r="D492" s="32">
        <f>SPFI_CLB14!$D$23</f>
        <v>8.4414000000000003E-2</v>
      </c>
      <c r="E492" s="32"/>
      <c r="F492" s="32"/>
      <c r="G492" s="32"/>
      <c r="H492" s="32"/>
      <c r="I492" s="32"/>
      <c r="J492" s="28">
        <f t="shared" ref="J492" si="324">D492*J$15</f>
        <v>1.063258569054E-2</v>
      </c>
      <c r="K492" s="29"/>
      <c r="L492" s="29"/>
      <c r="M492" s="29"/>
      <c r="N492" s="29"/>
      <c r="O492" s="29"/>
      <c r="P492" s="30">
        <f t="shared" ref="P492:P497" si="325">SUM(J492:O492)</f>
        <v>1.063258569054E-2</v>
      </c>
      <c r="Q492" s="31">
        <f t="shared" si="323"/>
        <v>8.4414000000000003E-2</v>
      </c>
    </row>
    <row r="493" spans="1:17" x14ac:dyDescent="0.2">
      <c r="A493" s="10"/>
      <c r="B493" s="26"/>
      <c r="C493" s="11">
        <v>2001</v>
      </c>
      <c r="D493" s="32">
        <f>SPFI_CLB14!$D$24</f>
        <v>7.8909000000000007E-2</v>
      </c>
      <c r="E493" s="32"/>
      <c r="F493" s="32"/>
      <c r="G493" s="32"/>
      <c r="H493" s="32"/>
      <c r="I493" s="32"/>
      <c r="J493" s="28">
        <f t="shared" ref="J493" si="326">D493*J$15</f>
        <v>9.9391890474900008E-3</v>
      </c>
      <c r="K493" s="29"/>
      <c r="L493" s="29"/>
      <c r="M493" s="29"/>
      <c r="N493" s="29"/>
      <c r="O493" s="29"/>
      <c r="P493" s="30">
        <f t="shared" si="325"/>
        <v>9.9391890474900008E-3</v>
      </c>
      <c r="Q493" s="31">
        <f t="shared" si="323"/>
        <v>7.8909000000000007E-2</v>
      </c>
    </row>
    <row r="494" spans="1:17" x14ac:dyDescent="0.2">
      <c r="A494" s="10"/>
      <c r="B494" s="26"/>
      <c r="C494" s="11">
        <v>2002</v>
      </c>
      <c r="D494" s="32">
        <f>SPFI_CLB14!$D$25</f>
        <v>0.29974699999999999</v>
      </c>
      <c r="E494" s="32"/>
      <c r="F494" s="32"/>
      <c r="G494" s="32"/>
      <c r="H494" s="32"/>
      <c r="I494" s="32"/>
      <c r="J494" s="28">
        <f t="shared" ref="J494" si="327">D494*J$15</f>
        <v>3.7755415724669998E-2</v>
      </c>
      <c r="K494" s="29"/>
      <c r="L494" s="29"/>
      <c r="M494" s="29"/>
      <c r="N494" s="29"/>
      <c r="O494" s="29"/>
      <c r="P494" s="30">
        <f t="shared" si="325"/>
        <v>3.7755415724669998E-2</v>
      </c>
      <c r="Q494" s="31">
        <f t="shared" si="323"/>
        <v>0.29974699999999999</v>
      </c>
    </row>
    <row r="495" spans="1:17" x14ac:dyDescent="0.2">
      <c r="A495" s="10"/>
      <c r="B495" s="26"/>
      <c r="C495" s="11">
        <v>2003</v>
      </c>
      <c r="D495" s="32">
        <f>SPFI_CLB14!$D$26</f>
        <v>0.20691100000000001</v>
      </c>
      <c r="E495" s="32"/>
      <c r="F495" s="32"/>
      <c r="G495" s="32"/>
      <c r="H495" s="32"/>
      <c r="I495" s="32"/>
      <c r="J495" s="28">
        <f t="shared" ref="J495" si="328">D495*J$15</f>
        <v>2.606201504271E-2</v>
      </c>
      <c r="K495" s="29"/>
      <c r="L495" s="29"/>
      <c r="M495" s="29"/>
      <c r="N495" s="29"/>
      <c r="O495" s="29"/>
      <c r="P495" s="30">
        <f t="shared" si="325"/>
        <v>2.606201504271E-2</v>
      </c>
      <c r="Q495" s="31">
        <f t="shared" si="323"/>
        <v>0.20691100000000001</v>
      </c>
    </row>
    <row r="496" spans="1:17" x14ac:dyDescent="0.2">
      <c r="A496" s="10"/>
      <c r="B496" s="26"/>
      <c r="C496" s="11">
        <v>2004</v>
      </c>
      <c r="D496" s="32">
        <f>SPFI_CLB14!$D$27</f>
        <v>0.269237</v>
      </c>
      <c r="E496" s="32"/>
      <c r="F496" s="32"/>
      <c r="G496" s="32"/>
      <c r="H496" s="32"/>
      <c r="I496" s="32"/>
      <c r="J496" s="28">
        <f t="shared" ref="J496" si="329">D496*J$15</f>
        <v>3.3912449043569999E-2</v>
      </c>
      <c r="K496" s="29"/>
      <c r="L496" s="29"/>
      <c r="M496" s="29"/>
      <c r="N496" s="29"/>
      <c r="O496" s="29"/>
      <c r="P496" s="30">
        <f t="shared" si="325"/>
        <v>3.3912449043569999E-2</v>
      </c>
      <c r="Q496" s="31">
        <f t="shared" si="323"/>
        <v>0.269237</v>
      </c>
    </row>
    <row r="497" spans="1:17" x14ac:dyDescent="0.2">
      <c r="A497" s="10"/>
      <c r="B497" s="26"/>
      <c r="C497" s="11">
        <v>2005</v>
      </c>
      <c r="D497" s="32">
        <f>SPFI_CLB14!$D$28</f>
        <v>0.37848700000000002</v>
      </c>
      <c r="E497" s="32"/>
      <c r="F497" s="32"/>
      <c r="G497" s="32"/>
      <c r="H497" s="32"/>
      <c r="I497" s="32"/>
      <c r="J497" s="28">
        <f t="shared" ref="J497" si="330">D497*J$15</f>
        <v>4.7673317936069999E-2</v>
      </c>
      <c r="K497" s="29"/>
      <c r="L497" s="29"/>
      <c r="M497" s="29"/>
      <c r="N497" s="29"/>
      <c r="O497" s="29"/>
      <c r="P497" s="30">
        <f t="shared" si="325"/>
        <v>4.7673317936069999E-2</v>
      </c>
      <c r="Q497" s="31">
        <f t="shared" ref="Q497:Q502" si="331">IF(C$15&gt;0,P497/C$15,0)</f>
        <v>0.37848700000000002</v>
      </c>
    </row>
    <row r="498" spans="1:17" x14ac:dyDescent="0.2">
      <c r="A498" s="10"/>
      <c r="B498" s="26"/>
      <c r="C498" s="11">
        <v>2006</v>
      </c>
      <c r="D498" s="32">
        <f>SPFI_CLB14!$D$29</f>
        <v>0.381023</v>
      </c>
      <c r="E498" s="32"/>
      <c r="F498" s="32"/>
      <c r="G498" s="32"/>
      <c r="H498" s="32"/>
      <c r="I498" s="32"/>
      <c r="J498" s="28">
        <f t="shared" ref="J498" si="332">D498*J$15</f>
        <v>4.7992746435030001E-2</v>
      </c>
      <c r="K498" s="29"/>
      <c r="L498" s="29"/>
      <c r="M498" s="29"/>
      <c r="N498" s="29"/>
      <c r="O498" s="29"/>
      <c r="P498" s="30">
        <f t="shared" ref="P498:P505" si="333">SUM(J498:O498)</f>
        <v>4.7992746435030001E-2</v>
      </c>
      <c r="Q498" s="31">
        <f t="shared" si="331"/>
        <v>0.381023</v>
      </c>
    </row>
    <row r="499" spans="1:17" x14ac:dyDescent="0.2">
      <c r="A499" s="10"/>
      <c r="B499" s="26"/>
      <c r="C499" s="11">
        <v>2007</v>
      </c>
      <c r="D499" s="32">
        <f>SPFI_CLB14!$D$30</f>
        <v>0.356512</v>
      </c>
      <c r="E499" s="32"/>
      <c r="F499" s="32"/>
      <c r="G499" s="32"/>
      <c r="H499" s="32"/>
      <c r="I499" s="32"/>
      <c r="J499" s="28">
        <f t="shared" ref="J499" si="334">D499*J$15</f>
        <v>4.4905399456320001E-2</v>
      </c>
      <c r="K499" s="29"/>
      <c r="L499" s="29"/>
      <c r="M499" s="29"/>
      <c r="N499" s="29"/>
      <c r="O499" s="29"/>
      <c r="P499" s="30">
        <f t="shared" si="333"/>
        <v>4.4905399456320001E-2</v>
      </c>
      <c r="Q499" s="31">
        <f t="shared" si="331"/>
        <v>0.356512</v>
      </c>
    </row>
    <row r="500" spans="1:17" x14ac:dyDescent="0.2">
      <c r="A500" s="10"/>
      <c r="B500" s="26"/>
      <c r="C500" s="11">
        <v>2008</v>
      </c>
      <c r="D500" s="32">
        <f>SPFI_CLB14!$D$31</f>
        <v>0.25494499999999998</v>
      </c>
      <c r="E500" s="32"/>
      <c r="F500" s="32"/>
      <c r="G500" s="32"/>
      <c r="H500" s="32"/>
      <c r="I500" s="32"/>
      <c r="J500" s="28">
        <f t="shared" ref="J500" si="335">D500*J$15</f>
        <v>3.2112262881449999E-2</v>
      </c>
      <c r="K500" s="29"/>
      <c r="L500" s="29"/>
      <c r="M500" s="29"/>
      <c r="N500" s="29"/>
      <c r="O500" s="29"/>
      <c r="P500" s="30">
        <f t="shared" si="333"/>
        <v>3.2112262881449999E-2</v>
      </c>
      <c r="Q500" s="31">
        <f t="shared" si="331"/>
        <v>0.25494499999999998</v>
      </c>
    </row>
    <row r="501" spans="1:17" x14ac:dyDescent="0.2">
      <c r="A501" s="10"/>
      <c r="B501" s="26"/>
      <c r="C501" s="11">
        <v>2009</v>
      </c>
      <c r="D501" s="32">
        <f>SPFI_CLB14!$D$32</f>
        <v>0.52383000000000002</v>
      </c>
      <c r="E501" s="32"/>
      <c r="F501" s="32"/>
      <c r="G501" s="32"/>
      <c r="H501" s="32"/>
      <c r="I501" s="32"/>
      <c r="J501" s="28">
        <f t="shared" ref="J501" si="336">D501*J$15</f>
        <v>6.5980374846299997E-2</v>
      </c>
      <c r="K501" s="29"/>
      <c r="L501" s="29"/>
      <c r="M501" s="29"/>
      <c r="N501" s="29"/>
      <c r="O501" s="29"/>
      <c r="P501" s="30">
        <f t="shared" si="333"/>
        <v>6.5980374846299997E-2</v>
      </c>
      <c r="Q501" s="31">
        <f t="shared" si="331"/>
        <v>0.52383000000000002</v>
      </c>
    </row>
    <row r="502" spans="1:17" x14ac:dyDescent="0.2">
      <c r="A502" s="10"/>
      <c r="B502" s="26"/>
      <c r="C502" s="11">
        <v>2010</v>
      </c>
      <c r="D502" s="32">
        <f>SPFI_CLB14!$D$33</f>
        <v>0.31394</v>
      </c>
      <c r="E502" s="32"/>
      <c r="F502" s="32"/>
      <c r="G502" s="32"/>
      <c r="H502" s="32"/>
      <c r="I502" s="32"/>
      <c r="J502" s="28">
        <f t="shared" ref="J502" si="337">D502*J$15</f>
        <v>3.9543132083399997E-2</v>
      </c>
      <c r="K502" s="29"/>
      <c r="L502" s="29"/>
      <c r="M502" s="29"/>
      <c r="N502" s="29"/>
      <c r="O502" s="29"/>
      <c r="P502" s="30">
        <f t="shared" si="333"/>
        <v>3.9543132083399997E-2</v>
      </c>
      <c r="Q502" s="31">
        <f t="shared" si="331"/>
        <v>0.31394</v>
      </c>
    </row>
    <row r="503" spans="1:17" x14ac:dyDescent="0.2">
      <c r="A503" s="10"/>
      <c r="B503" s="26"/>
      <c r="C503" s="11">
        <v>2011</v>
      </c>
      <c r="D503" s="32">
        <f>SPFI_CLB14!$D$34</f>
        <v>0.294348</v>
      </c>
      <c r="E503" s="32"/>
      <c r="F503" s="32"/>
      <c r="G503" s="32"/>
      <c r="H503" s="32"/>
      <c r="I503" s="32"/>
      <c r="J503" s="28">
        <f t="shared" ref="J503" si="338">D503*J$15</f>
        <v>3.7075370588279997E-2</v>
      </c>
      <c r="K503" s="29"/>
      <c r="L503" s="29"/>
      <c r="M503" s="29"/>
      <c r="N503" s="29"/>
      <c r="O503" s="29"/>
      <c r="P503" s="30">
        <f t="shared" ref="P503" si="339">SUM(J503:O503)</f>
        <v>3.7075370588279997E-2</v>
      </c>
      <c r="Q503" s="31">
        <f t="shared" ref="Q503" si="340">IF(C$15&gt;0,P503/C$15,0)</f>
        <v>0.294348</v>
      </c>
    </row>
    <row r="504" spans="1:17" x14ac:dyDescent="0.2">
      <c r="A504" s="10"/>
      <c r="B504" s="26"/>
      <c r="C504" s="11">
        <v>2012</v>
      </c>
      <c r="D504" s="32">
        <f>SPFI_CLB14!$D$35</f>
        <v>0.34784100000000001</v>
      </c>
      <c r="E504" s="32"/>
      <c r="F504" s="32"/>
      <c r="G504" s="32"/>
      <c r="H504" s="32"/>
      <c r="I504" s="32"/>
      <c r="J504" s="28">
        <f t="shared" ref="J504" si="341">D504*J$15</f>
        <v>4.381322102001E-2</v>
      </c>
      <c r="K504" s="29"/>
      <c r="L504" s="29"/>
      <c r="M504" s="29"/>
      <c r="N504" s="29"/>
      <c r="O504" s="29"/>
      <c r="P504" s="30">
        <f t="shared" ref="P504" si="342">SUM(J504:O504)</f>
        <v>4.381322102001E-2</v>
      </c>
      <c r="Q504" s="31">
        <f t="shared" ref="Q504" si="343">IF(C$15&gt;0,P504/C$15,0)</f>
        <v>0.34784100000000001</v>
      </c>
    </row>
    <row r="505" spans="1:17" x14ac:dyDescent="0.2">
      <c r="A505" s="5" t="s">
        <v>9</v>
      </c>
      <c r="B505" s="21">
        <v>2</v>
      </c>
      <c r="C505" s="6">
        <v>1982</v>
      </c>
      <c r="D505" s="27">
        <f>SPFI_CLB14!$D$5</f>
        <v>0.98153299999999999</v>
      </c>
      <c r="E505" s="27"/>
      <c r="F505" s="27"/>
      <c r="G505" s="27"/>
      <c r="H505" s="27"/>
      <c r="I505" s="27"/>
      <c r="J505" s="33">
        <f t="shared" ref="J505:J517" si="344">D505*J$16</f>
        <v>7.0353096439282998E-4</v>
      </c>
      <c r="K505" s="27"/>
      <c r="L505" s="27"/>
      <c r="M505" s="27"/>
      <c r="N505" s="27"/>
      <c r="O505" s="27"/>
      <c r="P505" s="34">
        <f t="shared" si="333"/>
        <v>7.0353096439282998E-4</v>
      </c>
      <c r="Q505" s="35">
        <f t="shared" ref="Q505:Q521" si="345">IF(C$16&gt;0,P505/C$16,0)</f>
        <v>0.98153299999999999</v>
      </c>
    </row>
    <row r="506" spans="1:17" x14ac:dyDescent="0.2">
      <c r="A506" s="10"/>
      <c r="B506" s="26"/>
      <c r="C506" s="11">
        <v>1983</v>
      </c>
      <c r="D506" s="32">
        <f>SPFI_CLB14!$D$6</f>
        <v>0.93659899999999996</v>
      </c>
      <c r="E506" s="32"/>
      <c r="F506" s="32"/>
      <c r="G506" s="32"/>
      <c r="H506" s="32"/>
      <c r="I506" s="32"/>
      <c r="J506" s="28">
        <f t="shared" si="344"/>
        <v>6.7132373309848994E-4</v>
      </c>
      <c r="K506" s="29"/>
      <c r="L506" s="29"/>
      <c r="M506" s="29"/>
      <c r="N506" s="29"/>
      <c r="O506" s="29"/>
      <c r="P506" s="30">
        <f t="shared" ref="P506:P517" si="346">SUM(J506:O506)</f>
        <v>6.7132373309848994E-4</v>
      </c>
      <c r="Q506" s="31">
        <f t="shared" si="345"/>
        <v>0.93659899999999985</v>
      </c>
    </row>
    <row r="507" spans="1:17" x14ac:dyDescent="0.2">
      <c r="A507" s="10"/>
      <c r="B507" s="26"/>
      <c r="C507" s="11">
        <v>1984</v>
      </c>
      <c r="D507" s="32">
        <f>SPFI_CLB14!$D$7</f>
        <v>0.92793599999999998</v>
      </c>
      <c r="E507" s="32"/>
      <c r="F507" s="32"/>
      <c r="G507" s="32"/>
      <c r="H507" s="32"/>
      <c r="I507" s="32"/>
      <c r="J507" s="28">
        <f t="shared" si="344"/>
        <v>6.6511437615936002E-4</v>
      </c>
      <c r="K507" s="29"/>
      <c r="L507" s="29"/>
      <c r="M507" s="29"/>
      <c r="N507" s="29"/>
      <c r="O507" s="29"/>
      <c r="P507" s="30">
        <f t="shared" si="346"/>
        <v>6.6511437615936002E-4</v>
      </c>
      <c r="Q507" s="31">
        <f t="shared" si="345"/>
        <v>0.92793599999999998</v>
      </c>
    </row>
    <row r="508" spans="1:17" x14ac:dyDescent="0.2">
      <c r="A508" s="10"/>
      <c r="B508" s="26"/>
      <c r="C508" s="11">
        <v>1985</v>
      </c>
      <c r="D508" s="32">
        <f>SPFI_CLB14!$D$8</f>
        <v>0.90386500000000003</v>
      </c>
      <c r="E508" s="32"/>
      <c r="F508" s="32"/>
      <c r="G508" s="32"/>
      <c r="H508" s="32"/>
      <c r="I508" s="32"/>
      <c r="J508" s="28">
        <f t="shared" si="344"/>
        <v>6.4786106542615008E-4</v>
      </c>
      <c r="K508" s="29"/>
      <c r="L508" s="29"/>
      <c r="M508" s="29"/>
      <c r="N508" s="29"/>
      <c r="O508" s="29"/>
      <c r="P508" s="30">
        <f t="shared" si="346"/>
        <v>6.4786106542615008E-4</v>
      </c>
      <c r="Q508" s="31">
        <f t="shared" si="345"/>
        <v>0.90386500000000014</v>
      </c>
    </row>
    <row r="509" spans="1:17" x14ac:dyDescent="0.2">
      <c r="A509" s="10"/>
      <c r="B509" s="26"/>
      <c r="C509" s="11">
        <v>1986</v>
      </c>
      <c r="D509" s="32">
        <f>SPFI_CLB14!$D$9</f>
        <v>0.73087500000000005</v>
      </c>
      <c r="E509" s="32"/>
      <c r="F509" s="32"/>
      <c r="G509" s="32"/>
      <c r="H509" s="32"/>
      <c r="I509" s="32"/>
      <c r="J509" s="28">
        <f t="shared" si="344"/>
        <v>5.2386745387125006E-4</v>
      </c>
      <c r="K509" s="29"/>
      <c r="L509" s="29"/>
      <c r="M509" s="29"/>
      <c r="N509" s="29"/>
      <c r="O509" s="29"/>
      <c r="P509" s="30">
        <f t="shared" si="346"/>
        <v>5.2386745387125006E-4</v>
      </c>
      <c r="Q509" s="31">
        <f t="shared" si="345"/>
        <v>0.73087500000000005</v>
      </c>
    </row>
    <row r="510" spans="1:17" x14ac:dyDescent="0.2">
      <c r="A510" s="10"/>
      <c r="B510" s="26"/>
      <c r="C510" s="11">
        <v>1987</v>
      </c>
      <c r="D510" s="32">
        <f>SPFI_CLB14!$D$10</f>
        <v>0.71733499999999994</v>
      </c>
      <c r="E510" s="32"/>
      <c r="F510" s="32"/>
      <c r="G510" s="32"/>
      <c r="H510" s="32"/>
      <c r="I510" s="32"/>
      <c r="J510" s="28">
        <f t="shared" si="344"/>
        <v>5.1416242178584993E-4</v>
      </c>
      <c r="K510" s="29"/>
      <c r="L510" s="29"/>
      <c r="M510" s="29"/>
      <c r="N510" s="29"/>
      <c r="O510" s="29"/>
      <c r="P510" s="30">
        <f t="shared" si="346"/>
        <v>5.1416242178584993E-4</v>
      </c>
      <c r="Q510" s="31">
        <f t="shared" si="345"/>
        <v>0.71733499999999983</v>
      </c>
    </row>
    <row r="511" spans="1:17" x14ac:dyDescent="0.2">
      <c r="A511" s="10"/>
      <c r="B511" s="26"/>
      <c r="C511" s="11">
        <v>1988</v>
      </c>
      <c r="D511" s="32">
        <f>SPFI_CLB14!$D$11</f>
        <v>0.64558800000000005</v>
      </c>
      <c r="E511" s="32"/>
      <c r="F511" s="32"/>
      <c r="G511" s="32"/>
      <c r="H511" s="32"/>
      <c r="I511" s="32"/>
      <c r="J511" s="28">
        <f t="shared" si="344"/>
        <v>4.6273650324588002E-4</v>
      </c>
      <c r="K511" s="29"/>
      <c r="L511" s="29"/>
      <c r="M511" s="29"/>
      <c r="N511" s="29"/>
      <c r="O511" s="29"/>
      <c r="P511" s="30">
        <f t="shared" si="346"/>
        <v>4.6273650324588002E-4</v>
      </c>
      <c r="Q511" s="31">
        <f t="shared" si="345"/>
        <v>0.64558800000000005</v>
      </c>
    </row>
    <row r="512" spans="1:17" x14ac:dyDescent="0.2">
      <c r="A512" s="10"/>
      <c r="B512" s="26"/>
      <c r="C512" s="11">
        <v>1989</v>
      </c>
      <c r="D512" s="32">
        <f>SPFI_CLB14!$D$12</f>
        <v>0.65287700000000004</v>
      </c>
      <c r="E512" s="32"/>
      <c r="F512" s="32"/>
      <c r="G512" s="32"/>
      <c r="H512" s="32"/>
      <c r="I512" s="32"/>
      <c r="J512" s="28">
        <f t="shared" si="344"/>
        <v>4.6796102162627003E-4</v>
      </c>
      <c r="K512" s="29"/>
      <c r="L512" s="29"/>
      <c r="M512" s="29"/>
      <c r="N512" s="29"/>
      <c r="O512" s="29"/>
      <c r="P512" s="30">
        <f t="shared" si="346"/>
        <v>4.6796102162627003E-4</v>
      </c>
      <c r="Q512" s="31">
        <f t="shared" si="345"/>
        <v>0.65287700000000004</v>
      </c>
    </row>
    <row r="513" spans="1:17" x14ac:dyDescent="0.2">
      <c r="A513" s="10"/>
      <c r="B513" s="26"/>
      <c r="C513" s="11">
        <v>1990</v>
      </c>
      <c r="D513" s="32">
        <f>SPFI_CLB14!$D$13</f>
        <v>0.56965100000000002</v>
      </c>
      <c r="E513" s="32"/>
      <c r="F513" s="32"/>
      <c r="G513" s="32"/>
      <c r="H513" s="32"/>
      <c r="I513" s="32"/>
      <c r="J513" s="28">
        <f t="shared" si="344"/>
        <v>4.0830732883901001E-4</v>
      </c>
      <c r="K513" s="29"/>
      <c r="L513" s="29"/>
      <c r="M513" s="29"/>
      <c r="N513" s="29"/>
      <c r="O513" s="29"/>
      <c r="P513" s="30">
        <f t="shared" si="346"/>
        <v>4.0830732883901001E-4</v>
      </c>
      <c r="Q513" s="31">
        <f t="shared" si="345"/>
        <v>0.56965100000000002</v>
      </c>
    </row>
    <row r="514" spans="1:17" x14ac:dyDescent="0.2">
      <c r="A514" s="10"/>
      <c r="B514" s="26"/>
      <c r="C514" s="11">
        <v>1991</v>
      </c>
      <c r="D514" s="32">
        <f>SPFI_CLB14!$D$14</f>
        <v>0.62776900000000002</v>
      </c>
      <c r="E514" s="32"/>
      <c r="F514" s="32"/>
      <c r="G514" s="32"/>
      <c r="H514" s="32"/>
      <c r="I514" s="32"/>
      <c r="J514" s="28">
        <f t="shared" si="344"/>
        <v>4.4996442298519002E-4</v>
      </c>
      <c r="K514" s="29"/>
      <c r="L514" s="29"/>
      <c r="M514" s="29"/>
      <c r="N514" s="29"/>
      <c r="O514" s="29"/>
      <c r="P514" s="30">
        <f t="shared" si="346"/>
        <v>4.4996442298519002E-4</v>
      </c>
      <c r="Q514" s="31">
        <f t="shared" si="345"/>
        <v>0.62776900000000002</v>
      </c>
    </row>
    <row r="515" spans="1:17" x14ac:dyDescent="0.2">
      <c r="A515" s="10"/>
      <c r="B515" s="26"/>
      <c r="C515" s="11">
        <v>1992</v>
      </c>
      <c r="D515" s="32">
        <f>SPFI_CLB14!$D$15</f>
        <v>0.43504100000000001</v>
      </c>
      <c r="E515" s="32"/>
      <c r="F515" s="32"/>
      <c r="G515" s="32"/>
      <c r="H515" s="32"/>
      <c r="I515" s="32"/>
      <c r="J515" s="28">
        <f t="shared" si="344"/>
        <v>3.1182325431791002E-4</v>
      </c>
      <c r="K515" s="29"/>
      <c r="L515" s="29"/>
      <c r="M515" s="29"/>
      <c r="N515" s="29"/>
      <c r="O515" s="29"/>
      <c r="P515" s="30">
        <f t="shared" si="346"/>
        <v>3.1182325431791002E-4</v>
      </c>
      <c r="Q515" s="31">
        <f t="shared" si="345"/>
        <v>0.43504100000000001</v>
      </c>
    </row>
    <row r="516" spans="1:17" x14ac:dyDescent="0.2">
      <c r="A516" s="10"/>
      <c r="B516" s="26"/>
      <c r="C516" s="11">
        <v>1993</v>
      </c>
      <c r="D516" s="32">
        <f>SPFI_CLB14!$D$16</f>
        <v>0.499164</v>
      </c>
      <c r="E516" s="32"/>
      <c r="F516" s="32"/>
      <c r="G516" s="32"/>
      <c r="H516" s="32"/>
      <c r="I516" s="32"/>
      <c r="J516" s="28">
        <f t="shared" si="344"/>
        <v>3.5778453736163998E-4</v>
      </c>
      <c r="K516" s="29"/>
      <c r="L516" s="29"/>
      <c r="M516" s="29"/>
      <c r="N516" s="29"/>
      <c r="O516" s="29"/>
      <c r="P516" s="30">
        <f t="shared" si="346"/>
        <v>3.5778453736163998E-4</v>
      </c>
      <c r="Q516" s="31">
        <f t="shared" si="345"/>
        <v>0.49916399999999994</v>
      </c>
    </row>
    <row r="517" spans="1:17" x14ac:dyDescent="0.2">
      <c r="A517" s="10"/>
      <c r="B517" s="26"/>
      <c r="C517" s="11">
        <v>1994</v>
      </c>
      <c r="D517" s="32">
        <f>SPFI_CLB14!$D$17</f>
        <v>0.59591300000000003</v>
      </c>
      <c r="E517" s="32"/>
      <c r="F517" s="32"/>
      <c r="G517" s="32"/>
      <c r="H517" s="32"/>
      <c r="I517" s="32"/>
      <c r="J517" s="28">
        <f t="shared" si="344"/>
        <v>4.2713107718663E-4</v>
      </c>
      <c r="K517" s="29"/>
      <c r="L517" s="29"/>
      <c r="M517" s="29"/>
      <c r="N517" s="29"/>
      <c r="O517" s="29"/>
      <c r="P517" s="30">
        <f t="shared" si="346"/>
        <v>4.2713107718663E-4</v>
      </c>
      <c r="Q517" s="31">
        <f t="shared" si="345"/>
        <v>0.59591300000000003</v>
      </c>
    </row>
    <row r="518" spans="1:17" x14ac:dyDescent="0.2">
      <c r="A518" s="10"/>
      <c r="B518" s="26"/>
      <c r="C518" s="11">
        <v>1995</v>
      </c>
      <c r="D518" s="32">
        <f>SPFI_CLB14!$D$18</f>
        <v>0.25400800000000001</v>
      </c>
      <c r="E518" s="32"/>
      <c r="F518" s="32"/>
      <c r="G518" s="32"/>
      <c r="H518" s="32"/>
      <c r="I518" s="32"/>
      <c r="J518" s="28">
        <f t="shared" ref="J518" si="347">D518*J$16</f>
        <v>1.8206468168008002E-4</v>
      </c>
      <c r="K518" s="29"/>
      <c r="L518" s="29"/>
      <c r="M518" s="29"/>
      <c r="N518" s="29"/>
      <c r="O518" s="29"/>
      <c r="P518" s="30">
        <f>SUM(J518:O518)</f>
        <v>1.8206468168008002E-4</v>
      </c>
      <c r="Q518" s="31">
        <f t="shared" si="345"/>
        <v>0.25400800000000001</v>
      </c>
    </row>
    <row r="519" spans="1:17" x14ac:dyDescent="0.2">
      <c r="A519" s="10"/>
      <c r="B519" s="26"/>
      <c r="C519" s="11">
        <v>1996</v>
      </c>
      <c r="D519" s="32">
        <f>SPFI_CLB14!$D$19</f>
        <v>0</v>
      </c>
      <c r="E519" s="32"/>
      <c r="F519" s="32"/>
      <c r="G519" s="32"/>
      <c r="H519" s="32"/>
      <c r="I519" s="32"/>
      <c r="J519" s="28">
        <f t="shared" ref="J519" si="348">D519*J$16</f>
        <v>0</v>
      </c>
      <c r="K519" s="29"/>
      <c r="L519" s="29"/>
      <c r="M519" s="29"/>
      <c r="N519" s="29"/>
      <c r="O519" s="29"/>
      <c r="P519" s="30">
        <f>SUM(J519:O519)</f>
        <v>0</v>
      </c>
      <c r="Q519" s="31">
        <f t="shared" si="345"/>
        <v>0</v>
      </c>
    </row>
    <row r="520" spans="1:17" x14ac:dyDescent="0.2">
      <c r="A520" s="10"/>
      <c r="B520" s="26"/>
      <c r="C520" s="11">
        <v>1997</v>
      </c>
      <c r="D520" s="32">
        <f>SPFI_CLB14!$D$20</f>
        <v>0.201487</v>
      </c>
      <c r="E520" s="32"/>
      <c r="F520" s="32"/>
      <c r="G520" s="32"/>
      <c r="H520" s="32"/>
      <c r="I520" s="32"/>
      <c r="J520" s="28">
        <f t="shared" ref="J520" si="349">D520*J$16</f>
        <v>1.4441933528737001E-4</v>
      </c>
      <c r="K520" s="29"/>
      <c r="L520" s="29"/>
      <c r="M520" s="29"/>
      <c r="N520" s="29"/>
      <c r="O520" s="29"/>
      <c r="P520" s="30">
        <f>SUM(J520:O520)</f>
        <v>1.4441933528737001E-4</v>
      </c>
      <c r="Q520" s="31">
        <f t="shared" si="345"/>
        <v>0.20148700000000003</v>
      </c>
    </row>
    <row r="521" spans="1:17" x14ac:dyDescent="0.2">
      <c r="A521" s="10"/>
      <c r="B521" s="26"/>
      <c r="C521" s="11">
        <v>1998</v>
      </c>
      <c r="D521" s="32">
        <f>SPFI_CLB14!$D$21</f>
        <v>0.37506400000000001</v>
      </c>
      <c r="E521" s="32"/>
      <c r="F521" s="32"/>
      <c r="G521" s="32"/>
      <c r="H521" s="32"/>
      <c r="I521" s="32"/>
      <c r="J521" s="28">
        <f t="shared" ref="J521" si="350">D521*J$16</f>
        <v>2.6883368937064001E-4</v>
      </c>
      <c r="K521" s="29"/>
      <c r="L521" s="29"/>
      <c r="M521" s="29"/>
      <c r="N521" s="29"/>
      <c r="O521" s="29"/>
      <c r="P521" s="30">
        <f>SUM(J521:O521)</f>
        <v>2.6883368937064001E-4</v>
      </c>
      <c r="Q521" s="31">
        <f t="shared" si="345"/>
        <v>0.37506400000000001</v>
      </c>
    </row>
    <row r="522" spans="1:17" x14ac:dyDescent="0.2">
      <c r="A522" s="10"/>
      <c r="B522" s="26"/>
      <c r="C522" s="11">
        <v>1999</v>
      </c>
      <c r="D522" s="32">
        <f>SPFI_CLB14!$D$22</f>
        <v>0.29823699999999997</v>
      </c>
      <c r="E522" s="32"/>
      <c r="F522" s="32"/>
      <c r="G522" s="32"/>
      <c r="H522" s="32"/>
      <c r="I522" s="32"/>
      <c r="J522" s="28">
        <f t="shared" ref="J522" si="351">D522*J$16</f>
        <v>2.1376659187986998E-4</v>
      </c>
      <c r="K522" s="29"/>
      <c r="L522" s="29"/>
      <c r="M522" s="29"/>
      <c r="N522" s="29"/>
      <c r="O522" s="29"/>
      <c r="P522" s="30">
        <f>SUM(J522:O522)</f>
        <v>2.1376659187986998E-4</v>
      </c>
      <c r="Q522" s="31">
        <f t="shared" ref="Q522:Q527" si="352">IF(C$16&gt;0,P522/C$16,0)</f>
        <v>0.29823699999999997</v>
      </c>
    </row>
    <row r="523" spans="1:17" x14ac:dyDescent="0.2">
      <c r="A523" s="10"/>
      <c r="B523" s="26"/>
      <c r="C523" s="11">
        <v>2000</v>
      </c>
      <c r="D523" s="32">
        <f>SPFI_CLB14!$D$23</f>
        <v>8.4414000000000003E-2</v>
      </c>
      <c r="E523" s="32"/>
      <c r="F523" s="32"/>
      <c r="G523" s="32"/>
      <c r="H523" s="32"/>
      <c r="I523" s="32"/>
      <c r="J523" s="28">
        <f t="shared" ref="J523" si="353">D523*J$16</f>
        <v>6.0505212589140001E-5</v>
      </c>
      <c r="K523" s="29"/>
      <c r="L523" s="29"/>
      <c r="M523" s="29"/>
      <c r="N523" s="29"/>
      <c r="O523" s="29"/>
      <c r="P523" s="30">
        <f t="shared" ref="P523:P528" si="354">SUM(J523:O523)</f>
        <v>6.0505212589140001E-5</v>
      </c>
      <c r="Q523" s="31">
        <f t="shared" si="352"/>
        <v>8.4414000000000003E-2</v>
      </c>
    </row>
    <row r="524" spans="1:17" x14ac:dyDescent="0.2">
      <c r="A524" s="10"/>
      <c r="B524" s="26"/>
      <c r="C524" s="11">
        <v>2001</v>
      </c>
      <c r="D524" s="32">
        <f>SPFI_CLB14!$D$24</f>
        <v>7.8909000000000007E-2</v>
      </c>
      <c r="E524" s="32"/>
      <c r="F524" s="32"/>
      <c r="G524" s="32"/>
      <c r="H524" s="32"/>
      <c r="I524" s="32"/>
      <c r="J524" s="28">
        <f t="shared" ref="J524" si="355">D524*J$16</f>
        <v>5.6559407446590009E-5</v>
      </c>
      <c r="K524" s="29"/>
      <c r="L524" s="29"/>
      <c r="M524" s="29"/>
      <c r="N524" s="29"/>
      <c r="O524" s="29"/>
      <c r="P524" s="30">
        <f t="shared" si="354"/>
        <v>5.6559407446590009E-5</v>
      </c>
      <c r="Q524" s="31">
        <f t="shared" si="352"/>
        <v>7.8909000000000007E-2</v>
      </c>
    </row>
    <row r="525" spans="1:17" x14ac:dyDescent="0.2">
      <c r="A525" s="10"/>
      <c r="B525" s="26"/>
      <c r="C525" s="11">
        <v>2002</v>
      </c>
      <c r="D525" s="32">
        <f>SPFI_CLB14!$D$25</f>
        <v>0.29974699999999999</v>
      </c>
      <c r="E525" s="32"/>
      <c r="F525" s="32"/>
      <c r="G525" s="32"/>
      <c r="H525" s="32"/>
      <c r="I525" s="32"/>
      <c r="J525" s="28">
        <f t="shared" ref="J525" si="356">D525*J$16</f>
        <v>2.1484891081997E-4</v>
      </c>
      <c r="K525" s="29"/>
      <c r="L525" s="29"/>
      <c r="M525" s="29"/>
      <c r="N525" s="29"/>
      <c r="O525" s="29"/>
      <c r="P525" s="30">
        <f t="shared" si="354"/>
        <v>2.1484891081997E-4</v>
      </c>
      <c r="Q525" s="31">
        <f t="shared" si="352"/>
        <v>0.29974699999999999</v>
      </c>
    </row>
    <row r="526" spans="1:17" x14ac:dyDescent="0.2">
      <c r="A526" s="10"/>
      <c r="B526" s="26"/>
      <c r="C526" s="11">
        <v>2003</v>
      </c>
      <c r="D526" s="32">
        <f>SPFI_CLB14!$D$26</f>
        <v>0.20691100000000001</v>
      </c>
      <c r="E526" s="32"/>
      <c r="F526" s="32"/>
      <c r="G526" s="32"/>
      <c r="H526" s="32"/>
      <c r="I526" s="32"/>
      <c r="J526" s="28">
        <f t="shared" ref="J526" si="357">D526*J$16</f>
        <v>1.4830708226161001E-4</v>
      </c>
      <c r="K526" s="29"/>
      <c r="L526" s="29"/>
      <c r="M526" s="29"/>
      <c r="N526" s="29"/>
      <c r="O526" s="29"/>
      <c r="P526" s="30">
        <f t="shared" si="354"/>
        <v>1.4830708226161001E-4</v>
      </c>
      <c r="Q526" s="31">
        <f t="shared" si="352"/>
        <v>0.20691100000000001</v>
      </c>
    </row>
    <row r="527" spans="1:17" x14ac:dyDescent="0.2">
      <c r="A527" s="10"/>
      <c r="B527" s="26"/>
      <c r="C527" s="11">
        <v>2004</v>
      </c>
      <c r="D527" s="32">
        <f>SPFI_CLB14!$D$27</f>
        <v>0.269237</v>
      </c>
      <c r="E527" s="32"/>
      <c r="F527" s="32"/>
      <c r="G527" s="32"/>
      <c r="H527" s="32"/>
      <c r="I527" s="32"/>
      <c r="J527" s="28">
        <f t="shared" ref="J527" si="358">D527*J$16</f>
        <v>1.9298033408987001E-4</v>
      </c>
      <c r="K527" s="29"/>
      <c r="L527" s="29"/>
      <c r="M527" s="29"/>
      <c r="N527" s="29"/>
      <c r="O527" s="29"/>
      <c r="P527" s="30">
        <f t="shared" si="354"/>
        <v>1.9298033408987001E-4</v>
      </c>
      <c r="Q527" s="31">
        <f t="shared" si="352"/>
        <v>0.269237</v>
      </c>
    </row>
    <row r="528" spans="1:17" x14ac:dyDescent="0.2">
      <c r="A528" s="10"/>
      <c r="B528" s="26"/>
      <c r="C528" s="11">
        <v>2005</v>
      </c>
      <c r="D528" s="32">
        <f>SPFI_CLB14!$D$28</f>
        <v>0.37848700000000002</v>
      </c>
      <c r="E528" s="32"/>
      <c r="F528" s="32"/>
      <c r="G528" s="32"/>
      <c r="H528" s="32"/>
      <c r="I528" s="32"/>
      <c r="J528" s="28">
        <f t="shared" ref="J528" si="359">D528*J$16</f>
        <v>2.7128718455737003E-4</v>
      </c>
      <c r="K528" s="29"/>
      <c r="L528" s="29"/>
      <c r="M528" s="29"/>
      <c r="N528" s="29"/>
      <c r="O528" s="29"/>
      <c r="P528" s="30">
        <f t="shared" si="354"/>
        <v>2.7128718455737003E-4</v>
      </c>
      <c r="Q528" s="31">
        <f t="shared" ref="Q528:Q533" si="360">IF(C$16&gt;0,P528/C$16,0)</f>
        <v>0.37848700000000002</v>
      </c>
    </row>
    <row r="529" spans="1:17" x14ac:dyDescent="0.2">
      <c r="A529" s="10"/>
      <c r="B529" s="26"/>
      <c r="C529" s="11">
        <v>2006</v>
      </c>
      <c r="D529" s="32">
        <f>SPFI_CLB14!$D$29</f>
        <v>0.381023</v>
      </c>
      <c r="E529" s="32"/>
      <c r="F529" s="32"/>
      <c r="G529" s="32"/>
      <c r="H529" s="32"/>
      <c r="I529" s="32"/>
      <c r="J529" s="28">
        <f t="shared" ref="J529" si="361">D529*J$16</f>
        <v>2.7310490696273E-4</v>
      </c>
      <c r="K529" s="29"/>
      <c r="L529" s="29"/>
      <c r="M529" s="29"/>
      <c r="N529" s="29"/>
      <c r="O529" s="29"/>
      <c r="P529" s="30">
        <f t="shared" ref="P529:P536" si="362">SUM(J529:O529)</f>
        <v>2.7310490696273E-4</v>
      </c>
      <c r="Q529" s="31">
        <f t="shared" si="360"/>
        <v>0.381023</v>
      </c>
    </row>
    <row r="530" spans="1:17" x14ac:dyDescent="0.2">
      <c r="A530" s="10"/>
      <c r="B530" s="26"/>
      <c r="C530" s="11">
        <v>2007</v>
      </c>
      <c r="D530" s="32">
        <f>SPFI_CLB14!$D$30</f>
        <v>0.356512</v>
      </c>
      <c r="E530" s="32"/>
      <c r="F530" s="32"/>
      <c r="G530" s="32"/>
      <c r="H530" s="32"/>
      <c r="I530" s="32"/>
      <c r="J530" s="28">
        <f t="shared" ref="J530" si="363">D530*J$16</f>
        <v>2.5553621852511998E-4</v>
      </c>
      <c r="K530" s="29"/>
      <c r="L530" s="29"/>
      <c r="M530" s="29"/>
      <c r="N530" s="29"/>
      <c r="O530" s="29"/>
      <c r="P530" s="30">
        <f t="shared" si="362"/>
        <v>2.5553621852511998E-4</v>
      </c>
      <c r="Q530" s="31">
        <f t="shared" si="360"/>
        <v>0.356512</v>
      </c>
    </row>
    <row r="531" spans="1:17" x14ac:dyDescent="0.2">
      <c r="A531" s="10"/>
      <c r="B531" s="26"/>
      <c r="C531" s="11">
        <v>2008</v>
      </c>
      <c r="D531" s="32">
        <f>SPFI_CLB14!$D$31</f>
        <v>0.25494499999999998</v>
      </c>
      <c r="E531" s="32"/>
      <c r="F531" s="32"/>
      <c r="G531" s="32"/>
      <c r="H531" s="32"/>
      <c r="I531" s="32"/>
      <c r="J531" s="28">
        <f t="shared" ref="J531" si="364">D531*J$16</f>
        <v>1.8273629283694999E-4</v>
      </c>
      <c r="K531" s="29"/>
      <c r="L531" s="29"/>
      <c r="M531" s="29"/>
      <c r="N531" s="29"/>
      <c r="O531" s="29"/>
      <c r="P531" s="30">
        <f t="shared" si="362"/>
        <v>1.8273629283694999E-4</v>
      </c>
      <c r="Q531" s="31">
        <f t="shared" si="360"/>
        <v>0.25494499999999998</v>
      </c>
    </row>
    <row r="532" spans="1:17" x14ac:dyDescent="0.2">
      <c r="A532" s="10"/>
      <c r="B532" s="26"/>
      <c r="C532" s="11">
        <v>2009</v>
      </c>
      <c r="D532" s="32">
        <f>SPFI_CLB14!$D$32</f>
        <v>0.52383000000000002</v>
      </c>
      <c r="E532" s="32"/>
      <c r="F532" s="32"/>
      <c r="G532" s="32"/>
      <c r="H532" s="32"/>
      <c r="I532" s="32"/>
      <c r="J532" s="28">
        <f t="shared" ref="J532" si="365">D532*J$16</f>
        <v>3.7546432476330002E-4</v>
      </c>
      <c r="K532" s="29"/>
      <c r="L532" s="29"/>
      <c r="M532" s="29"/>
      <c r="N532" s="29"/>
      <c r="O532" s="29"/>
      <c r="P532" s="30">
        <f t="shared" si="362"/>
        <v>3.7546432476330002E-4</v>
      </c>
      <c r="Q532" s="31">
        <f t="shared" si="360"/>
        <v>0.52383000000000002</v>
      </c>
    </row>
    <row r="533" spans="1:17" x14ac:dyDescent="0.2">
      <c r="A533" s="10"/>
      <c r="B533" s="26"/>
      <c r="C533" s="11">
        <v>2010</v>
      </c>
      <c r="D533" s="32">
        <f>SPFI_CLB14!$D$33</f>
        <v>0.31394</v>
      </c>
      <c r="E533" s="32"/>
      <c r="F533" s="32"/>
      <c r="G533" s="32"/>
      <c r="H533" s="32"/>
      <c r="I533" s="32"/>
      <c r="J533" s="28">
        <f t="shared" ref="J533" si="366">D533*J$16</f>
        <v>2.250219920894E-4</v>
      </c>
      <c r="K533" s="29"/>
      <c r="L533" s="29"/>
      <c r="M533" s="29"/>
      <c r="N533" s="29"/>
      <c r="O533" s="29"/>
      <c r="P533" s="30">
        <f t="shared" si="362"/>
        <v>2.250219920894E-4</v>
      </c>
      <c r="Q533" s="31">
        <f t="shared" si="360"/>
        <v>0.31394</v>
      </c>
    </row>
    <row r="534" spans="1:17" x14ac:dyDescent="0.2">
      <c r="A534" s="10"/>
      <c r="B534" s="26"/>
      <c r="C534" s="11">
        <v>2011</v>
      </c>
      <c r="D534" s="32">
        <f>SPFI_CLB14!$D$34</f>
        <v>0.294348</v>
      </c>
      <c r="E534" s="32"/>
      <c r="F534" s="32"/>
      <c r="G534" s="32"/>
      <c r="H534" s="32"/>
      <c r="I534" s="32"/>
      <c r="J534" s="28">
        <f t="shared" ref="J534" si="367">D534*J$16</f>
        <v>2.1097908303347999E-4</v>
      </c>
      <c r="K534" s="29"/>
      <c r="L534" s="29"/>
      <c r="M534" s="29"/>
      <c r="N534" s="29"/>
      <c r="O534" s="29"/>
      <c r="P534" s="30">
        <f t="shared" ref="P534" si="368">SUM(J534:O534)</f>
        <v>2.1097908303347999E-4</v>
      </c>
      <c r="Q534" s="31">
        <f t="shared" ref="Q534" si="369">IF(C$16&gt;0,P534/C$16,0)</f>
        <v>0.294348</v>
      </c>
    </row>
    <row r="535" spans="1:17" x14ac:dyDescent="0.2">
      <c r="A535" s="10"/>
      <c r="B535" s="26"/>
      <c r="C535" s="11">
        <v>2012</v>
      </c>
      <c r="D535" s="32">
        <f>SPFI_CLB14!$D$35</f>
        <v>0.34784100000000001</v>
      </c>
      <c r="E535" s="32"/>
      <c r="F535" s="32"/>
      <c r="G535" s="32"/>
      <c r="H535" s="32"/>
      <c r="I535" s="32"/>
      <c r="J535" s="28">
        <f t="shared" ref="J535" si="370">D535*J$16</f>
        <v>2.4932112744590999E-4</v>
      </c>
      <c r="K535" s="29"/>
      <c r="L535" s="29"/>
      <c r="M535" s="29"/>
      <c r="N535" s="29"/>
      <c r="O535" s="29"/>
      <c r="P535" s="30">
        <f t="shared" ref="P535" si="371">SUM(J535:O535)</f>
        <v>2.4932112744590999E-4</v>
      </c>
      <c r="Q535" s="31">
        <f t="shared" ref="Q535" si="372">IF(C$16&gt;0,P535/C$16,0)</f>
        <v>0.34784100000000001</v>
      </c>
    </row>
    <row r="536" spans="1:17" x14ac:dyDescent="0.2">
      <c r="A536" s="5" t="s">
        <v>9</v>
      </c>
      <c r="B536" s="21">
        <v>3</v>
      </c>
      <c r="C536" s="6">
        <v>1982</v>
      </c>
      <c r="D536" s="27">
        <f>SPFI_CLB14!$D$5</f>
        <v>0.98153299999999999</v>
      </c>
      <c r="E536" s="27"/>
      <c r="F536" s="27"/>
      <c r="G536" s="27"/>
      <c r="H536" s="27"/>
      <c r="I536" s="27"/>
      <c r="J536" s="33">
        <f t="shared" ref="J536:J548" si="373">D536*J$17</f>
        <v>4.7722781290247002E-3</v>
      </c>
      <c r="K536" s="27"/>
      <c r="L536" s="27"/>
      <c r="M536" s="27"/>
      <c r="N536" s="27"/>
      <c r="O536" s="27"/>
      <c r="P536" s="34">
        <f t="shared" si="362"/>
        <v>4.7722781290247002E-3</v>
      </c>
      <c r="Q536" s="35">
        <f t="shared" ref="Q536:Q552" si="374">IF(C$17&gt;0,P536/C$17,0)</f>
        <v>0.98153299999999999</v>
      </c>
    </row>
    <row r="537" spans="1:17" x14ac:dyDescent="0.2">
      <c r="A537" s="10"/>
      <c r="B537" s="26"/>
      <c r="C537" s="11">
        <v>1983</v>
      </c>
      <c r="D537" s="32">
        <f>SPFI_CLB14!$D$6</f>
        <v>0.93659899999999996</v>
      </c>
      <c r="E537" s="32"/>
      <c r="F537" s="32"/>
      <c r="G537" s="32"/>
      <c r="H537" s="32"/>
      <c r="I537" s="32"/>
      <c r="J537" s="28">
        <f t="shared" si="373"/>
        <v>4.5538060598741001E-3</v>
      </c>
      <c r="K537" s="29"/>
      <c r="L537" s="29"/>
      <c r="M537" s="29"/>
      <c r="N537" s="29"/>
      <c r="O537" s="29"/>
      <c r="P537" s="30">
        <f t="shared" ref="P537:P548" si="375">SUM(J537:O537)</f>
        <v>4.5538060598741001E-3</v>
      </c>
      <c r="Q537" s="31">
        <f t="shared" si="374"/>
        <v>0.93659899999999996</v>
      </c>
    </row>
    <row r="538" spans="1:17" x14ac:dyDescent="0.2">
      <c r="A538" s="10"/>
      <c r="B538" s="26"/>
      <c r="C538" s="11">
        <v>1984</v>
      </c>
      <c r="D538" s="32">
        <f>SPFI_CLB14!$D$7</f>
        <v>0.92793599999999998</v>
      </c>
      <c r="E538" s="32"/>
      <c r="F538" s="32"/>
      <c r="G538" s="32"/>
      <c r="H538" s="32"/>
      <c r="I538" s="32"/>
      <c r="J538" s="28">
        <f t="shared" si="373"/>
        <v>4.5116859829824E-3</v>
      </c>
      <c r="K538" s="29"/>
      <c r="L538" s="29"/>
      <c r="M538" s="29"/>
      <c r="N538" s="29"/>
      <c r="O538" s="29"/>
      <c r="P538" s="30">
        <f t="shared" si="375"/>
        <v>4.5116859829824E-3</v>
      </c>
      <c r="Q538" s="31">
        <f t="shared" si="374"/>
        <v>0.92793599999999998</v>
      </c>
    </row>
    <row r="539" spans="1:17" x14ac:dyDescent="0.2">
      <c r="A539" s="10"/>
      <c r="B539" s="26"/>
      <c r="C539" s="11">
        <v>1985</v>
      </c>
      <c r="D539" s="32">
        <f>SPFI_CLB14!$D$8</f>
        <v>0.90386500000000003</v>
      </c>
      <c r="E539" s="32"/>
      <c r="F539" s="32"/>
      <c r="G539" s="32"/>
      <c r="H539" s="32"/>
      <c r="I539" s="32"/>
      <c r="J539" s="28">
        <f t="shared" si="373"/>
        <v>4.3946511947035001E-3</v>
      </c>
      <c r="K539" s="29"/>
      <c r="L539" s="29"/>
      <c r="M539" s="29"/>
      <c r="N539" s="29"/>
      <c r="O539" s="29"/>
      <c r="P539" s="30">
        <f t="shared" si="375"/>
        <v>4.3946511947035001E-3</v>
      </c>
      <c r="Q539" s="31">
        <f t="shared" si="374"/>
        <v>0.90386499999999992</v>
      </c>
    </row>
    <row r="540" spans="1:17" x14ac:dyDescent="0.2">
      <c r="A540" s="10"/>
      <c r="B540" s="26"/>
      <c r="C540" s="11">
        <v>1986</v>
      </c>
      <c r="D540" s="32">
        <f>SPFI_CLB14!$D$9</f>
        <v>0.73087500000000005</v>
      </c>
      <c r="E540" s="32"/>
      <c r="F540" s="32"/>
      <c r="G540" s="32"/>
      <c r="H540" s="32"/>
      <c r="I540" s="32"/>
      <c r="J540" s="28">
        <f t="shared" si="373"/>
        <v>3.5535624146625006E-3</v>
      </c>
      <c r="K540" s="29"/>
      <c r="L540" s="29"/>
      <c r="M540" s="29"/>
      <c r="N540" s="29"/>
      <c r="O540" s="29"/>
      <c r="P540" s="30">
        <f t="shared" si="375"/>
        <v>3.5535624146625006E-3</v>
      </c>
      <c r="Q540" s="31">
        <f t="shared" si="374"/>
        <v>0.73087500000000005</v>
      </c>
    </row>
    <row r="541" spans="1:17" x14ac:dyDescent="0.2">
      <c r="A541" s="10"/>
      <c r="B541" s="26"/>
      <c r="C541" s="11">
        <v>1987</v>
      </c>
      <c r="D541" s="32">
        <f>SPFI_CLB14!$D$10</f>
        <v>0.71733499999999994</v>
      </c>
      <c r="E541" s="32"/>
      <c r="F541" s="32"/>
      <c r="G541" s="32"/>
      <c r="H541" s="32"/>
      <c r="I541" s="32"/>
      <c r="J541" s="28">
        <f t="shared" si="373"/>
        <v>3.4877300423765E-3</v>
      </c>
      <c r="K541" s="29"/>
      <c r="L541" s="29"/>
      <c r="M541" s="29"/>
      <c r="N541" s="29"/>
      <c r="O541" s="29"/>
      <c r="P541" s="30">
        <f t="shared" si="375"/>
        <v>3.4877300423765E-3</v>
      </c>
      <c r="Q541" s="31">
        <f t="shared" si="374"/>
        <v>0.71733499999999994</v>
      </c>
    </row>
    <row r="542" spans="1:17" x14ac:dyDescent="0.2">
      <c r="A542" s="10"/>
      <c r="B542" s="26"/>
      <c r="C542" s="11">
        <v>1988</v>
      </c>
      <c r="D542" s="32">
        <f>SPFI_CLB14!$D$11</f>
        <v>0.64558800000000005</v>
      </c>
      <c r="E542" s="32"/>
      <c r="F542" s="32"/>
      <c r="G542" s="32"/>
      <c r="H542" s="32"/>
      <c r="I542" s="32"/>
      <c r="J542" s="28">
        <f t="shared" si="373"/>
        <v>3.1388914002492005E-3</v>
      </c>
      <c r="K542" s="29"/>
      <c r="L542" s="29"/>
      <c r="M542" s="29"/>
      <c r="N542" s="29"/>
      <c r="O542" s="29"/>
      <c r="P542" s="30">
        <f t="shared" si="375"/>
        <v>3.1388914002492005E-3</v>
      </c>
      <c r="Q542" s="31">
        <f t="shared" si="374"/>
        <v>0.64558800000000005</v>
      </c>
    </row>
    <row r="543" spans="1:17" x14ac:dyDescent="0.2">
      <c r="A543" s="10"/>
      <c r="B543" s="26"/>
      <c r="C543" s="11">
        <v>1989</v>
      </c>
      <c r="D543" s="32">
        <f>SPFI_CLB14!$D$12</f>
        <v>0.65287700000000004</v>
      </c>
      <c r="E543" s="32"/>
      <c r="F543" s="32"/>
      <c r="G543" s="32"/>
      <c r="H543" s="32"/>
      <c r="I543" s="32"/>
      <c r="J543" s="28">
        <f t="shared" si="373"/>
        <v>3.1743309985943005E-3</v>
      </c>
      <c r="K543" s="29"/>
      <c r="L543" s="29"/>
      <c r="M543" s="29"/>
      <c r="N543" s="29"/>
      <c r="O543" s="29"/>
      <c r="P543" s="30">
        <f t="shared" si="375"/>
        <v>3.1743309985943005E-3</v>
      </c>
      <c r="Q543" s="31">
        <f t="shared" si="374"/>
        <v>0.65287700000000004</v>
      </c>
    </row>
    <row r="544" spans="1:17" x14ac:dyDescent="0.2">
      <c r="A544" s="10"/>
      <c r="B544" s="26"/>
      <c r="C544" s="11">
        <v>1990</v>
      </c>
      <c r="D544" s="32">
        <f>SPFI_CLB14!$D$13</f>
        <v>0.56965100000000002</v>
      </c>
      <c r="E544" s="32"/>
      <c r="F544" s="32"/>
      <c r="G544" s="32"/>
      <c r="H544" s="32"/>
      <c r="I544" s="32"/>
      <c r="J544" s="28">
        <f t="shared" si="373"/>
        <v>2.7696807020009002E-3</v>
      </c>
      <c r="K544" s="29"/>
      <c r="L544" s="29"/>
      <c r="M544" s="29"/>
      <c r="N544" s="29"/>
      <c r="O544" s="29"/>
      <c r="P544" s="30">
        <f t="shared" si="375"/>
        <v>2.7696807020009002E-3</v>
      </c>
      <c r="Q544" s="31">
        <f t="shared" si="374"/>
        <v>0.56965100000000002</v>
      </c>
    </row>
    <row r="545" spans="1:17" x14ac:dyDescent="0.2">
      <c r="A545" s="10"/>
      <c r="B545" s="26"/>
      <c r="C545" s="11">
        <v>1991</v>
      </c>
      <c r="D545" s="32">
        <f>SPFI_CLB14!$D$14</f>
        <v>0.62776900000000002</v>
      </c>
      <c r="E545" s="32"/>
      <c r="F545" s="32"/>
      <c r="G545" s="32"/>
      <c r="H545" s="32"/>
      <c r="I545" s="32"/>
      <c r="J545" s="28">
        <f t="shared" si="373"/>
        <v>3.0522542479771001E-3</v>
      </c>
      <c r="K545" s="29"/>
      <c r="L545" s="29"/>
      <c r="M545" s="29"/>
      <c r="N545" s="29"/>
      <c r="O545" s="29"/>
      <c r="P545" s="30">
        <f t="shared" si="375"/>
        <v>3.0522542479771001E-3</v>
      </c>
      <c r="Q545" s="31">
        <f t="shared" si="374"/>
        <v>0.62776900000000002</v>
      </c>
    </row>
    <row r="546" spans="1:17" x14ac:dyDescent="0.2">
      <c r="A546" s="10"/>
      <c r="B546" s="26"/>
      <c r="C546" s="11">
        <v>1992</v>
      </c>
      <c r="D546" s="32">
        <f>SPFI_CLB14!$D$15</f>
        <v>0.43504100000000001</v>
      </c>
      <c r="E546" s="32"/>
      <c r="F546" s="32"/>
      <c r="G546" s="32"/>
      <c r="H546" s="32"/>
      <c r="I546" s="32"/>
      <c r="J546" s="28">
        <f t="shared" si="373"/>
        <v>2.1151980112019001E-3</v>
      </c>
      <c r="K546" s="29"/>
      <c r="L546" s="29"/>
      <c r="M546" s="29"/>
      <c r="N546" s="29"/>
      <c r="O546" s="29"/>
      <c r="P546" s="30">
        <f t="shared" si="375"/>
        <v>2.1151980112019001E-3</v>
      </c>
      <c r="Q546" s="31">
        <f t="shared" si="374"/>
        <v>0.43504100000000001</v>
      </c>
    </row>
    <row r="547" spans="1:17" x14ac:dyDescent="0.2">
      <c r="A547" s="10"/>
      <c r="B547" s="26"/>
      <c r="C547" s="11">
        <v>1993</v>
      </c>
      <c r="D547" s="32">
        <f>SPFI_CLB14!$D$16</f>
        <v>0.499164</v>
      </c>
      <c r="E547" s="32"/>
      <c r="F547" s="32"/>
      <c r="G547" s="32"/>
      <c r="H547" s="32"/>
      <c r="I547" s="32"/>
      <c r="J547" s="28">
        <f t="shared" si="373"/>
        <v>2.4269682629076E-3</v>
      </c>
      <c r="K547" s="29"/>
      <c r="L547" s="29"/>
      <c r="M547" s="29"/>
      <c r="N547" s="29"/>
      <c r="O547" s="29"/>
      <c r="P547" s="30">
        <f t="shared" si="375"/>
        <v>2.4269682629076E-3</v>
      </c>
      <c r="Q547" s="31">
        <f t="shared" si="374"/>
        <v>0.499164</v>
      </c>
    </row>
    <row r="548" spans="1:17" x14ac:dyDescent="0.2">
      <c r="A548" s="10"/>
      <c r="B548" s="26"/>
      <c r="C548" s="11">
        <v>1994</v>
      </c>
      <c r="D548" s="32">
        <f>SPFI_CLB14!$D$17</f>
        <v>0.59591300000000003</v>
      </c>
      <c r="E548" s="32"/>
      <c r="F548" s="32"/>
      <c r="G548" s="32"/>
      <c r="H548" s="32"/>
      <c r="I548" s="32"/>
      <c r="J548" s="28">
        <f t="shared" si="373"/>
        <v>2.8973682766667004E-3</v>
      </c>
      <c r="K548" s="29"/>
      <c r="L548" s="29"/>
      <c r="M548" s="29"/>
      <c r="N548" s="29"/>
      <c r="O548" s="29"/>
      <c r="P548" s="30">
        <f t="shared" si="375"/>
        <v>2.8973682766667004E-3</v>
      </c>
      <c r="Q548" s="31">
        <f t="shared" si="374"/>
        <v>0.59591300000000003</v>
      </c>
    </row>
    <row r="549" spans="1:17" x14ac:dyDescent="0.2">
      <c r="A549" s="10"/>
      <c r="B549" s="26"/>
      <c r="C549" s="11">
        <v>1995</v>
      </c>
      <c r="D549" s="32">
        <f>SPFI_CLB14!$D$18</f>
        <v>0.25400800000000001</v>
      </c>
      <c r="E549" s="32"/>
      <c r="F549" s="32"/>
      <c r="G549" s="32"/>
      <c r="H549" s="32"/>
      <c r="I549" s="32"/>
      <c r="J549" s="28">
        <f t="shared" ref="J549" si="376">D549*J$17</f>
        <v>1.2350036351272001E-3</v>
      </c>
      <c r="K549" s="29"/>
      <c r="L549" s="29"/>
      <c r="M549" s="29"/>
      <c r="N549" s="29"/>
      <c r="O549" s="29"/>
      <c r="P549" s="30">
        <f>SUM(J549:O549)</f>
        <v>1.2350036351272001E-3</v>
      </c>
      <c r="Q549" s="31">
        <f t="shared" si="374"/>
        <v>0.25400800000000001</v>
      </c>
    </row>
    <row r="550" spans="1:17" x14ac:dyDescent="0.2">
      <c r="A550" s="10"/>
      <c r="B550" s="26"/>
      <c r="C550" s="11">
        <v>1996</v>
      </c>
      <c r="D550" s="32">
        <f>SPFI_CLB14!$D$19</f>
        <v>0</v>
      </c>
      <c r="E550" s="32"/>
      <c r="F550" s="32"/>
      <c r="G550" s="32"/>
      <c r="H550" s="32"/>
      <c r="I550" s="32"/>
      <c r="J550" s="28">
        <f t="shared" ref="J550" si="377">D550*J$17</f>
        <v>0</v>
      </c>
      <c r="K550" s="29"/>
      <c r="L550" s="29"/>
      <c r="M550" s="29"/>
      <c r="N550" s="29"/>
      <c r="O550" s="29"/>
      <c r="P550" s="30">
        <f>SUM(J550:O550)</f>
        <v>0</v>
      </c>
      <c r="Q550" s="31">
        <f t="shared" si="374"/>
        <v>0</v>
      </c>
    </row>
    <row r="551" spans="1:17" x14ac:dyDescent="0.2">
      <c r="A551" s="10"/>
      <c r="B551" s="26"/>
      <c r="C551" s="11">
        <v>1997</v>
      </c>
      <c r="D551" s="32">
        <f>SPFI_CLB14!$D$20</f>
        <v>0.201487</v>
      </c>
      <c r="E551" s="32"/>
      <c r="F551" s="32"/>
      <c r="G551" s="32"/>
      <c r="H551" s="32"/>
      <c r="I551" s="32"/>
      <c r="J551" s="28">
        <f t="shared" ref="J551" si="378">D551*J$17</f>
        <v>9.7964307199330009E-4</v>
      </c>
      <c r="K551" s="29"/>
      <c r="L551" s="29"/>
      <c r="M551" s="29"/>
      <c r="N551" s="29"/>
      <c r="O551" s="29"/>
      <c r="P551" s="30">
        <f>SUM(J551:O551)</f>
        <v>9.7964307199330009E-4</v>
      </c>
      <c r="Q551" s="31">
        <f t="shared" si="374"/>
        <v>0.201487</v>
      </c>
    </row>
    <row r="552" spans="1:17" x14ac:dyDescent="0.2">
      <c r="A552" s="10"/>
      <c r="B552" s="26"/>
      <c r="C552" s="11">
        <v>1998</v>
      </c>
      <c r="D552" s="32">
        <f>SPFI_CLB14!$D$21</f>
        <v>0.37506400000000001</v>
      </c>
      <c r="E552" s="32"/>
      <c r="F552" s="32"/>
      <c r="G552" s="32"/>
      <c r="H552" s="32"/>
      <c r="I552" s="32"/>
      <c r="J552" s="28">
        <f t="shared" ref="J552" si="379">D552*J$17</f>
        <v>1.8235858847176001E-3</v>
      </c>
      <c r="K552" s="29"/>
      <c r="L552" s="29"/>
      <c r="M552" s="29"/>
      <c r="N552" s="29"/>
      <c r="O552" s="29"/>
      <c r="P552" s="30">
        <f>SUM(J552:O552)</f>
        <v>1.8235858847176001E-3</v>
      </c>
      <c r="Q552" s="31">
        <f t="shared" si="374"/>
        <v>0.37506400000000001</v>
      </c>
    </row>
    <row r="553" spans="1:17" x14ac:dyDescent="0.2">
      <c r="A553" s="10"/>
      <c r="B553" s="26"/>
      <c r="C553" s="11">
        <v>1999</v>
      </c>
      <c r="D553" s="32">
        <f>SPFI_CLB14!$D$22</f>
        <v>0.29823699999999997</v>
      </c>
      <c r="E553" s="32"/>
      <c r="F553" s="32"/>
      <c r="G553" s="32"/>
      <c r="H553" s="32"/>
      <c r="I553" s="32"/>
      <c r="J553" s="28">
        <f t="shared" ref="J553" si="380">D553*J$17</f>
        <v>1.4500479478183001E-3</v>
      </c>
      <c r="K553" s="29"/>
      <c r="L553" s="29"/>
      <c r="M553" s="29"/>
      <c r="N553" s="29"/>
      <c r="O553" s="29"/>
      <c r="P553" s="30">
        <f>SUM(J553:O553)</f>
        <v>1.4500479478183001E-3</v>
      </c>
      <c r="Q553" s="31">
        <f t="shared" ref="Q553:Q558" si="381">IF(C$17&gt;0,P553/C$17,0)</f>
        <v>0.29823699999999997</v>
      </c>
    </row>
    <row r="554" spans="1:17" x14ac:dyDescent="0.2">
      <c r="A554" s="10"/>
      <c r="B554" s="26"/>
      <c r="C554" s="11">
        <v>2000</v>
      </c>
      <c r="D554" s="32">
        <f>SPFI_CLB14!$D$23</f>
        <v>8.4414000000000003E-2</v>
      </c>
      <c r="E554" s="32"/>
      <c r="F554" s="32"/>
      <c r="G554" s="32"/>
      <c r="H554" s="32"/>
      <c r="I554" s="32"/>
      <c r="J554" s="28">
        <f t="shared" ref="J554" si="382">D554*J$17</f>
        <v>4.1042643088260003E-4</v>
      </c>
      <c r="K554" s="29"/>
      <c r="L554" s="29"/>
      <c r="M554" s="29"/>
      <c r="N554" s="29"/>
      <c r="O554" s="29"/>
      <c r="P554" s="30">
        <f t="shared" ref="P554:P559" si="383">SUM(J554:O554)</f>
        <v>4.1042643088260003E-4</v>
      </c>
      <c r="Q554" s="31">
        <f t="shared" si="381"/>
        <v>8.4414000000000003E-2</v>
      </c>
    </row>
    <row r="555" spans="1:17" x14ac:dyDescent="0.2">
      <c r="A555" s="10"/>
      <c r="B555" s="26"/>
      <c r="C555" s="11">
        <v>2001</v>
      </c>
      <c r="D555" s="32">
        <f>SPFI_CLB14!$D$24</f>
        <v>7.8909000000000007E-2</v>
      </c>
      <c r="E555" s="32"/>
      <c r="F555" s="32"/>
      <c r="G555" s="32"/>
      <c r="H555" s="32"/>
      <c r="I555" s="32"/>
      <c r="J555" s="28">
        <f t="shared" ref="J555" si="384">D555*J$17</f>
        <v>3.8366075810310007E-4</v>
      </c>
      <c r="K555" s="29"/>
      <c r="L555" s="29"/>
      <c r="M555" s="29"/>
      <c r="N555" s="29"/>
      <c r="O555" s="29"/>
      <c r="P555" s="30">
        <f t="shared" si="383"/>
        <v>3.8366075810310007E-4</v>
      </c>
      <c r="Q555" s="31">
        <f t="shared" si="381"/>
        <v>7.8909000000000007E-2</v>
      </c>
    </row>
    <row r="556" spans="1:17" x14ac:dyDescent="0.2">
      <c r="A556" s="10"/>
      <c r="B556" s="26"/>
      <c r="C556" s="11">
        <v>2002</v>
      </c>
      <c r="D556" s="32">
        <f>SPFI_CLB14!$D$25</f>
        <v>0.29974699999999999</v>
      </c>
      <c r="E556" s="32"/>
      <c r="F556" s="32"/>
      <c r="G556" s="32"/>
      <c r="H556" s="32"/>
      <c r="I556" s="32"/>
      <c r="J556" s="28">
        <f t="shared" ref="J556" si="385">D556*J$17</f>
        <v>1.4573896673273001E-3</v>
      </c>
      <c r="K556" s="29"/>
      <c r="L556" s="29"/>
      <c r="M556" s="29"/>
      <c r="N556" s="29"/>
      <c r="O556" s="29"/>
      <c r="P556" s="30">
        <f t="shared" si="383"/>
        <v>1.4573896673273001E-3</v>
      </c>
      <c r="Q556" s="31">
        <f t="shared" si="381"/>
        <v>0.29974699999999999</v>
      </c>
    </row>
    <row r="557" spans="1:17" x14ac:dyDescent="0.2">
      <c r="A557" s="10"/>
      <c r="B557" s="26"/>
      <c r="C557" s="11">
        <v>2003</v>
      </c>
      <c r="D557" s="32">
        <f>SPFI_CLB14!$D$26</f>
        <v>0.20691100000000001</v>
      </c>
      <c r="E557" s="32"/>
      <c r="F557" s="32"/>
      <c r="G557" s="32"/>
      <c r="H557" s="32"/>
      <c r="I557" s="32"/>
      <c r="J557" s="28">
        <f t="shared" ref="J557" si="386">D557*J$17</f>
        <v>1.0060149174349001E-3</v>
      </c>
      <c r="K557" s="29"/>
      <c r="L557" s="29"/>
      <c r="M557" s="29"/>
      <c r="N557" s="29"/>
      <c r="O557" s="29"/>
      <c r="P557" s="30">
        <f t="shared" si="383"/>
        <v>1.0060149174349001E-3</v>
      </c>
      <c r="Q557" s="31">
        <f t="shared" si="381"/>
        <v>0.20691100000000001</v>
      </c>
    </row>
    <row r="558" spans="1:17" x14ac:dyDescent="0.2">
      <c r="A558" s="10"/>
      <c r="B558" s="26"/>
      <c r="C558" s="11">
        <v>2004</v>
      </c>
      <c r="D558" s="32">
        <f>SPFI_CLB14!$D$27</f>
        <v>0.269237</v>
      </c>
      <c r="E558" s="32"/>
      <c r="F558" s="32"/>
      <c r="G558" s="32"/>
      <c r="H558" s="32"/>
      <c r="I558" s="32"/>
      <c r="J558" s="28">
        <f t="shared" ref="J558" si="387">D558*J$17</f>
        <v>1.3090480367183002E-3</v>
      </c>
      <c r="K558" s="29"/>
      <c r="L558" s="29"/>
      <c r="M558" s="29"/>
      <c r="N558" s="29"/>
      <c r="O558" s="29"/>
      <c r="P558" s="30">
        <f t="shared" si="383"/>
        <v>1.3090480367183002E-3</v>
      </c>
      <c r="Q558" s="31">
        <f t="shared" si="381"/>
        <v>0.269237</v>
      </c>
    </row>
    <row r="559" spans="1:17" x14ac:dyDescent="0.2">
      <c r="A559" s="10"/>
      <c r="B559" s="26"/>
      <c r="C559" s="11">
        <v>2005</v>
      </c>
      <c r="D559" s="32">
        <f>SPFI_CLB14!$D$28</f>
        <v>0.37848700000000002</v>
      </c>
      <c r="E559" s="32"/>
      <c r="F559" s="32"/>
      <c r="G559" s="32"/>
      <c r="H559" s="32"/>
      <c r="I559" s="32"/>
      <c r="J559" s="28">
        <f t="shared" ref="J559" si="388">D559*J$17</f>
        <v>1.8402287362933002E-3</v>
      </c>
      <c r="K559" s="29"/>
      <c r="L559" s="29"/>
      <c r="M559" s="29"/>
      <c r="N559" s="29"/>
      <c r="O559" s="29"/>
      <c r="P559" s="30">
        <f t="shared" si="383"/>
        <v>1.8402287362933002E-3</v>
      </c>
      <c r="Q559" s="31">
        <f t="shared" ref="Q559:Q564" si="389">IF(C$17&gt;0,P559/C$17,0)</f>
        <v>0.37848700000000002</v>
      </c>
    </row>
    <row r="560" spans="1:17" x14ac:dyDescent="0.2">
      <c r="A560" s="10"/>
      <c r="B560" s="26"/>
      <c r="C560" s="11">
        <v>2006</v>
      </c>
      <c r="D560" s="32">
        <f>SPFI_CLB14!$D$29</f>
        <v>0.381023</v>
      </c>
      <c r="E560" s="32"/>
      <c r="F560" s="32"/>
      <c r="G560" s="32"/>
      <c r="H560" s="32"/>
      <c r="I560" s="32"/>
      <c r="J560" s="28">
        <f t="shared" ref="J560" si="390">D560*J$17</f>
        <v>1.8525589354157002E-3</v>
      </c>
      <c r="K560" s="29"/>
      <c r="L560" s="29"/>
      <c r="M560" s="29"/>
      <c r="N560" s="29"/>
      <c r="O560" s="29"/>
      <c r="P560" s="30">
        <f t="shared" ref="P560:P567" si="391">SUM(J560:O560)</f>
        <v>1.8525589354157002E-3</v>
      </c>
      <c r="Q560" s="31">
        <f t="shared" si="389"/>
        <v>0.381023</v>
      </c>
    </row>
    <row r="561" spans="1:17" x14ac:dyDescent="0.2">
      <c r="A561" s="10"/>
      <c r="B561" s="26"/>
      <c r="C561" s="11">
        <v>2007</v>
      </c>
      <c r="D561" s="32">
        <f>SPFI_CLB14!$D$30</f>
        <v>0.356512</v>
      </c>
      <c r="E561" s="32"/>
      <c r="F561" s="32"/>
      <c r="G561" s="32"/>
      <c r="H561" s="32"/>
      <c r="I561" s="32"/>
      <c r="J561" s="28">
        <f t="shared" ref="J561" si="392">D561*J$17</f>
        <v>1.7333848381408002E-3</v>
      </c>
      <c r="K561" s="29"/>
      <c r="L561" s="29"/>
      <c r="M561" s="29"/>
      <c r="N561" s="29"/>
      <c r="O561" s="29"/>
      <c r="P561" s="30">
        <f t="shared" si="391"/>
        <v>1.7333848381408002E-3</v>
      </c>
      <c r="Q561" s="31">
        <f t="shared" si="389"/>
        <v>0.356512</v>
      </c>
    </row>
    <row r="562" spans="1:17" x14ac:dyDescent="0.2">
      <c r="A562" s="10"/>
      <c r="B562" s="26"/>
      <c r="C562" s="11">
        <v>2008</v>
      </c>
      <c r="D562" s="32">
        <f>SPFI_CLB14!$D$31</f>
        <v>0.25494499999999998</v>
      </c>
      <c r="E562" s="32"/>
      <c r="F562" s="32"/>
      <c r="G562" s="32"/>
      <c r="H562" s="32"/>
      <c r="I562" s="32"/>
      <c r="J562" s="28">
        <f t="shared" ref="J562" si="393">D562*J$17</f>
        <v>1.2395593908755E-3</v>
      </c>
      <c r="K562" s="29"/>
      <c r="L562" s="29"/>
      <c r="M562" s="29"/>
      <c r="N562" s="29"/>
      <c r="O562" s="29"/>
      <c r="P562" s="30">
        <f t="shared" si="391"/>
        <v>1.2395593908755E-3</v>
      </c>
      <c r="Q562" s="31">
        <f t="shared" si="389"/>
        <v>0.25494499999999998</v>
      </c>
    </row>
    <row r="563" spans="1:17" x14ac:dyDescent="0.2">
      <c r="A563" s="10"/>
      <c r="B563" s="26"/>
      <c r="C563" s="11">
        <v>2009</v>
      </c>
      <c r="D563" s="32">
        <f>SPFI_CLB14!$D$32</f>
        <v>0.52383000000000002</v>
      </c>
      <c r="E563" s="32"/>
      <c r="F563" s="32"/>
      <c r="G563" s="32"/>
      <c r="H563" s="32"/>
      <c r="I563" s="32"/>
      <c r="J563" s="28">
        <f t="shared" ref="J563" si="394">D563*J$17</f>
        <v>2.5468959803970001E-3</v>
      </c>
      <c r="K563" s="29"/>
      <c r="L563" s="29"/>
      <c r="M563" s="29"/>
      <c r="N563" s="29"/>
      <c r="O563" s="29"/>
      <c r="P563" s="30">
        <f t="shared" si="391"/>
        <v>2.5468959803970001E-3</v>
      </c>
      <c r="Q563" s="31">
        <f t="shared" si="389"/>
        <v>0.52383000000000002</v>
      </c>
    </row>
    <row r="564" spans="1:17" x14ac:dyDescent="0.2">
      <c r="A564" s="10"/>
      <c r="B564" s="26"/>
      <c r="C564" s="11">
        <v>2010</v>
      </c>
      <c r="D564" s="32">
        <f>SPFI_CLB14!$D$33</f>
        <v>0.31394</v>
      </c>
      <c r="E564" s="32"/>
      <c r="F564" s="32"/>
      <c r="G564" s="32"/>
      <c r="H564" s="32"/>
      <c r="I564" s="32"/>
      <c r="J564" s="28">
        <f t="shared" ref="J564" si="395">D564*J$17</f>
        <v>1.5263969686460002E-3</v>
      </c>
      <c r="K564" s="29"/>
      <c r="L564" s="29"/>
      <c r="M564" s="29"/>
      <c r="N564" s="29"/>
      <c r="O564" s="29"/>
      <c r="P564" s="30">
        <f t="shared" si="391"/>
        <v>1.5263969686460002E-3</v>
      </c>
      <c r="Q564" s="31">
        <f t="shared" si="389"/>
        <v>0.31394</v>
      </c>
    </row>
    <row r="565" spans="1:17" x14ac:dyDescent="0.2">
      <c r="A565" s="10"/>
      <c r="B565" s="26"/>
      <c r="C565" s="11">
        <v>2011</v>
      </c>
      <c r="D565" s="32">
        <f>SPFI_CLB14!$D$34</f>
        <v>0.294348</v>
      </c>
      <c r="E565" s="32"/>
      <c r="F565" s="32"/>
      <c r="G565" s="32"/>
      <c r="H565" s="32"/>
      <c r="I565" s="32"/>
      <c r="J565" s="28">
        <f t="shared" ref="J565" si="396">D565*J$17</f>
        <v>1.4311393735332001E-3</v>
      </c>
      <c r="K565" s="29"/>
      <c r="L565" s="29"/>
      <c r="M565" s="29"/>
      <c r="N565" s="29"/>
      <c r="O565" s="29"/>
      <c r="P565" s="30">
        <f t="shared" ref="P565" si="397">SUM(J565:O565)</f>
        <v>1.4311393735332001E-3</v>
      </c>
      <c r="Q565" s="31">
        <f t="shared" ref="Q565" si="398">IF(C$17&gt;0,P565/C$17,0)</f>
        <v>0.294348</v>
      </c>
    </row>
    <row r="566" spans="1:17" x14ac:dyDescent="0.2">
      <c r="A566" s="10"/>
      <c r="B566" s="26"/>
      <c r="C566" s="11">
        <v>2012</v>
      </c>
      <c r="D566" s="32">
        <f>SPFI_CLB14!$D$35</f>
        <v>0.34784100000000001</v>
      </c>
      <c r="E566" s="32"/>
      <c r="F566" s="32"/>
      <c r="G566" s="32"/>
      <c r="H566" s="32"/>
      <c r="I566" s="32"/>
      <c r="J566" s="28">
        <f t="shared" ref="J566" si="399">D566*J$17</f>
        <v>1.6912258647219002E-3</v>
      </c>
      <c r="K566" s="29"/>
      <c r="L566" s="29"/>
      <c r="M566" s="29"/>
      <c r="N566" s="29"/>
      <c r="O566" s="29"/>
      <c r="P566" s="30">
        <f t="shared" ref="P566" si="400">SUM(J566:O566)</f>
        <v>1.6912258647219002E-3</v>
      </c>
      <c r="Q566" s="31">
        <f t="shared" ref="Q566" si="401">IF(C$17&gt;0,P566/C$17,0)</f>
        <v>0.34784100000000001</v>
      </c>
    </row>
    <row r="567" spans="1:17" x14ac:dyDescent="0.2">
      <c r="A567" s="5" t="s">
        <v>9</v>
      </c>
      <c r="B567" s="21">
        <v>4</v>
      </c>
      <c r="C567" s="6">
        <v>1982</v>
      </c>
      <c r="D567" s="27">
        <f>SPFI_CLB14!$D$5</f>
        <v>0.98153299999999999</v>
      </c>
      <c r="E567" s="27"/>
      <c r="F567" s="27"/>
      <c r="G567" s="27"/>
      <c r="H567" s="27"/>
      <c r="I567" s="27"/>
      <c r="J567" s="33">
        <f t="shared" ref="J567:J579" si="402">D567*J$18</f>
        <v>1.9901810454316E-3</v>
      </c>
      <c r="K567" s="27"/>
      <c r="L567" s="27"/>
      <c r="M567" s="27"/>
      <c r="N567" s="27"/>
      <c r="O567" s="27"/>
      <c r="P567" s="34">
        <f t="shared" si="391"/>
        <v>1.9901810454316E-3</v>
      </c>
      <c r="Q567" s="35">
        <f t="shared" ref="Q567:Q583" si="403">IF(C$18&gt;0,P567/C$18,0)</f>
        <v>0.98153299999999999</v>
      </c>
    </row>
    <row r="568" spans="1:17" x14ac:dyDescent="0.2">
      <c r="A568" s="10"/>
      <c r="B568" s="26"/>
      <c r="C568" s="11">
        <v>1983</v>
      </c>
      <c r="D568" s="32">
        <f>SPFI_CLB14!$D$6</f>
        <v>0.93659899999999996</v>
      </c>
      <c r="E568" s="32"/>
      <c r="F568" s="32"/>
      <c r="G568" s="32"/>
      <c r="H568" s="32"/>
      <c r="I568" s="32"/>
      <c r="J568" s="28">
        <f t="shared" si="402"/>
        <v>1.8990717346947998E-3</v>
      </c>
      <c r="K568" s="29"/>
      <c r="L568" s="29"/>
      <c r="M568" s="29"/>
      <c r="N568" s="29"/>
      <c r="O568" s="29"/>
      <c r="P568" s="30">
        <f t="shared" ref="P568:P579" si="404">SUM(J568:O568)</f>
        <v>1.8990717346947998E-3</v>
      </c>
      <c r="Q568" s="31">
        <f t="shared" si="403"/>
        <v>0.93659899999999996</v>
      </c>
    </row>
    <row r="569" spans="1:17" x14ac:dyDescent="0.2">
      <c r="A569" s="10"/>
      <c r="B569" s="26"/>
      <c r="C569" s="11">
        <v>1984</v>
      </c>
      <c r="D569" s="32">
        <f>SPFI_CLB14!$D$7</f>
        <v>0.92793599999999998</v>
      </c>
      <c r="E569" s="32"/>
      <c r="F569" s="32"/>
      <c r="G569" s="32"/>
      <c r="H569" s="32"/>
      <c r="I569" s="32"/>
      <c r="J569" s="28">
        <f t="shared" si="402"/>
        <v>1.8815064175871999E-3</v>
      </c>
      <c r="K569" s="29"/>
      <c r="L569" s="29"/>
      <c r="M569" s="29"/>
      <c r="N569" s="29"/>
      <c r="O569" s="29"/>
      <c r="P569" s="30">
        <f t="shared" si="404"/>
        <v>1.8815064175871999E-3</v>
      </c>
      <c r="Q569" s="31">
        <f t="shared" si="403"/>
        <v>0.92793599999999998</v>
      </c>
    </row>
    <row r="570" spans="1:17" x14ac:dyDescent="0.2">
      <c r="A570" s="10"/>
      <c r="B570" s="26"/>
      <c r="C570" s="11">
        <v>1985</v>
      </c>
      <c r="D570" s="32">
        <f>SPFI_CLB14!$D$8</f>
        <v>0.90386500000000003</v>
      </c>
      <c r="E570" s="32"/>
      <c r="F570" s="32"/>
      <c r="G570" s="32"/>
      <c r="H570" s="32"/>
      <c r="I570" s="32"/>
      <c r="J570" s="28">
        <f t="shared" si="402"/>
        <v>1.8326994513980001E-3</v>
      </c>
      <c r="K570" s="29"/>
      <c r="L570" s="29"/>
      <c r="M570" s="29"/>
      <c r="N570" s="29"/>
      <c r="O570" s="29"/>
      <c r="P570" s="30">
        <f t="shared" si="404"/>
        <v>1.8326994513980001E-3</v>
      </c>
      <c r="Q570" s="31">
        <f t="shared" si="403"/>
        <v>0.90386500000000003</v>
      </c>
    </row>
    <row r="571" spans="1:17" x14ac:dyDescent="0.2">
      <c r="A571" s="10"/>
      <c r="B571" s="26"/>
      <c r="C571" s="11">
        <v>1986</v>
      </c>
      <c r="D571" s="32">
        <f>SPFI_CLB14!$D$9</f>
        <v>0.73087500000000005</v>
      </c>
      <c r="E571" s="32"/>
      <c r="F571" s="32"/>
      <c r="G571" s="32"/>
      <c r="H571" s="32"/>
      <c r="I571" s="32"/>
      <c r="J571" s="28">
        <f t="shared" si="402"/>
        <v>1.48194056805E-3</v>
      </c>
      <c r="K571" s="29"/>
      <c r="L571" s="29"/>
      <c r="M571" s="29"/>
      <c r="N571" s="29"/>
      <c r="O571" s="29"/>
      <c r="P571" s="30">
        <f t="shared" si="404"/>
        <v>1.48194056805E-3</v>
      </c>
      <c r="Q571" s="31">
        <f t="shared" si="403"/>
        <v>0.73087500000000005</v>
      </c>
    </row>
    <row r="572" spans="1:17" x14ac:dyDescent="0.2">
      <c r="A572" s="10"/>
      <c r="B572" s="26"/>
      <c r="C572" s="11">
        <v>1987</v>
      </c>
      <c r="D572" s="32">
        <f>SPFI_CLB14!$D$10</f>
        <v>0.71733499999999994</v>
      </c>
      <c r="E572" s="32"/>
      <c r="F572" s="32"/>
      <c r="G572" s="32"/>
      <c r="H572" s="32"/>
      <c r="I572" s="32"/>
      <c r="J572" s="28">
        <f t="shared" si="402"/>
        <v>1.4544865228419998E-3</v>
      </c>
      <c r="K572" s="29"/>
      <c r="L572" s="29"/>
      <c r="M572" s="29"/>
      <c r="N572" s="29"/>
      <c r="O572" s="29"/>
      <c r="P572" s="30">
        <f t="shared" si="404"/>
        <v>1.4544865228419998E-3</v>
      </c>
      <c r="Q572" s="31">
        <f t="shared" si="403"/>
        <v>0.71733499999999994</v>
      </c>
    </row>
    <row r="573" spans="1:17" x14ac:dyDescent="0.2">
      <c r="A573" s="10"/>
      <c r="B573" s="26"/>
      <c r="C573" s="11">
        <v>1988</v>
      </c>
      <c r="D573" s="32">
        <f>SPFI_CLB14!$D$11</f>
        <v>0.64558800000000005</v>
      </c>
      <c r="E573" s="32"/>
      <c r="F573" s="32"/>
      <c r="G573" s="32"/>
      <c r="H573" s="32"/>
      <c r="I573" s="32"/>
      <c r="J573" s="28">
        <f t="shared" si="402"/>
        <v>1.3090104976176001E-3</v>
      </c>
      <c r="K573" s="29"/>
      <c r="L573" s="29"/>
      <c r="M573" s="29"/>
      <c r="N573" s="29"/>
      <c r="O573" s="29"/>
      <c r="P573" s="30">
        <f t="shared" si="404"/>
        <v>1.3090104976176001E-3</v>
      </c>
      <c r="Q573" s="31">
        <f t="shared" si="403"/>
        <v>0.64558800000000005</v>
      </c>
    </row>
    <row r="574" spans="1:17" x14ac:dyDescent="0.2">
      <c r="A574" s="10"/>
      <c r="B574" s="26"/>
      <c r="C574" s="11">
        <v>1989</v>
      </c>
      <c r="D574" s="32">
        <f>SPFI_CLB14!$D$12</f>
        <v>0.65287700000000004</v>
      </c>
      <c r="E574" s="32"/>
      <c r="F574" s="32"/>
      <c r="G574" s="32"/>
      <c r="H574" s="32"/>
      <c r="I574" s="32"/>
      <c r="J574" s="28">
        <f t="shared" si="402"/>
        <v>1.3237898577004E-3</v>
      </c>
      <c r="K574" s="29"/>
      <c r="L574" s="29"/>
      <c r="M574" s="29"/>
      <c r="N574" s="29"/>
      <c r="O574" s="29"/>
      <c r="P574" s="30">
        <f t="shared" si="404"/>
        <v>1.3237898577004E-3</v>
      </c>
      <c r="Q574" s="31">
        <f t="shared" si="403"/>
        <v>0.65287700000000004</v>
      </c>
    </row>
    <row r="575" spans="1:17" x14ac:dyDescent="0.2">
      <c r="A575" s="10"/>
      <c r="B575" s="26"/>
      <c r="C575" s="11">
        <v>1990</v>
      </c>
      <c r="D575" s="32">
        <f>SPFI_CLB14!$D$13</f>
        <v>0.56965100000000002</v>
      </c>
      <c r="E575" s="32"/>
      <c r="F575" s="32"/>
      <c r="G575" s="32"/>
      <c r="H575" s="32"/>
      <c r="I575" s="32"/>
      <c r="J575" s="28">
        <f t="shared" si="402"/>
        <v>1.1550387228052E-3</v>
      </c>
      <c r="K575" s="29"/>
      <c r="L575" s="29"/>
      <c r="M575" s="29"/>
      <c r="N575" s="29"/>
      <c r="O575" s="29"/>
      <c r="P575" s="30">
        <f t="shared" si="404"/>
        <v>1.1550387228052E-3</v>
      </c>
      <c r="Q575" s="31">
        <f t="shared" si="403"/>
        <v>0.56965100000000002</v>
      </c>
    </row>
    <row r="576" spans="1:17" x14ac:dyDescent="0.2">
      <c r="A576" s="10"/>
      <c r="B576" s="26"/>
      <c r="C576" s="11">
        <v>1991</v>
      </c>
      <c r="D576" s="32">
        <f>SPFI_CLB14!$D$14</f>
        <v>0.62776900000000002</v>
      </c>
      <c r="E576" s="32"/>
      <c r="F576" s="32"/>
      <c r="G576" s="32"/>
      <c r="H576" s="32"/>
      <c r="I576" s="32"/>
      <c r="J576" s="28">
        <f t="shared" si="402"/>
        <v>1.2728802441788001E-3</v>
      </c>
      <c r="K576" s="29"/>
      <c r="L576" s="29"/>
      <c r="M576" s="29"/>
      <c r="N576" s="29"/>
      <c r="O576" s="29"/>
      <c r="P576" s="30">
        <f t="shared" si="404"/>
        <v>1.2728802441788001E-3</v>
      </c>
      <c r="Q576" s="31">
        <f t="shared" si="403"/>
        <v>0.62776900000000002</v>
      </c>
    </row>
    <row r="577" spans="1:17" x14ac:dyDescent="0.2">
      <c r="A577" s="10"/>
      <c r="B577" s="26"/>
      <c r="C577" s="11">
        <v>1992</v>
      </c>
      <c r="D577" s="32">
        <f>SPFI_CLB14!$D$15</f>
        <v>0.43504100000000001</v>
      </c>
      <c r="E577" s="32"/>
      <c r="F577" s="32"/>
      <c r="G577" s="32"/>
      <c r="H577" s="32"/>
      <c r="I577" s="32"/>
      <c r="J577" s="28">
        <f t="shared" si="402"/>
        <v>8.8210009463320007E-4</v>
      </c>
      <c r="K577" s="29"/>
      <c r="L577" s="29"/>
      <c r="M577" s="29"/>
      <c r="N577" s="29"/>
      <c r="O577" s="29"/>
      <c r="P577" s="30">
        <f t="shared" si="404"/>
        <v>8.8210009463320007E-4</v>
      </c>
      <c r="Q577" s="31">
        <f t="shared" si="403"/>
        <v>0.43504100000000001</v>
      </c>
    </row>
    <row r="578" spans="1:17" x14ac:dyDescent="0.2">
      <c r="A578" s="10"/>
      <c r="B578" s="26"/>
      <c r="C578" s="11">
        <v>1993</v>
      </c>
      <c r="D578" s="32">
        <f>SPFI_CLB14!$D$16</f>
        <v>0.499164</v>
      </c>
      <c r="E578" s="32"/>
      <c r="F578" s="32"/>
      <c r="G578" s="32"/>
      <c r="H578" s="32"/>
      <c r="I578" s="32"/>
      <c r="J578" s="28">
        <f t="shared" si="402"/>
        <v>1.0121175053328E-3</v>
      </c>
      <c r="K578" s="29"/>
      <c r="L578" s="29"/>
      <c r="M578" s="29"/>
      <c r="N578" s="29"/>
      <c r="O578" s="29"/>
      <c r="P578" s="30">
        <f t="shared" si="404"/>
        <v>1.0121175053328E-3</v>
      </c>
      <c r="Q578" s="31">
        <f t="shared" si="403"/>
        <v>0.499164</v>
      </c>
    </row>
    <row r="579" spans="1:17" x14ac:dyDescent="0.2">
      <c r="A579" s="10"/>
      <c r="B579" s="26"/>
      <c r="C579" s="11">
        <v>1994</v>
      </c>
      <c r="D579" s="32">
        <f>SPFI_CLB14!$D$17</f>
        <v>0.59591300000000003</v>
      </c>
      <c r="E579" s="32"/>
      <c r="F579" s="32"/>
      <c r="G579" s="32"/>
      <c r="H579" s="32"/>
      <c r="I579" s="32"/>
      <c r="J579" s="28">
        <f t="shared" si="402"/>
        <v>1.2082882158075999E-3</v>
      </c>
      <c r="K579" s="29"/>
      <c r="L579" s="29"/>
      <c r="M579" s="29"/>
      <c r="N579" s="29"/>
      <c r="O579" s="29"/>
      <c r="P579" s="30">
        <f t="shared" si="404"/>
        <v>1.2082882158075999E-3</v>
      </c>
      <c r="Q579" s="31">
        <f t="shared" si="403"/>
        <v>0.59591300000000003</v>
      </c>
    </row>
    <row r="580" spans="1:17" x14ac:dyDescent="0.2">
      <c r="A580" s="10"/>
      <c r="B580" s="26"/>
      <c r="C580" s="11">
        <v>1995</v>
      </c>
      <c r="D580" s="32">
        <f>SPFI_CLB14!$D$18</f>
        <v>0.25400800000000001</v>
      </c>
      <c r="E580" s="32"/>
      <c r="F580" s="32"/>
      <c r="G580" s="32"/>
      <c r="H580" s="32"/>
      <c r="I580" s="32"/>
      <c r="J580" s="28">
        <f t="shared" ref="J580" si="405">D580*J$18</f>
        <v>5.1503302180160005E-4</v>
      </c>
      <c r="K580" s="29"/>
      <c r="L580" s="29"/>
      <c r="M580" s="29"/>
      <c r="N580" s="29"/>
      <c r="O580" s="29"/>
      <c r="P580" s="30">
        <f>SUM(J580:O580)</f>
        <v>5.1503302180160005E-4</v>
      </c>
      <c r="Q580" s="31">
        <f t="shared" si="403"/>
        <v>0.25400800000000001</v>
      </c>
    </row>
    <row r="581" spans="1:17" x14ac:dyDescent="0.2">
      <c r="A581" s="10"/>
      <c r="B581" s="26"/>
      <c r="C581" s="11">
        <v>1996</v>
      </c>
      <c r="D581" s="32">
        <f>SPFI_CLB14!$D$19</f>
        <v>0</v>
      </c>
      <c r="E581" s="32"/>
      <c r="F581" s="32"/>
      <c r="G581" s="32"/>
      <c r="H581" s="32"/>
      <c r="I581" s="32"/>
      <c r="J581" s="28">
        <f t="shared" ref="J581" si="406">D581*J$18</f>
        <v>0</v>
      </c>
      <c r="K581" s="29"/>
      <c r="L581" s="29"/>
      <c r="M581" s="29"/>
      <c r="N581" s="29"/>
      <c r="O581" s="29"/>
      <c r="P581" s="30">
        <f>SUM(J581:O581)</f>
        <v>0</v>
      </c>
      <c r="Q581" s="31">
        <f t="shared" si="403"/>
        <v>0</v>
      </c>
    </row>
    <row r="582" spans="1:17" x14ac:dyDescent="0.2">
      <c r="A582" s="10"/>
      <c r="B582" s="26"/>
      <c r="C582" s="11">
        <v>1997</v>
      </c>
      <c r="D582" s="32">
        <f>SPFI_CLB14!$D$20</f>
        <v>0.201487</v>
      </c>
      <c r="E582" s="32"/>
      <c r="F582" s="32"/>
      <c r="G582" s="32"/>
      <c r="H582" s="32"/>
      <c r="I582" s="32"/>
      <c r="J582" s="28">
        <f t="shared" ref="J582" si="407">D582*J$18</f>
        <v>4.0854011867240002E-4</v>
      </c>
      <c r="K582" s="29"/>
      <c r="L582" s="29"/>
      <c r="M582" s="29"/>
      <c r="N582" s="29"/>
      <c r="O582" s="29"/>
      <c r="P582" s="30">
        <f>SUM(J582:O582)</f>
        <v>4.0854011867240002E-4</v>
      </c>
      <c r="Q582" s="31">
        <f t="shared" si="403"/>
        <v>0.201487</v>
      </c>
    </row>
    <row r="583" spans="1:17" x14ac:dyDescent="0.2">
      <c r="A583" s="10"/>
      <c r="B583" s="26"/>
      <c r="C583" s="11">
        <v>1998</v>
      </c>
      <c r="D583" s="32">
        <f>SPFI_CLB14!$D$21</f>
        <v>0.37506400000000001</v>
      </c>
      <c r="E583" s="32"/>
      <c r="F583" s="32"/>
      <c r="G583" s="32"/>
      <c r="H583" s="32"/>
      <c r="I583" s="32"/>
      <c r="J583" s="28">
        <f t="shared" ref="J583" si="408">D583*J$18</f>
        <v>7.6048921801280002E-4</v>
      </c>
      <c r="K583" s="29"/>
      <c r="L583" s="29"/>
      <c r="M583" s="29"/>
      <c r="N583" s="29"/>
      <c r="O583" s="29"/>
      <c r="P583" s="30">
        <f>SUM(J583:O583)</f>
        <v>7.6048921801280002E-4</v>
      </c>
      <c r="Q583" s="31">
        <f t="shared" si="403"/>
        <v>0.37506400000000001</v>
      </c>
    </row>
    <row r="584" spans="1:17" x14ac:dyDescent="0.2">
      <c r="A584" s="10"/>
      <c r="B584" s="26"/>
      <c r="C584" s="11">
        <v>1999</v>
      </c>
      <c r="D584" s="32">
        <f>SPFI_CLB14!$D$22</f>
        <v>0.29823699999999997</v>
      </c>
      <c r="E584" s="32"/>
      <c r="F584" s="32"/>
      <c r="G584" s="32"/>
      <c r="H584" s="32"/>
      <c r="I584" s="32"/>
      <c r="J584" s="28">
        <f t="shared" ref="J584" si="409">D584*J$18</f>
        <v>6.0471285677239997E-4</v>
      </c>
      <c r="K584" s="29"/>
      <c r="L584" s="29"/>
      <c r="M584" s="29"/>
      <c r="N584" s="29"/>
      <c r="O584" s="29"/>
      <c r="P584" s="30">
        <f>SUM(J584:O584)</f>
        <v>6.0471285677239997E-4</v>
      </c>
      <c r="Q584" s="31">
        <f t="shared" ref="Q584:Q589" si="410">IF(C$18&gt;0,P584/C$18,0)</f>
        <v>0.29823699999999997</v>
      </c>
    </row>
    <row r="585" spans="1:17" x14ac:dyDescent="0.2">
      <c r="A585" s="10"/>
      <c r="B585" s="26"/>
      <c r="C585" s="11">
        <v>2000</v>
      </c>
      <c r="D585" s="32">
        <f>SPFI_CLB14!$D$23</f>
        <v>8.4414000000000003E-2</v>
      </c>
      <c r="E585" s="32"/>
      <c r="F585" s="32"/>
      <c r="G585" s="32"/>
      <c r="H585" s="32"/>
      <c r="I585" s="32"/>
      <c r="J585" s="28">
        <f t="shared" ref="J585" si="411">D585*J$18</f>
        <v>1.711599536328E-4</v>
      </c>
      <c r="K585" s="29"/>
      <c r="L585" s="29"/>
      <c r="M585" s="29"/>
      <c r="N585" s="29"/>
      <c r="O585" s="29"/>
      <c r="P585" s="30">
        <f t="shared" ref="P585:P590" si="412">SUM(J585:O585)</f>
        <v>1.711599536328E-4</v>
      </c>
      <c r="Q585" s="31">
        <f t="shared" si="410"/>
        <v>8.4414000000000003E-2</v>
      </c>
    </row>
    <row r="586" spans="1:17" x14ac:dyDescent="0.2">
      <c r="A586" s="10"/>
      <c r="B586" s="26"/>
      <c r="C586" s="11">
        <v>2001</v>
      </c>
      <c r="D586" s="32">
        <f>SPFI_CLB14!$D$24</f>
        <v>7.8909000000000007E-2</v>
      </c>
      <c r="E586" s="32"/>
      <c r="F586" s="32"/>
      <c r="G586" s="32"/>
      <c r="H586" s="32"/>
      <c r="I586" s="32"/>
      <c r="J586" s="28">
        <f t="shared" ref="J586" si="413">D586*J$18</f>
        <v>1.5999787690680001E-4</v>
      </c>
      <c r="K586" s="29"/>
      <c r="L586" s="29"/>
      <c r="M586" s="29"/>
      <c r="N586" s="29"/>
      <c r="O586" s="29"/>
      <c r="P586" s="30">
        <f t="shared" si="412"/>
        <v>1.5999787690680001E-4</v>
      </c>
      <c r="Q586" s="31">
        <f t="shared" si="410"/>
        <v>7.8909000000000007E-2</v>
      </c>
    </row>
    <row r="587" spans="1:17" x14ac:dyDescent="0.2">
      <c r="A587" s="10"/>
      <c r="B587" s="26"/>
      <c r="C587" s="11">
        <v>2002</v>
      </c>
      <c r="D587" s="32">
        <f>SPFI_CLB14!$D$25</f>
        <v>0.29974699999999999</v>
      </c>
      <c r="E587" s="32"/>
      <c r="F587" s="32"/>
      <c r="G587" s="32"/>
      <c r="H587" s="32"/>
      <c r="I587" s="32"/>
      <c r="J587" s="28">
        <f t="shared" ref="J587" si="414">D587*J$18</f>
        <v>6.0777457082439995E-4</v>
      </c>
      <c r="K587" s="29"/>
      <c r="L587" s="29"/>
      <c r="M587" s="29"/>
      <c r="N587" s="29"/>
      <c r="O587" s="29"/>
      <c r="P587" s="30">
        <f t="shared" si="412"/>
        <v>6.0777457082439995E-4</v>
      </c>
      <c r="Q587" s="31">
        <f t="shared" si="410"/>
        <v>0.29974699999999999</v>
      </c>
    </row>
    <row r="588" spans="1:17" x14ac:dyDescent="0.2">
      <c r="A588" s="10"/>
      <c r="B588" s="26"/>
      <c r="C588" s="11">
        <v>2003</v>
      </c>
      <c r="D588" s="32">
        <f>SPFI_CLB14!$D$26</f>
        <v>0.20691100000000001</v>
      </c>
      <c r="E588" s="32"/>
      <c r="F588" s="32"/>
      <c r="G588" s="32"/>
      <c r="H588" s="32"/>
      <c r="I588" s="32"/>
      <c r="J588" s="28">
        <f t="shared" ref="J588" si="415">D588*J$18</f>
        <v>4.1953795775720004E-4</v>
      </c>
      <c r="K588" s="29"/>
      <c r="L588" s="29"/>
      <c r="M588" s="29"/>
      <c r="N588" s="29"/>
      <c r="O588" s="29"/>
      <c r="P588" s="30">
        <f t="shared" si="412"/>
        <v>4.1953795775720004E-4</v>
      </c>
      <c r="Q588" s="31">
        <f t="shared" si="410"/>
        <v>0.20691100000000001</v>
      </c>
    </row>
    <row r="589" spans="1:17" x14ac:dyDescent="0.2">
      <c r="A589" s="10"/>
      <c r="B589" s="26"/>
      <c r="C589" s="11">
        <v>2004</v>
      </c>
      <c r="D589" s="32">
        <f>SPFI_CLB14!$D$27</f>
        <v>0.269237</v>
      </c>
      <c r="E589" s="32"/>
      <c r="F589" s="32"/>
      <c r="G589" s="32"/>
      <c r="H589" s="32"/>
      <c r="I589" s="32"/>
      <c r="J589" s="28">
        <f t="shared" ref="J589" si="416">D589*J$18</f>
        <v>5.4591172597239998E-4</v>
      </c>
      <c r="K589" s="29"/>
      <c r="L589" s="29"/>
      <c r="M589" s="29"/>
      <c r="N589" s="29"/>
      <c r="O589" s="29"/>
      <c r="P589" s="30">
        <f t="shared" si="412"/>
        <v>5.4591172597239998E-4</v>
      </c>
      <c r="Q589" s="31">
        <f t="shared" si="410"/>
        <v>0.269237</v>
      </c>
    </row>
    <row r="590" spans="1:17" x14ac:dyDescent="0.2">
      <c r="A590" s="10"/>
      <c r="B590" s="26"/>
      <c r="C590" s="11">
        <v>2005</v>
      </c>
      <c r="D590" s="32">
        <f>SPFI_CLB14!$D$28</f>
        <v>0.37848700000000002</v>
      </c>
      <c r="E590" s="32"/>
      <c r="F590" s="32"/>
      <c r="G590" s="32"/>
      <c r="H590" s="32"/>
      <c r="I590" s="32"/>
      <c r="J590" s="28">
        <f t="shared" ref="J590" si="417">D590*J$18</f>
        <v>7.6742977907240004E-4</v>
      </c>
      <c r="K590" s="29"/>
      <c r="L590" s="29"/>
      <c r="M590" s="29"/>
      <c r="N590" s="29"/>
      <c r="O590" s="29"/>
      <c r="P590" s="30">
        <f t="shared" si="412"/>
        <v>7.6742977907240004E-4</v>
      </c>
      <c r="Q590" s="31">
        <f t="shared" ref="Q590:Q595" si="418">IF(C$18&gt;0,P590/C$18,0)</f>
        <v>0.37848700000000002</v>
      </c>
    </row>
    <row r="591" spans="1:17" x14ac:dyDescent="0.2">
      <c r="A591" s="10"/>
      <c r="B591" s="26"/>
      <c r="C591" s="11">
        <v>2006</v>
      </c>
      <c r="D591" s="32">
        <f>SPFI_CLB14!$D$29</f>
        <v>0.381023</v>
      </c>
      <c r="E591" s="32"/>
      <c r="F591" s="32"/>
      <c r="G591" s="32"/>
      <c r="H591" s="32"/>
      <c r="I591" s="32"/>
      <c r="J591" s="28">
        <f t="shared" ref="J591" si="419">D591*J$18</f>
        <v>7.7257183657959997E-4</v>
      </c>
      <c r="K591" s="29"/>
      <c r="L591" s="29"/>
      <c r="M591" s="29"/>
      <c r="N591" s="29"/>
      <c r="O591" s="29"/>
      <c r="P591" s="30">
        <f t="shared" ref="P591:P598" si="420">SUM(J591:O591)</f>
        <v>7.7257183657959997E-4</v>
      </c>
      <c r="Q591" s="31">
        <f t="shared" si="418"/>
        <v>0.381023</v>
      </c>
    </row>
    <row r="592" spans="1:17" x14ac:dyDescent="0.2">
      <c r="A592" s="10"/>
      <c r="B592" s="26"/>
      <c r="C592" s="11">
        <v>2007</v>
      </c>
      <c r="D592" s="32">
        <f>SPFI_CLB14!$D$30</f>
        <v>0.356512</v>
      </c>
      <c r="E592" s="32"/>
      <c r="F592" s="32"/>
      <c r="G592" s="32"/>
      <c r="H592" s="32"/>
      <c r="I592" s="32"/>
      <c r="J592" s="28">
        <f t="shared" ref="J592" si="421">D592*J$18</f>
        <v>7.2287271530239994E-4</v>
      </c>
      <c r="K592" s="29"/>
      <c r="L592" s="29"/>
      <c r="M592" s="29"/>
      <c r="N592" s="29"/>
      <c r="O592" s="29"/>
      <c r="P592" s="30">
        <f t="shared" si="420"/>
        <v>7.2287271530239994E-4</v>
      </c>
      <c r="Q592" s="31">
        <f t="shared" si="418"/>
        <v>0.356512</v>
      </c>
    </row>
    <row r="593" spans="1:17" x14ac:dyDescent="0.2">
      <c r="A593" s="10"/>
      <c r="B593" s="26"/>
      <c r="C593" s="11">
        <v>2008</v>
      </c>
      <c r="D593" s="32">
        <f>SPFI_CLB14!$D$31</f>
        <v>0.25494499999999998</v>
      </c>
      <c r="E593" s="32"/>
      <c r="F593" s="32"/>
      <c r="G593" s="32"/>
      <c r="H593" s="32"/>
      <c r="I593" s="32"/>
      <c r="J593" s="28">
        <f t="shared" ref="J593" si="422">D593*J$18</f>
        <v>5.1693290661399991E-4</v>
      </c>
      <c r="K593" s="29"/>
      <c r="L593" s="29"/>
      <c r="M593" s="29"/>
      <c r="N593" s="29"/>
      <c r="O593" s="29"/>
      <c r="P593" s="30">
        <f t="shared" si="420"/>
        <v>5.1693290661399991E-4</v>
      </c>
      <c r="Q593" s="31">
        <f t="shared" si="418"/>
        <v>0.25494499999999998</v>
      </c>
    </row>
    <row r="594" spans="1:17" x14ac:dyDescent="0.2">
      <c r="A594" s="10"/>
      <c r="B594" s="26"/>
      <c r="C594" s="11">
        <v>2009</v>
      </c>
      <c r="D594" s="32">
        <f>SPFI_CLB14!$D$32</f>
        <v>0.52383000000000002</v>
      </c>
      <c r="E594" s="32"/>
      <c r="F594" s="32"/>
      <c r="G594" s="32"/>
      <c r="H594" s="32"/>
      <c r="I594" s="32"/>
      <c r="J594" s="28">
        <f t="shared" ref="J594" si="423">D594*J$18</f>
        <v>1.0621309085159999E-3</v>
      </c>
      <c r="K594" s="29"/>
      <c r="L594" s="29"/>
      <c r="M594" s="29"/>
      <c r="N594" s="29"/>
      <c r="O594" s="29"/>
      <c r="P594" s="30">
        <f t="shared" si="420"/>
        <v>1.0621309085159999E-3</v>
      </c>
      <c r="Q594" s="31">
        <f t="shared" si="418"/>
        <v>0.52383000000000002</v>
      </c>
    </row>
    <row r="595" spans="1:17" x14ac:dyDescent="0.2">
      <c r="A595" s="10"/>
      <c r="B595" s="26"/>
      <c r="C595" s="11">
        <v>2010</v>
      </c>
      <c r="D595" s="32">
        <f>SPFI_CLB14!$D$33</f>
        <v>0.31394</v>
      </c>
      <c r="E595" s="32"/>
      <c r="F595" s="32"/>
      <c r="G595" s="32"/>
      <c r="H595" s="32"/>
      <c r="I595" s="32"/>
      <c r="J595" s="28">
        <f t="shared" ref="J595" si="424">D595*J$18</f>
        <v>6.3655265528799994E-4</v>
      </c>
      <c r="K595" s="29"/>
      <c r="L595" s="29"/>
      <c r="M595" s="29"/>
      <c r="N595" s="29"/>
      <c r="O595" s="29"/>
      <c r="P595" s="30">
        <f t="shared" si="420"/>
        <v>6.3655265528799994E-4</v>
      </c>
      <c r="Q595" s="31">
        <f t="shared" si="418"/>
        <v>0.31394</v>
      </c>
    </row>
    <row r="596" spans="1:17" x14ac:dyDescent="0.2">
      <c r="A596" s="10"/>
      <c r="B596" s="26"/>
      <c r="C596" s="11">
        <v>2011</v>
      </c>
      <c r="D596" s="32">
        <f>SPFI_CLB14!$D$34</f>
        <v>0.294348</v>
      </c>
      <c r="E596" s="32"/>
      <c r="F596" s="32"/>
      <c r="G596" s="32"/>
      <c r="H596" s="32"/>
      <c r="I596" s="32"/>
      <c r="J596" s="28">
        <f t="shared" ref="J596" si="425">D596*J$18</f>
        <v>5.9682742236959998E-4</v>
      </c>
      <c r="K596" s="29"/>
      <c r="L596" s="29"/>
      <c r="M596" s="29"/>
      <c r="N596" s="29"/>
      <c r="O596" s="29"/>
      <c r="P596" s="30">
        <f t="shared" ref="P596" si="426">SUM(J596:O596)</f>
        <v>5.9682742236959998E-4</v>
      </c>
      <c r="Q596" s="31">
        <f t="shared" ref="Q596" si="427">IF(C$18&gt;0,P596/C$18,0)</f>
        <v>0.294348</v>
      </c>
    </row>
    <row r="597" spans="1:17" x14ac:dyDescent="0.2">
      <c r="A597" s="10"/>
      <c r="B597" s="26"/>
      <c r="C597" s="11">
        <v>2012</v>
      </c>
      <c r="D597" s="32">
        <f>SPFI_CLB14!$D$35</f>
        <v>0.34784100000000001</v>
      </c>
      <c r="E597" s="32"/>
      <c r="F597" s="32"/>
      <c r="G597" s="32"/>
      <c r="H597" s="32"/>
      <c r="I597" s="32"/>
      <c r="J597" s="28">
        <f t="shared" ref="J597" si="428">D597*J$18</f>
        <v>7.0529117719320003E-4</v>
      </c>
      <c r="K597" s="29"/>
      <c r="L597" s="29"/>
      <c r="M597" s="29"/>
      <c r="N597" s="29"/>
      <c r="O597" s="29"/>
      <c r="P597" s="30">
        <f t="shared" ref="P597" si="429">SUM(J597:O597)</f>
        <v>7.0529117719320003E-4</v>
      </c>
      <c r="Q597" s="31">
        <f t="shared" ref="Q597" si="430">IF(C$18&gt;0,P597/C$18,0)</f>
        <v>0.34784100000000001</v>
      </c>
    </row>
    <row r="598" spans="1:17" x14ac:dyDescent="0.2">
      <c r="A598" s="5" t="s">
        <v>9</v>
      </c>
      <c r="B598" s="21">
        <v>5</v>
      </c>
      <c r="C598" s="6">
        <v>1982</v>
      </c>
      <c r="D598" s="27">
        <f>SPFI_CLB14!$D$5</f>
        <v>0.98153299999999999</v>
      </c>
      <c r="E598" s="27"/>
      <c r="F598" s="27"/>
      <c r="G598" s="27"/>
      <c r="H598" s="27"/>
      <c r="I598" s="27"/>
      <c r="J598" s="33">
        <f t="shared" ref="J598:J610" si="431">D598*J$19</f>
        <v>2.1891666416018001E-3</v>
      </c>
      <c r="K598" s="27"/>
      <c r="L598" s="27"/>
      <c r="M598" s="27"/>
      <c r="N598" s="27"/>
      <c r="O598" s="27"/>
      <c r="P598" s="34">
        <f t="shared" si="420"/>
        <v>2.1891666416018001E-3</v>
      </c>
      <c r="Q598" s="35">
        <f t="shared" ref="Q598:Q614" si="432">IF(C$19&gt;0,P598/C$19,0)</f>
        <v>0.98153299999999999</v>
      </c>
    </row>
    <row r="599" spans="1:17" x14ac:dyDescent="0.2">
      <c r="A599" s="10"/>
      <c r="B599" s="26"/>
      <c r="C599" s="11">
        <v>1983</v>
      </c>
      <c r="D599" s="32">
        <f>SPFI_CLB14!$D$6</f>
        <v>0.93659899999999996</v>
      </c>
      <c r="E599" s="32"/>
      <c r="F599" s="32"/>
      <c r="G599" s="32"/>
      <c r="H599" s="32"/>
      <c r="I599" s="32"/>
      <c r="J599" s="28">
        <f t="shared" si="431"/>
        <v>2.0889478880054E-3</v>
      </c>
      <c r="K599" s="29"/>
      <c r="L599" s="29"/>
      <c r="M599" s="29"/>
      <c r="N599" s="29"/>
      <c r="O599" s="29"/>
      <c r="P599" s="30">
        <f t="shared" ref="P599:P610" si="433">SUM(J599:O599)</f>
        <v>2.0889478880054E-3</v>
      </c>
      <c r="Q599" s="31">
        <f t="shared" si="432"/>
        <v>0.93659899999999996</v>
      </c>
    </row>
    <row r="600" spans="1:17" x14ac:dyDescent="0.2">
      <c r="A600" s="10"/>
      <c r="B600" s="26"/>
      <c r="C600" s="11">
        <v>1984</v>
      </c>
      <c r="D600" s="32">
        <f>SPFI_CLB14!$D$7</f>
        <v>0.92793599999999998</v>
      </c>
      <c r="E600" s="32"/>
      <c r="F600" s="32"/>
      <c r="G600" s="32"/>
      <c r="H600" s="32"/>
      <c r="I600" s="32"/>
      <c r="J600" s="28">
        <f t="shared" si="431"/>
        <v>2.0696263261056002E-3</v>
      </c>
      <c r="K600" s="29"/>
      <c r="L600" s="29"/>
      <c r="M600" s="29"/>
      <c r="N600" s="29"/>
      <c r="O600" s="29"/>
      <c r="P600" s="30">
        <f t="shared" si="433"/>
        <v>2.0696263261056002E-3</v>
      </c>
      <c r="Q600" s="31">
        <f t="shared" si="432"/>
        <v>0.92793599999999998</v>
      </c>
    </row>
    <row r="601" spans="1:17" x14ac:dyDescent="0.2">
      <c r="A601" s="10"/>
      <c r="B601" s="26"/>
      <c r="C601" s="11">
        <v>1985</v>
      </c>
      <c r="D601" s="32">
        <f>SPFI_CLB14!$D$8</f>
        <v>0.90386500000000003</v>
      </c>
      <c r="E601" s="32"/>
      <c r="F601" s="32"/>
      <c r="G601" s="32"/>
      <c r="H601" s="32"/>
      <c r="I601" s="32"/>
      <c r="J601" s="28">
        <f t="shared" si="431"/>
        <v>2.0159394605290004E-3</v>
      </c>
      <c r="K601" s="29"/>
      <c r="L601" s="29"/>
      <c r="M601" s="29"/>
      <c r="N601" s="29"/>
      <c r="O601" s="29"/>
      <c r="P601" s="30">
        <f t="shared" si="433"/>
        <v>2.0159394605290004E-3</v>
      </c>
      <c r="Q601" s="31">
        <f t="shared" si="432"/>
        <v>0.90386500000000014</v>
      </c>
    </row>
    <row r="602" spans="1:17" x14ac:dyDescent="0.2">
      <c r="A602" s="10"/>
      <c r="B602" s="26"/>
      <c r="C602" s="11">
        <v>1986</v>
      </c>
      <c r="D602" s="32">
        <f>SPFI_CLB14!$D$9</f>
        <v>0.73087500000000005</v>
      </c>
      <c r="E602" s="32"/>
      <c r="F602" s="32"/>
      <c r="G602" s="32"/>
      <c r="H602" s="32"/>
      <c r="I602" s="32"/>
      <c r="J602" s="28">
        <f t="shared" si="431"/>
        <v>1.6301104182750003E-3</v>
      </c>
      <c r="K602" s="29"/>
      <c r="L602" s="29"/>
      <c r="M602" s="29"/>
      <c r="N602" s="29"/>
      <c r="O602" s="29"/>
      <c r="P602" s="30">
        <f t="shared" si="433"/>
        <v>1.6301104182750003E-3</v>
      </c>
      <c r="Q602" s="31">
        <f t="shared" si="432"/>
        <v>0.73087500000000005</v>
      </c>
    </row>
    <row r="603" spans="1:17" x14ac:dyDescent="0.2">
      <c r="A603" s="10"/>
      <c r="B603" s="26"/>
      <c r="C603" s="11">
        <v>1987</v>
      </c>
      <c r="D603" s="32">
        <f>SPFI_CLB14!$D$10</f>
        <v>0.71733499999999994</v>
      </c>
      <c r="E603" s="32"/>
      <c r="F603" s="32"/>
      <c r="G603" s="32"/>
      <c r="H603" s="32"/>
      <c r="I603" s="32"/>
      <c r="J603" s="28">
        <f t="shared" si="431"/>
        <v>1.599911416991E-3</v>
      </c>
      <c r="K603" s="29"/>
      <c r="L603" s="29"/>
      <c r="M603" s="29"/>
      <c r="N603" s="29"/>
      <c r="O603" s="29"/>
      <c r="P603" s="30">
        <f t="shared" si="433"/>
        <v>1.599911416991E-3</v>
      </c>
      <c r="Q603" s="31">
        <f t="shared" si="432"/>
        <v>0.71733499999999994</v>
      </c>
    </row>
    <row r="604" spans="1:17" x14ac:dyDescent="0.2">
      <c r="A604" s="10"/>
      <c r="B604" s="26"/>
      <c r="C604" s="11">
        <v>1988</v>
      </c>
      <c r="D604" s="32">
        <f>SPFI_CLB14!$D$11</f>
        <v>0.64558800000000005</v>
      </c>
      <c r="E604" s="32"/>
      <c r="F604" s="32"/>
      <c r="G604" s="32"/>
      <c r="H604" s="32"/>
      <c r="I604" s="32"/>
      <c r="J604" s="28">
        <f t="shared" si="431"/>
        <v>1.4398901655048003E-3</v>
      </c>
      <c r="K604" s="29"/>
      <c r="L604" s="29"/>
      <c r="M604" s="29"/>
      <c r="N604" s="29"/>
      <c r="O604" s="29"/>
      <c r="P604" s="30">
        <f t="shared" si="433"/>
        <v>1.4398901655048003E-3</v>
      </c>
      <c r="Q604" s="31">
        <f t="shared" si="432"/>
        <v>0.64558800000000005</v>
      </c>
    </row>
    <row r="605" spans="1:17" x14ac:dyDescent="0.2">
      <c r="A605" s="10"/>
      <c r="B605" s="26"/>
      <c r="C605" s="11">
        <v>1989</v>
      </c>
      <c r="D605" s="32">
        <f>SPFI_CLB14!$D$12</f>
        <v>0.65287700000000004</v>
      </c>
      <c r="E605" s="32"/>
      <c r="F605" s="32"/>
      <c r="G605" s="32"/>
      <c r="H605" s="32"/>
      <c r="I605" s="32"/>
      <c r="J605" s="28">
        <f t="shared" si="431"/>
        <v>1.4561472201842002E-3</v>
      </c>
      <c r="K605" s="29"/>
      <c r="L605" s="29"/>
      <c r="M605" s="29"/>
      <c r="N605" s="29"/>
      <c r="O605" s="29"/>
      <c r="P605" s="30">
        <f t="shared" si="433"/>
        <v>1.4561472201842002E-3</v>
      </c>
      <c r="Q605" s="31">
        <f t="shared" si="432"/>
        <v>0.65287700000000004</v>
      </c>
    </row>
    <row r="606" spans="1:17" x14ac:dyDescent="0.2">
      <c r="A606" s="10"/>
      <c r="B606" s="26"/>
      <c r="C606" s="11">
        <v>1990</v>
      </c>
      <c r="D606" s="32">
        <f>SPFI_CLB14!$D$13</f>
        <v>0.56965100000000002</v>
      </c>
      <c r="E606" s="32"/>
      <c r="F606" s="32"/>
      <c r="G606" s="32"/>
      <c r="H606" s="32"/>
      <c r="I606" s="32"/>
      <c r="J606" s="28">
        <f t="shared" si="431"/>
        <v>1.2705237282446002E-3</v>
      </c>
      <c r="K606" s="29"/>
      <c r="L606" s="29"/>
      <c r="M606" s="29"/>
      <c r="N606" s="29"/>
      <c r="O606" s="29"/>
      <c r="P606" s="30">
        <f t="shared" si="433"/>
        <v>1.2705237282446002E-3</v>
      </c>
      <c r="Q606" s="31">
        <f t="shared" si="432"/>
        <v>0.56965100000000002</v>
      </c>
    </row>
    <row r="607" spans="1:17" x14ac:dyDescent="0.2">
      <c r="A607" s="10"/>
      <c r="B607" s="26"/>
      <c r="C607" s="11">
        <v>1991</v>
      </c>
      <c r="D607" s="32">
        <f>SPFI_CLB14!$D$14</f>
        <v>0.62776900000000002</v>
      </c>
      <c r="E607" s="32"/>
      <c r="F607" s="32"/>
      <c r="G607" s="32"/>
      <c r="H607" s="32"/>
      <c r="I607" s="32"/>
      <c r="J607" s="28">
        <f t="shared" si="431"/>
        <v>1.4001474768874E-3</v>
      </c>
      <c r="K607" s="29"/>
      <c r="L607" s="29"/>
      <c r="M607" s="29"/>
      <c r="N607" s="29"/>
      <c r="O607" s="29"/>
      <c r="P607" s="30">
        <f t="shared" si="433"/>
        <v>1.4001474768874E-3</v>
      </c>
      <c r="Q607" s="31">
        <f t="shared" si="432"/>
        <v>0.62776900000000002</v>
      </c>
    </row>
    <row r="608" spans="1:17" x14ac:dyDescent="0.2">
      <c r="A608" s="10"/>
      <c r="B608" s="26"/>
      <c r="C608" s="11">
        <v>1992</v>
      </c>
      <c r="D608" s="32">
        <f>SPFI_CLB14!$D$15</f>
        <v>0.43504100000000001</v>
      </c>
      <c r="E608" s="32"/>
      <c r="F608" s="32"/>
      <c r="G608" s="32"/>
      <c r="H608" s="32"/>
      <c r="I608" s="32"/>
      <c r="J608" s="28">
        <f t="shared" si="431"/>
        <v>9.7029569553860006E-4</v>
      </c>
      <c r="K608" s="29"/>
      <c r="L608" s="29"/>
      <c r="M608" s="29"/>
      <c r="N608" s="29"/>
      <c r="O608" s="29"/>
      <c r="P608" s="30">
        <f t="shared" si="433"/>
        <v>9.7029569553860006E-4</v>
      </c>
      <c r="Q608" s="31">
        <f t="shared" si="432"/>
        <v>0.43504100000000001</v>
      </c>
    </row>
    <row r="609" spans="1:17" x14ac:dyDescent="0.2">
      <c r="A609" s="10"/>
      <c r="B609" s="26"/>
      <c r="C609" s="11">
        <v>1993</v>
      </c>
      <c r="D609" s="32">
        <f>SPFI_CLB14!$D$16</f>
        <v>0.499164</v>
      </c>
      <c r="E609" s="32"/>
      <c r="F609" s="32"/>
      <c r="G609" s="32"/>
      <c r="H609" s="32"/>
      <c r="I609" s="32"/>
      <c r="J609" s="28">
        <f t="shared" si="431"/>
        <v>1.1133127235544E-3</v>
      </c>
      <c r="K609" s="29"/>
      <c r="L609" s="29"/>
      <c r="M609" s="29"/>
      <c r="N609" s="29"/>
      <c r="O609" s="29"/>
      <c r="P609" s="30">
        <f t="shared" si="433"/>
        <v>1.1133127235544E-3</v>
      </c>
      <c r="Q609" s="31">
        <f t="shared" si="432"/>
        <v>0.49916399999999994</v>
      </c>
    </row>
    <row r="610" spans="1:17" x14ac:dyDescent="0.2">
      <c r="A610" s="10"/>
      <c r="B610" s="26"/>
      <c r="C610" s="11">
        <v>1994</v>
      </c>
      <c r="D610" s="32">
        <f>SPFI_CLB14!$D$17</f>
        <v>0.59591300000000003</v>
      </c>
      <c r="E610" s="32"/>
      <c r="F610" s="32"/>
      <c r="G610" s="32"/>
      <c r="H610" s="32"/>
      <c r="I610" s="32"/>
      <c r="J610" s="28">
        <f t="shared" si="431"/>
        <v>1.3290973007498001E-3</v>
      </c>
      <c r="K610" s="29"/>
      <c r="L610" s="29"/>
      <c r="M610" s="29"/>
      <c r="N610" s="29"/>
      <c r="O610" s="29"/>
      <c r="P610" s="30">
        <f t="shared" si="433"/>
        <v>1.3290973007498001E-3</v>
      </c>
      <c r="Q610" s="31">
        <f t="shared" si="432"/>
        <v>0.59591300000000003</v>
      </c>
    </row>
    <row r="611" spans="1:17" x14ac:dyDescent="0.2">
      <c r="A611" s="10"/>
      <c r="B611" s="26"/>
      <c r="C611" s="11">
        <v>1995</v>
      </c>
      <c r="D611" s="32">
        <f>SPFI_CLB14!$D$18</f>
        <v>0.25400800000000001</v>
      </c>
      <c r="E611" s="32"/>
      <c r="F611" s="32"/>
      <c r="G611" s="32"/>
      <c r="H611" s="32"/>
      <c r="I611" s="32"/>
      <c r="J611" s="28">
        <f t="shared" ref="J611" si="434">D611*J$19</f>
        <v>5.6652791123680004E-4</v>
      </c>
      <c r="K611" s="29"/>
      <c r="L611" s="29"/>
      <c r="M611" s="29"/>
      <c r="N611" s="29"/>
      <c r="O611" s="29"/>
      <c r="P611" s="30">
        <f>SUM(J611:O611)</f>
        <v>5.6652791123680004E-4</v>
      </c>
      <c r="Q611" s="31">
        <f t="shared" si="432"/>
        <v>0.25400800000000001</v>
      </c>
    </row>
    <row r="612" spans="1:17" x14ac:dyDescent="0.2">
      <c r="A612" s="10"/>
      <c r="B612" s="26"/>
      <c r="C612" s="11">
        <v>1996</v>
      </c>
      <c r="D612" s="32">
        <f>SPFI_CLB14!$D$19</f>
        <v>0</v>
      </c>
      <c r="E612" s="32"/>
      <c r="F612" s="32"/>
      <c r="G612" s="32"/>
      <c r="H612" s="32"/>
      <c r="I612" s="32"/>
      <c r="J612" s="28">
        <f t="shared" ref="J612" si="435">D612*J$19</f>
        <v>0</v>
      </c>
      <c r="K612" s="29"/>
      <c r="L612" s="29"/>
      <c r="M612" s="29"/>
      <c r="N612" s="29"/>
      <c r="O612" s="29"/>
      <c r="P612" s="30">
        <f>SUM(J612:O612)</f>
        <v>0</v>
      </c>
      <c r="Q612" s="31">
        <f t="shared" si="432"/>
        <v>0</v>
      </c>
    </row>
    <row r="613" spans="1:17" x14ac:dyDescent="0.2">
      <c r="A613" s="10"/>
      <c r="B613" s="26"/>
      <c r="C613" s="11">
        <v>1997</v>
      </c>
      <c r="D613" s="32">
        <f>SPFI_CLB14!$D$20</f>
        <v>0.201487</v>
      </c>
      <c r="E613" s="32"/>
      <c r="F613" s="32"/>
      <c r="G613" s="32"/>
      <c r="H613" s="32"/>
      <c r="I613" s="32"/>
      <c r="J613" s="28">
        <f t="shared" ref="J613" si="436">D613*J$19</f>
        <v>4.4938745729020005E-4</v>
      </c>
      <c r="K613" s="29"/>
      <c r="L613" s="29"/>
      <c r="M613" s="29"/>
      <c r="N613" s="29"/>
      <c r="O613" s="29"/>
      <c r="P613" s="30">
        <f>SUM(J613:O613)</f>
        <v>4.4938745729020005E-4</v>
      </c>
      <c r="Q613" s="31">
        <f t="shared" si="432"/>
        <v>0.201487</v>
      </c>
    </row>
    <row r="614" spans="1:17" x14ac:dyDescent="0.2">
      <c r="A614" s="10"/>
      <c r="B614" s="26"/>
      <c r="C614" s="11">
        <v>1998</v>
      </c>
      <c r="D614" s="32">
        <f>SPFI_CLB14!$D$21</f>
        <v>0.37506400000000001</v>
      </c>
      <c r="E614" s="32"/>
      <c r="F614" s="32"/>
      <c r="G614" s="32"/>
      <c r="H614" s="32"/>
      <c r="I614" s="32"/>
      <c r="J614" s="28">
        <f t="shared" ref="J614" si="437">D614*J$19</f>
        <v>8.3652571769440008E-4</v>
      </c>
      <c r="K614" s="29"/>
      <c r="L614" s="29"/>
      <c r="M614" s="29"/>
      <c r="N614" s="29"/>
      <c r="O614" s="29"/>
      <c r="P614" s="30">
        <f>SUM(J614:O614)</f>
        <v>8.3652571769440008E-4</v>
      </c>
      <c r="Q614" s="31">
        <f t="shared" si="432"/>
        <v>0.37506400000000001</v>
      </c>
    </row>
    <row r="615" spans="1:17" x14ac:dyDescent="0.2">
      <c r="A615" s="10"/>
      <c r="B615" s="26"/>
      <c r="C615" s="11">
        <v>1999</v>
      </c>
      <c r="D615" s="32">
        <f>SPFI_CLB14!$D$22</f>
        <v>0.29823699999999997</v>
      </c>
      <c r="E615" s="32"/>
      <c r="F615" s="32"/>
      <c r="G615" s="32"/>
      <c r="H615" s="32"/>
      <c r="I615" s="32"/>
      <c r="J615" s="28">
        <f t="shared" ref="J615" si="438">D615*J$19</f>
        <v>6.6517426484019994E-4</v>
      </c>
      <c r="K615" s="29"/>
      <c r="L615" s="29"/>
      <c r="M615" s="29"/>
      <c r="N615" s="29"/>
      <c r="O615" s="29"/>
      <c r="P615" s="30">
        <f>SUM(J615:O615)</f>
        <v>6.6517426484019994E-4</v>
      </c>
      <c r="Q615" s="31">
        <f t="shared" ref="Q615:Q620" si="439">IF(C$19&gt;0,P615/C$19,0)</f>
        <v>0.29823699999999997</v>
      </c>
    </row>
    <row r="616" spans="1:17" x14ac:dyDescent="0.2">
      <c r="A616" s="10"/>
      <c r="B616" s="26"/>
      <c r="C616" s="11">
        <v>2000</v>
      </c>
      <c r="D616" s="32">
        <f>SPFI_CLB14!$D$23</f>
        <v>8.4414000000000003E-2</v>
      </c>
      <c r="E616" s="32"/>
      <c r="F616" s="32"/>
      <c r="G616" s="32"/>
      <c r="H616" s="32"/>
      <c r="I616" s="32"/>
      <c r="J616" s="28">
        <f t="shared" ref="J616" si="440">D616*J$19</f>
        <v>1.8827315320440002E-4</v>
      </c>
      <c r="K616" s="29"/>
      <c r="L616" s="29"/>
      <c r="M616" s="29"/>
      <c r="N616" s="29"/>
      <c r="O616" s="29"/>
      <c r="P616" s="30">
        <f t="shared" ref="P616:P621" si="441">SUM(J616:O616)</f>
        <v>1.8827315320440002E-4</v>
      </c>
      <c r="Q616" s="31">
        <f t="shared" si="439"/>
        <v>8.4414000000000003E-2</v>
      </c>
    </row>
    <row r="617" spans="1:17" x14ac:dyDescent="0.2">
      <c r="A617" s="10"/>
      <c r="B617" s="26"/>
      <c r="C617" s="11">
        <v>2001</v>
      </c>
      <c r="D617" s="32">
        <f>SPFI_CLB14!$D$24</f>
        <v>7.8909000000000007E-2</v>
      </c>
      <c r="E617" s="32"/>
      <c r="F617" s="32"/>
      <c r="G617" s="32"/>
      <c r="H617" s="32"/>
      <c r="I617" s="32"/>
      <c r="J617" s="28">
        <f t="shared" ref="J617" si="442">D617*J$19</f>
        <v>1.7599505113140003E-4</v>
      </c>
      <c r="K617" s="29"/>
      <c r="L617" s="29"/>
      <c r="M617" s="29"/>
      <c r="N617" s="29"/>
      <c r="O617" s="29"/>
      <c r="P617" s="30">
        <f t="shared" si="441"/>
        <v>1.7599505113140003E-4</v>
      </c>
      <c r="Q617" s="31">
        <f t="shared" si="439"/>
        <v>7.8909000000000007E-2</v>
      </c>
    </row>
    <row r="618" spans="1:17" x14ac:dyDescent="0.2">
      <c r="A618" s="10"/>
      <c r="B618" s="26"/>
      <c r="C618" s="11">
        <v>2002</v>
      </c>
      <c r="D618" s="32">
        <f>SPFI_CLB14!$D$25</f>
        <v>0.29974699999999999</v>
      </c>
      <c r="E618" s="32"/>
      <c r="F618" s="32"/>
      <c r="G618" s="32"/>
      <c r="H618" s="32"/>
      <c r="I618" s="32"/>
      <c r="J618" s="28">
        <f t="shared" ref="J618" si="443">D618*J$19</f>
        <v>6.6854210028619997E-4</v>
      </c>
      <c r="K618" s="29"/>
      <c r="L618" s="29"/>
      <c r="M618" s="29"/>
      <c r="N618" s="29"/>
      <c r="O618" s="29"/>
      <c r="P618" s="30">
        <f t="shared" si="441"/>
        <v>6.6854210028619997E-4</v>
      </c>
      <c r="Q618" s="31">
        <f t="shared" si="439"/>
        <v>0.29974699999999999</v>
      </c>
    </row>
    <row r="619" spans="1:17" x14ac:dyDescent="0.2">
      <c r="A619" s="10"/>
      <c r="B619" s="26"/>
      <c r="C619" s="11">
        <v>2003</v>
      </c>
      <c r="D619" s="32">
        <f>SPFI_CLB14!$D$26</f>
        <v>0.20691100000000001</v>
      </c>
      <c r="E619" s="32"/>
      <c r="F619" s="32"/>
      <c r="G619" s="32"/>
      <c r="H619" s="32"/>
      <c r="I619" s="32"/>
      <c r="J619" s="28">
        <f t="shared" ref="J619" si="444">D619*J$19</f>
        <v>4.6148490064060004E-4</v>
      </c>
      <c r="K619" s="29"/>
      <c r="L619" s="29"/>
      <c r="M619" s="29"/>
      <c r="N619" s="29"/>
      <c r="O619" s="29"/>
      <c r="P619" s="30">
        <f t="shared" si="441"/>
        <v>4.6148490064060004E-4</v>
      </c>
      <c r="Q619" s="31">
        <f t="shared" si="439"/>
        <v>0.20691100000000001</v>
      </c>
    </row>
    <row r="620" spans="1:17" x14ac:dyDescent="0.2">
      <c r="A620" s="10"/>
      <c r="B620" s="26"/>
      <c r="C620" s="11">
        <v>2004</v>
      </c>
      <c r="D620" s="32">
        <f>SPFI_CLB14!$D$27</f>
        <v>0.269237</v>
      </c>
      <c r="E620" s="32"/>
      <c r="F620" s="32"/>
      <c r="G620" s="32"/>
      <c r="H620" s="32"/>
      <c r="I620" s="32"/>
      <c r="J620" s="28">
        <f t="shared" ref="J620" si="445">D620*J$19</f>
        <v>6.0049398144020006E-4</v>
      </c>
      <c r="K620" s="29"/>
      <c r="L620" s="29"/>
      <c r="M620" s="29"/>
      <c r="N620" s="29"/>
      <c r="O620" s="29"/>
      <c r="P620" s="30">
        <f t="shared" si="441"/>
        <v>6.0049398144020006E-4</v>
      </c>
      <c r="Q620" s="31">
        <f t="shared" si="439"/>
        <v>0.269237</v>
      </c>
    </row>
    <row r="621" spans="1:17" x14ac:dyDescent="0.2">
      <c r="A621" s="10"/>
      <c r="B621" s="26"/>
      <c r="C621" s="11">
        <v>2005</v>
      </c>
      <c r="D621" s="32">
        <f>SPFI_CLB14!$D$28</f>
        <v>0.37848700000000002</v>
      </c>
      <c r="E621" s="32"/>
      <c r="F621" s="32"/>
      <c r="G621" s="32"/>
      <c r="H621" s="32"/>
      <c r="I621" s="32"/>
      <c r="J621" s="28">
        <f t="shared" ref="J621" si="446">D621*J$19</f>
        <v>8.4416022149020014E-4</v>
      </c>
      <c r="K621" s="29"/>
      <c r="L621" s="29"/>
      <c r="M621" s="29"/>
      <c r="N621" s="29"/>
      <c r="O621" s="29"/>
      <c r="P621" s="30">
        <f t="shared" si="441"/>
        <v>8.4416022149020014E-4</v>
      </c>
      <c r="Q621" s="31">
        <f t="shared" ref="Q621:Q626" si="447">IF(C$19&gt;0,P621/C$19,0)</f>
        <v>0.37848700000000002</v>
      </c>
    </row>
    <row r="622" spans="1:17" x14ac:dyDescent="0.2">
      <c r="A622" s="10"/>
      <c r="B622" s="26"/>
      <c r="C622" s="11">
        <v>2006</v>
      </c>
      <c r="D622" s="32">
        <f>SPFI_CLB14!$D$29</f>
        <v>0.381023</v>
      </c>
      <c r="E622" s="32"/>
      <c r="F622" s="32"/>
      <c r="G622" s="32"/>
      <c r="H622" s="32"/>
      <c r="I622" s="32"/>
      <c r="J622" s="28">
        <f t="shared" ref="J622" si="448">D622*J$19</f>
        <v>8.4981640075580006E-4</v>
      </c>
      <c r="K622" s="29"/>
      <c r="L622" s="29"/>
      <c r="M622" s="29"/>
      <c r="N622" s="29"/>
      <c r="O622" s="29"/>
      <c r="P622" s="30">
        <f t="shared" ref="P622:P629" si="449">SUM(J622:O622)</f>
        <v>8.4981640075580006E-4</v>
      </c>
      <c r="Q622" s="31">
        <f t="shared" si="447"/>
        <v>0.381023</v>
      </c>
    </row>
    <row r="623" spans="1:17" x14ac:dyDescent="0.2">
      <c r="A623" s="10"/>
      <c r="B623" s="26"/>
      <c r="C623" s="11">
        <v>2007</v>
      </c>
      <c r="D623" s="32">
        <f>SPFI_CLB14!$D$30</f>
        <v>0.356512</v>
      </c>
      <c r="E623" s="32"/>
      <c r="F623" s="32"/>
      <c r="G623" s="32"/>
      <c r="H623" s="32"/>
      <c r="I623" s="32"/>
      <c r="J623" s="28">
        <f t="shared" ref="J623" si="450">D623*J$19</f>
        <v>7.9514817915520009E-4</v>
      </c>
      <c r="K623" s="29"/>
      <c r="L623" s="29"/>
      <c r="M623" s="29"/>
      <c r="N623" s="29"/>
      <c r="O623" s="29"/>
      <c r="P623" s="30">
        <f t="shared" si="449"/>
        <v>7.9514817915520009E-4</v>
      </c>
      <c r="Q623" s="31">
        <f t="shared" si="447"/>
        <v>0.356512</v>
      </c>
    </row>
    <row r="624" spans="1:17" x14ac:dyDescent="0.2">
      <c r="A624" s="10"/>
      <c r="B624" s="26"/>
      <c r="C624" s="11">
        <v>2008</v>
      </c>
      <c r="D624" s="32">
        <f>SPFI_CLB14!$D$31</f>
        <v>0.25494499999999998</v>
      </c>
      <c r="E624" s="32"/>
      <c r="F624" s="32"/>
      <c r="G624" s="32"/>
      <c r="H624" s="32"/>
      <c r="I624" s="32"/>
      <c r="J624" s="28">
        <f t="shared" ref="J624" si="451">D624*J$19</f>
        <v>5.6861775349700003E-4</v>
      </c>
      <c r="K624" s="29"/>
      <c r="L624" s="29"/>
      <c r="M624" s="29"/>
      <c r="N624" s="29"/>
      <c r="O624" s="29"/>
      <c r="P624" s="30">
        <f t="shared" si="449"/>
        <v>5.6861775349700003E-4</v>
      </c>
      <c r="Q624" s="31">
        <f t="shared" si="447"/>
        <v>0.25494499999999998</v>
      </c>
    </row>
    <row r="625" spans="1:17" x14ac:dyDescent="0.2">
      <c r="A625" s="10"/>
      <c r="B625" s="26"/>
      <c r="C625" s="11">
        <v>2009</v>
      </c>
      <c r="D625" s="32">
        <f>SPFI_CLB14!$D$32</f>
        <v>0.52383000000000002</v>
      </c>
      <c r="E625" s="32"/>
      <c r="F625" s="32"/>
      <c r="G625" s="32"/>
      <c r="H625" s="32"/>
      <c r="I625" s="32"/>
      <c r="J625" s="28">
        <f t="shared" ref="J625" si="452">D625*J$19</f>
        <v>1.1683266501180001E-3</v>
      </c>
      <c r="K625" s="29"/>
      <c r="L625" s="29"/>
      <c r="M625" s="29"/>
      <c r="N625" s="29"/>
      <c r="O625" s="29"/>
      <c r="P625" s="30">
        <f t="shared" si="449"/>
        <v>1.1683266501180001E-3</v>
      </c>
      <c r="Q625" s="31">
        <f t="shared" si="447"/>
        <v>0.52383000000000002</v>
      </c>
    </row>
    <row r="626" spans="1:17" x14ac:dyDescent="0.2">
      <c r="A626" s="10"/>
      <c r="B626" s="26"/>
      <c r="C626" s="11">
        <v>2010</v>
      </c>
      <c r="D626" s="32">
        <f>SPFI_CLB14!$D$33</f>
        <v>0.31394</v>
      </c>
      <c r="E626" s="32"/>
      <c r="F626" s="32"/>
      <c r="G626" s="32"/>
      <c r="H626" s="32"/>
      <c r="I626" s="32"/>
      <c r="J626" s="28">
        <f t="shared" ref="J626" si="453">D626*J$19</f>
        <v>7.0019752312400001E-4</v>
      </c>
      <c r="K626" s="29"/>
      <c r="L626" s="29"/>
      <c r="M626" s="29"/>
      <c r="N626" s="29"/>
      <c r="O626" s="29"/>
      <c r="P626" s="30">
        <f t="shared" si="449"/>
        <v>7.0019752312400001E-4</v>
      </c>
      <c r="Q626" s="31">
        <f t="shared" si="447"/>
        <v>0.31394</v>
      </c>
    </row>
    <row r="627" spans="1:17" x14ac:dyDescent="0.2">
      <c r="A627" s="10"/>
      <c r="B627" s="26"/>
      <c r="C627" s="11">
        <v>2011</v>
      </c>
      <c r="D627" s="32">
        <f>SPFI_CLB14!$D$34</f>
        <v>0.294348</v>
      </c>
      <c r="E627" s="32"/>
      <c r="F627" s="32"/>
      <c r="G627" s="32"/>
      <c r="H627" s="32"/>
      <c r="I627" s="32"/>
      <c r="J627" s="28">
        <f t="shared" ref="J627" si="454">D627*J$19</f>
        <v>6.5650041580080001E-4</v>
      </c>
      <c r="K627" s="29"/>
      <c r="L627" s="29"/>
      <c r="M627" s="29"/>
      <c r="N627" s="29"/>
      <c r="O627" s="29"/>
      <c r="P627" s="30">
        <f t="shared" ref="P627" si="455">SUM(J627:O627)</f>
        <v>6.5650041580080001E-4</v>
      </c>
      <c r="Q627" s="31">
        <f t="shared" ref="Q627" si="456">IF(C$19&gt;0,P627/C$19,0)</f>
        <v>0.294348</v>
      </c>
    </row>
    <row r="628" spans="1:17" x14ac:dyDescent="0.2">
      <c r="A628" s="10"/>
      <c r="B628" s="26"/>
      <c r="C628" s="11">
        <v>2012</v>
      </c>
      <c r="D628" s="32">
        <f>SPFI_CLB14!$D$35</f>
        <v>0.34784100000000001</v>
      </c>
      <c r="E628" s="32"/>
      <c r="F628" s="32"/>
      <c r="G628" s="32"/>
      <c r="H628" s="32"/>
      <c r="I628" s="32"/>
      <c r="J628" s="28">
        <f t="shared" ref="J628" si="457">D628*J$19</f>
        <v>7.7580877441860011E-4</v>
      </c>
      <c r="K628" s="29"/>
      <c r="L628" s="29"/>
      <c r="M628" s="29"/>
      <c r="N628" s="29"/>
      <c r="O628" s="29"/>
      <c r="P628" s="30">
        <f t="shared" ref="P628" si="458">SUM(J628:O628)</f>
        <v>7.7580877441860011E-4</v>
      </c>
      <c r="Q628" s="31">
        <f t="shared" ref="Q628" si="459">IF(C$19&gt;0,P628/C$19,0)</f>
        <v>0.34784100000000001</v>
      </c>
    </row>
    <row r="629" spans="1:17" x14ac:dyDescent="0.2">
      <c r="A629" s="5" t="s">
        <v>10</v>
      </c>
      <c r="B629" s="21">
        <v>2</v>
      </c>
      <c r="C629" s="6">
        <v>1982</v>
      </c>
      <c r="D629" s="27">
        <f>SPFI_CLB14!$D$5</f>
        <v>0.98153299999999999</v>
      </c>
      <c r="E629" s="27"/>
      <c r="F629" s="27"/>
      <c r="G629" s="27"/>
      <c r="H629" s="27"/>
      <c r="I629" s="27"/>
      <c r="J629" s="33">
        <f t="shared" ref="J629:J641" si="460">D629*J$20</f>
        <v>0</v>
      </c>
      <c r="K629" s="27"/>
      <c r="L629" s="27"/>
      <c r="M629" s="27"/>
      <c r="N629" s="27"/>
      <c r="O629" s="27"/>
      <c r="P629" s="34">
        <f t="shared" si="449"/>
        <v>0</v>
      </c>
      <c r="Q629" s="35">
        <f t="shared" ref="Q629:Q645" si="461">IF(C$20&gt;0,P629/C$20,0)</f>
        <v>0</v>
      </c>
    </row>
    <row r="630" spans="1:17" x14ac:dyDescent="0.2">
      <c r="A630" s="10"/>
      <c r="B630" s="26"/>
      <c r="C630" s="11">
        <v>1983</v>
      </c>
      <c r="D630" s="32">
        <f>SPFI_CLB14!$D$6</f>
        <v>0.93659899999999996</v>
      </c>
      <c r="E630" s="32"/>
      <c r="F630" s="32"/>
      <c r="G630" s="32"/>
      <c r="H630" s="32"/>
      <c r="I630" s="32"/>
      <c r="J630" s="28">
        <f t="shared" si="460"/>
        <v>0</v>
      </c>
      <c r="K630" s="29"/>
      <c r="L630" s="29"/>
      <c r="M630" s="29"/>
      <c r="N630" s="29"/>
      <c r="O630" s="29"/>
      <c r="P630" s="30">
        <f t="shared" ref="P630:P641" si="462">SUM(J630:O630)</f>
        <v>0</v>
      </c>
      <c r="Q630" s="31">
        <f t="shared" si="461"/>
        <v>0</v>
      </c>
    </row>
    <row r="631" spans="1:17" x14ac:dyDescent="0.2">
      <c r="A631" s="10"/>
      <c r="B631" s="26"/>
      <c r="C631" s="11">
        <v>1984</v>
      </c>
      <c r="D631" s="32">
        <f>SPFI_CLB14!$D$7</f>
        <v>0.92793599999999998</v>
      </c>
      <c r="E631" s="32"/>
      <c r="F631" s="32"/>
      <c r="G631" s="32"/>
      <c r="H631" s="32"/>
      <c r="I631" s="32"/>
      <c r="J631" s="28">
        <f t="shared" si="460"/>
        <v>0</v>
      </c>
      <c r="K631" s="29"/>
      <c r="L631" s="29"/>
      <c r="M631" s="29"/>
      <c r="N631" s="29"/>
      <c r="O631" s="29"/>
      <c r="P631" s="30">
        <f t="shared" si="462"/>
        <v>0</v>
      </c>
      <c r="Q631" s="31">
        <f t="shared" si="461"/>
        <v>0</v>
      </c>
    </row>
    <row r="632" spans="1:17" x14ac:dyDescent="0.2">
      <c r="A632" s="10"/>
      <c r="B632" s="26"/>
      <c r="C632" s="11">
        <v>1985</v>
      </c>
      <c r="D632" s="32">
        <f>SPFI_CLB14!$D$8</f>
        <v>0.90386500000000003</v>
      </c>
      <c r="E632" s="32"/>
      <c r="F632" s="32"/>
      <c r="G632" s="32"/>
      <c r="H632" s="32"/>
      <c r="I632" s="32"/>
      <c r="J632" s="28">
        <f t="shared" si="460"/>
        <v>0</v>
      </c>
      <c r="K632" s="29"/>
      <c r="L632" s="29"/>
      <c r="M632" s="29"/>
      <c r="N632" s="29"/>
      <c r="O632" s="29"/>
      <c r="P632" s="30">
        <f t="shared" si="462"/>
        <v>0</v>
      </c>
      <c r="Q632" s="31">
        <f t="shared" si="461"/>
        <v>0</v>
      </c>
    </row>
    <row r="633" spans="1:17" x14ac:dyDescent="0.2">
      <c r="A633" s="10"/>
      <c r="B633" s="26"/>
      <c r="C633" s="11">
        <v>1986</v>
      </c>
      <c r="D633" s="32">
        <f>SPFI_CLB14!$D$9</f>
        <v>0.73087500000000005</v>
      </c>
      <c r="E633" s="32"/>
      <c r="F633" s="32"/>
      <c r="G633" s="32"/>
      <c r="H633" s="32"/>
      <c r="I633" s="32"/>
      <c r="J633" s="28">
        <f t="shared" si="460"/>
        <v>0</v>
      </c>
      <c r="K633" s="29"/>
      <c r="L633" s="29"/>
      <c r="M633" s="29"/>
      <c r="N633" s="29"/>
      <c r="O633" s="29"/>
      <c r="P633" s="30">
        <f t="shared" si="462"/>
        <v>0</v>
      </c>
      <c r="Q633" s="31">
        <f t="shared" si="461"/>
        <v>0</v>
      </c>
    </row>
    <row r="634" spans="1:17" x14ac:dyDescent="0.2">
      <c r="A634" s="10"/>
      <c r="B634" s="26"/>
      <c r="C634" s="11">
        <v>1987</v>
      </c>
      <c r="D634" s="32">
        <f>SPFI_CLB14!$D$10</f>
        <v>0.71733499999999994</v>
      </c>
      <c r="E634" s="32"/>
      <c r="F634" s="32"/>
      <c r="G634" s="32"/>
      <c r="H634" s="32"/>
      <c r="I634" s="32"/>
      <c r="J634" s="28">
        <f t="shared" si="460"/>
        <v>0</v>
      </c>
      <c r="K634" s="29"/>
      <c r="L634" s="29"/>
      <c r="M634" s="29"/>
      <c r="N634" s="29"/>
      <c r="O634" s="29"/>
      <c r="P634" s="30">
        <f t="shared" si="462"/>
        <v>0</v>
      </c>
      <c r="Q634" s="31">
        <f t="shared" si="461"/>
        <v>0</v>
      </c>
    </row>
    <row r="635" spans="1:17" x14ac:dyDescent="0.2">
      <c r="A635" s="10"/>
      <c r="B635" s="26"/>
      <c r="C635" s="11">
        <v>1988</v>
      </c>
      <c r="D635" s="32">
        <f>SPFI_CLB14!$D$11</f>
        <v>0.64558800000000005</v>
      </c>
      <c r="E635" s="32"/>
      <c r="F635" s="32"/>
      <c r="G635" s="32"/>
      <c r="H635" s="32"/>
      <c r="I635" s="32"/>
      <c r="J635" s="28">
        <f t="shared" si="460"/>
        <v>0</v>
      </c>
      <c r="K635" s="29"/>
      <c r="L635" s="29"/>
      <c r="M635" s="29"/>
      <c r="N635" s="29"/>
      <c r="O635" s="29"/>
      <c r="P635" s="30">
        <f t="shared" si="462"/>
        <v>0</v>
      </c>
      <c r="Q635" s="31">
        <f t="shared" si="461"/>
        <v>0</v>
      </c>
    </row>
    <row r="636" spans="1:17" x14ac:dyDescent="0.2">
      <c r="A636" s="10"/>
      <c r="B636" s="26"/>
      <c r="C636" s="11">
        <v>1989</v>
      </c>
      <c r="D636" s="32">
        <f>SPFI_CLB14!$D$12</f>
        <v>0.65287700000000004</v>
      </c>
      <c r="E636" s="32"/>
      <c r="F636" s="32"/>
      <c r="G636" s="32"/>
      <c r="H636" s="32"/>
      <c r="I636" s="32"/>
      <c r="J636" s="28">
        <f t="shared" si="460"/>
        <v>0</v>
      </c>
      <c r="K636" s="29"/>
      <c r="L636" s="29"/>
      <c r="M636" s="29"/>
      <c r="N636" s="29"/>
      <c r="O636" s="29"/>
      <c r="P636" s="30">
        <f t="shared" si="462"/>
        <v>0</v>
      </c>
      <c r="Q636" s="31">
        <f t="shared" si="461"/>
        <v>0</v>
      </c>
    </row>
    <row r="637" spans="1:17" x14ac:dyDescent="0.2">
      <c r="A637" s="10"/>
      <c r="B637" s="26"/>
      <c r="C637" s="11">
        <v>1990</v>
      </c>
      <c r="D637" s="32">
        <f>SPFI_CLB14!$D$13</f>
        <v>0.56965100000000002</v>
      </c>
      <c r="E637" s="32"/>
      <c r="F637" s="32"/>
      <c r="G637" s="32"/>
      <c r="H637" s="32"/>
      <c r="I637" s="32"/>
      <c r="J637" s="28">
        <f t="shared" si="460"/>
        <v>0</v>
      </c>
      <c r="K637" s="29"/>
      <c r="L637" s="29"/>
      <c r="M637" s="29"/>
      <c r="N637" s="29"/>
      <c r="O637" s="29"/>
      <c r="P637" s="30">
        <f t="shared" si="462"/>
        <v>0</v>
      </c>
      <c r="Q637" s="31">
        <f t="shared" si="461"/>
        <v>0</v>
      </c>
    </row>
    <row r="638" spans="1:17" x14ac:dyDescent="0.2">
      <c r="A638" s="10"/>
      <c r="B638" s="26"/>
      <c r="C638" s="11">
        <v>1991</v>
      </c>
      <c r="D638" s="32">
        <f>SPFI_CLB14!$D$14</f>
        <v>0.62776900000000002</v>
      </c>
      <c r="E638" s="32"/>
      <c r="F638" s="32"/>
      <c r="G638" s="32"/>
      <c r="H638" s="32"/>
      <c r="I638" s="32"/>
      <c r="J638" s="28">
        <f t="shared" si="460"/>
        <v>0</v>
      </c>
      <c r="K638" s="29"/>
      <c r="L638" s="29"/>
      <c r="M638" s="29"/>
      <c r="N638" s="29"/>
      <c r="O638" s="29"/>
      <c r="P638" s="30">
        <f t="shared" si="462"/>
        <v>0</v>
      </c>
      <c r="Q638" s="31">
        <f t="shared" si="461"/>
        <v>0</v>
      </c>
    </row>
    <row r="639" spans="1:17" x14ac:dyDescent="0.2">
      <c r="A639" s="10"/>
      <c r="B639" s="26"/>
      <c r="C639" s="11">
        <v>1992</v>
      </c>
      <c r="D639" s="32">
        <f>SPFI_CLB14!$D$15</f>
        <v>0.43504100000000001</v>
      </c>
      <c r="E639" s="32"/>
      <c r="F639" s="32"/>
      <c r="G639" s="32"/>
      <c r="H639" s="32"/>
      <c r="I639" s="32"/>
      <c r="J639" s="28">
        <f t="shared" si="460"/>
        <v>0</v>
      </c>
      <c r="K639" s="29"/>
      <c r="L639" s="29"/>
      <c r="M639" s="29"/>
      <c r="N639" s="29"/>
      <c r="O639" s="29"/>
      <c r="P639" s="30">
        <f t="shared" si="462"/>
        <v>0</v>
      </c>
      <c r="Q639" s="31">
        <f t="shared" si="461"/>
        <v>0</v>
      </c>
    </row>
    <row r="640" spans="1:17" x14ac:dyDescent="0.2">
      <c r="A640" s="10"/>
      <c r="B640" s="26"/>
      <c r="C640" s="11">
        <v>1993</v>
      </c>
      <c r="D640" s="32">
        <f>SPFI_CLB14!$D$16</f>
        <v>0.499164</v>
      </c>
      <c r="E640" s="32"/>
      <c r="F640" s="32"/>
      <c r="G640" s="32"/>
      <c r="H640" s="32"/>
      <c r="I640" s="32"/>
      <c r="J640" s="28">
        <f t="shared" si="460"/>
        <v>0</v>
      </c>
      <c r="K640" s="29"/>
      <c r="L640" s="29"/>
      <c r="M640" s="29"/>
      <c r="N640" s="29"/>
      <c r="O640" s="29"/>
      <c r="P640" s="30">
        <f t="shared" si="462"/>
        <v>0</v>
      </c>
      <c r="Q640" s="31">
        <f t="shared" si="461"/>
        <v>0</v>
      </c>
    </row>
    <row r="641" spans="1:17" x14ac:dyDescent="0.2">
      <c r="A641" s="10"/>
      <c r="B641" s="26"/>
      <c r="C641" s="11">
        <v>1994</v>
      </c>
      <c r="D641" s="32">
        <f>SPFI_CLB14!$D$17</f>
        <v>0.59591300000000003</v>
      </c>
      <c r="E641" s="32"/>
      <c r="F641" s="32"/>
      <c r="G641" s="32"/>
      <c r="H641" s="32"/>
      <c r="I641" s="32"/>
      <c r="J641" s="28">
        <f t="shared" si="460"/>
        <v>0</v>
      </c>
      <c r="K641" s="29"/>
      <c r="L641" s="29"/>
      <c r="M641" s="29"/>
      <c r="N641" s="29"/>
      <c r="O641" s="29"/>
      <c r="P641" s="30">
        <f t="shared" si="462"/>
        <v>0</v>
      </c>
      <c r="Q641" s="31">
        <f t="shared" si="461"/>
        <v>0</v>
      </c>
    </row>
    <row r="642" spans="1:17" x14ac:dyDescent="0.2">
      <c r="A642" s="10"/>
      <c r="B642" s="26"/>
      <c r="C642" s="11">
        <v>1995</v>
      </c>
      <c r="D642" s="32">
        <f>SPFI_CLB14!$D$18</f>
        <v>0.25400800000000001</v>
      </c>
      <c r="E642" s="32"/>
      <c r="F642" s="32"/>
      <c r="G642" s="32"/>
      <c r="H642" s="32"/>
      <c r="I642" s="32"/>
      <c r="J642" s="28">
        <f t="shared" ref="J642" si="463">D642*J$20</f>
        <v>0</v>
      </c>
      <c r="K642" s="29"/>
      <c r="L642" s="29"/>
      <c r="M642" s="29"/>
      <c r="N642" s="29"/>
      <c r="O642" s="29"/>
      <c r="P642" s="30">
        <f>SUM(J642:O642)</f>
        <v>0</v>
      </c>
      <c r="Q642" s="31">
        <f t="shared" si="461"/>
        <v>0</v>
      </c>
    </row>
    <row r="643" spans="1:17" x14ac:dyDescent="0.2">
      <c r="A643" s="10"/>
      <c r="B643" s="26"/>
      <c r="C643" s="11">
        <v>1996</v>
      </c>
      <c r="D643" s="32">
        <f>SPFI_CLB14!$D$19</f>
        <v>0</v>
      </c>
      <c r="E643" s="32"/>
      <c r="F643" s="32"/>
      <c r="G643" s="32"/>
      <c r="H643" s="32"/>
      <c r="I643" s="32"/>
      <c r="J643" s="28">
        <f t="shared" ref="J643" si="464">D643*J$20</f>
        <v>0</v>
      </c>
      <c r="K643" s="29"/>
      <c r="L643" s="29"/>
      <c r="M643" s="29"/>
      <c r="N643" s="29"/>
      <c r="O643" s="29"/>
      <c r="P643" s="30">
        <f>SUM(J643:O643)</f>
        <v>0</v>
      </c>
      <c r="Q643" s="31">
        <f t="shared" si="461"/>
        <v>0</v>
      </c>
    </row>
    <row r="644" spans="1:17" x14ac:dyDescent="0.2">
      <c r="A644" s="10"/>
      <c r="B644" s="26"/>
      <c r="C644" s="11">
        <v>1997</v>
      </c>
      <c r="D644" s="32">
        <f>SPFI_CLB14!$D$20</f>
        <v>0.201487</v>
      </c>
      <c r="E644" s="32"/>
      <c r="F644" s="32"/>
      <c r="G644" s="32"/>
      <c r="H644" s="32"/>
      <c r="I644" s="32"/>
      <c r="J644" s="28">
        <f t="shared" ref="J644" si="465">D644*J$20</f>
        <v>0</v>
      </c>
      <c r="K644" s="29"/>
      <c r="L644" s="29"/>
      <c r="M644" s="29"/>
      <c r="N644" s="29"/>
      <c r="O644" s="29"/>
      <c r="P644" s="30">
        <f>SUM(J644:O644)</f>
        <v>0</v>
      </c>
      <c r="Q644" s="31">
        <f t="shared" si="461"/>
        <v>0</v>
      </c>
    </row>
    <row r="645" spans="1:17" x14ac:dyDescent="0.2">
      <c r="A645" s="10"/>
      <c r="B645" s="26"/>
      <c r="C645" s="11">
        <v>1998</v>
      </c>
      <c r="D645" s="32">
        <f>SPFI_CLB14!$D$21</f>
        <v>0.37506400000000001</v>
      </c>
      <c r="E645" s="32"/>
      <c r="F645" s="32"/>
      <c r="G645" s="32"/>
      <c r="H645" s="32"/>
      <c r="I645" s="32"/>
      <c r="J645" s="28">
        <f t="shared" ref="J645" si="466">D645*J$20</f>
        <v>0</v>
      </c>
      <c r="K645" s="29"/>
      <c r="L645" s="29"/>
      <c r="M645" s="29"/>
      <c r="N645" s="29"/>
      <c r="O645" s="29"/>
      <c r="P645" s="30">
        <f>SUM(J645:O645)</f>
        <v>0</v>
      </c>
      <c r="Q645" s="31">
        <f t="shared" si="461"/>
        <v>0</v>
      </c>
    </row>
    <row r="646" spans="1:17" x14ac:dyDescent="0.2">
      <c r="A646" s="10"/>
      <c r="B646" s="26"/>
      <c r="C646" s="11">
        <v>1999</v>
      </c>
      <c r="D646" s="32">
        <f>SPFI_CLB14!$D$22</f>
        <v>0.29823699999999997</v>
      </c>
      <c r="E646" s="32"/>
      <c r="F646" s="32"/>
      <c r="G646" s="32"/>
      <c r="H646" s="32"/>
      <c r="I646" s="32"/>
      <c r="J646" s="28">
        <f t="shared" ref="J646" si="467">D646*J$20</f>
        <v>0</v>
      </c>
      <c r="K646" s="29"/>
      <c r="L646" s="29"/>
      <c r="M646" s="29"/>
      <c r="N646" s="29"/>
      <c r="O646" s="29"/>
      <c r="P646" s="30">
        <f>SUM(J646:O646)</f>
        <v>0</v>
      </c>
      <c r="Q646" s="31">
        <f t="shared" ref="Q646:Q651" si="468">IF(C$20&gt;0,P646/C$20,0)</f>
        <v>0</v>
      </c>
    </row>
    <row r="647" spans="1:17" x14ac:dyDescent="0.2">
      <c r="A647" s="10"/>
      <c r="B647" s="26"/>
      <c r="C647" s="11">
        <v>2000</v>
      </c>
      <c r="D647" s="32">
        <f>SPFI_CLB14!$D$23</f>
        <v>8.4414000000000003E-2</v>
      </c>
      <c r="E647" s="32"/>
      <c r="F647" s="32"/>
      <c r="G647" s="32"/>
      <c r="H647" s="32"/>
      <c r="I647" s="32"/>
      <c r="J647" s="28">
        <f t="shared" ref="J647" si="469">D647*J$20</f>
        <v>0</v>
      </c>
      <c r="K647" s="29"/>
      <c r="L647" s="29"/>
      <c r="M647" s="29"/>
      <c r="N647" s="29"/>
      <c r="O647" s="29"/>
      <c r="P647" s="30">
        <f t="shared" ref="P647:P652" si="470">SUM(J647:O647)</f>
        <v>0</v>
      </c>
      <c r="Q647" s="31">
        <f t="shared" si="468"/>
        <v>0</v>
      </c>
    </row>
    <row r="648" spans="1:17" x14ac:dyDescent="0.2">
      <c r="A648" s="10"/>
      <c r="B648" s="26"/>
      <c r="C648" s="11">
        <v>2001</v>
      </c>
      <c r="D648" s="32">
        <f>SPFI_CLB14!$D$24</f>
        <v>7.8909000000000007E-2</v>
      </c>
      <c r="E648" s="32"/>
      <c r="F648" s="32"/>
      <c r="G648" s="32"/>
      <c r="H648" s="32"/>
      <c r="I648" s="32"/>
      <c r="J648" s="28">
        <f t="shared" ref="J648" si="471">D648*J$20</f>
        <v>0</v>
      </c>
      <c r="K648" s="29"/>
      <c r="L648" s="29"/>
      <c r="M648" s="29"/>
      <c r="N648" s="29"/>
      <c r="O648" s="29"/>
      <c r="P648" s="30">
        <f t="shared" si="470"/>
        <v>0</v>
      </c>
      <c r="Q648" s="31">
        <f t="shared" si="468"/>
        <v>0</v>
      </c>
    </row>
    <row r="649" spans="1:17" x14ac:dyDescent="0.2">
      <c r="A649" s="10"/>
      <c r="B649" s="26"/>
      <c r="C649" s="11">
        <v>2002</v>
      </c>
      <c r="D649" s="32">
        <f>SPFI_CLB14!$D$25</f>
        <v>0.29974699999999999</v>
      </c>
      <c r="E649" s="32"/>
      <c r="F649" s="32"/>
      <c r="G649" s="32"/>
      <c r="H649" s="32"/>
      <c r="I649" s="32"/>
      <c r="J649" s="28">
        <f t="shared" ref="J649" si="472">D649*J$20</f>
        <v>0</v>
      </c>
      <c r="K649" s="29"/>
      <c r="L649" s="29"/>
      <c r="M649" s="29"/>
      <c r="N649" s="29"/>
      <c r="O649" s="29"/>
      <c r="P649" s="30">
        <f t="shared" si="470"/>
        <v>0</v>
      </c>
      <c r="Q649" s="31">
        <f t="shared" si="468"/>
        <v>0</v>
      </c>
    </row>
    <row r="650" spans="1:17" x14ac:dyDescent="0.2">
      <c r="A650" s="10"/>
      <c r="B650" s="26"/>
      <c r="C650" s="11">
        <v>2003</v>
      </c>
      <c r="D650" s="32">
        <f>SPFI_CLB14!$D$26</f>
        <v>0.20691100000000001</v>
      </c>
      <c r="E650" s="32"/>
      <c r="F650" s="32"/>
      <c r="G650" s="32"/>
      <c r="H650" s="32"/>
      <c r="I650" s="32"/>
      <c r="J650" s="28">
        <f t="shared" ref="J650" si="473">D650*J$20</f>
        <v>0</v>
      </c>
      <c r="K650" s="29"/>
      <c r="L650" s="29"/>
      <c r="M650" s="29"/>
      <c r="N650" s="29"/>
      <c r="O650" s="29"/>
      <c r="P650" s="30">
        <f t="shared" si="470"/>
        <v>0</v>
      </c>
      <c r="Q650" s="31">
        <f t="shared" si="468"/>
        <v>0</v>
      </c>
    </row>
    <row r="651" spans="1:17" x14ac:dyDescent="0.2">
      <c r="A651" s="10"/>
      <c r="B651" s="26"/>
      <c r="C651" s="11">
        <v>2004</v>
      </c>
      <c r="D651" s="32">
        <f>SPFI_CLB14!$D$27</f>
        <v>0.269237</v>
      </c>
      <c r="E651" s="32"/>
      <c r="F651" s="32"/>
      <c r="G651" s="32"/>
      <c r="H651" s="32"/>
      <c r="I651" s="32"/>
      <c r="J651" s="28">
        <f t="shared" ref="J651" si="474">D651*J$20</f>
        <v>0</v>
      </c>
      <c r="K651" s="29"/>
      <c r="L651" s="29"/>
      <c r="M651" s="29"/>
      <c r="N651" s="29"/>
      <c r="O651" s="29"/>
      <c r="P651" s="30">
        <f t="shared" si="470"/>
        <v>0</v>
      </c>
      <c r="Q651" s="31">
        <f t="shared" si="468"/>
        <v>0</v>
      </c>
    </row>
    <row r="652" spans="1:17" x14ac:dyDescent="0.2">
      <c r="A652" s="10"/>
      <c r="B652" s="26"/>
      <c r="C652" s="11">
        <v>2005</v>
      </c>
      <c r="D652" s="32">
        <f>SPFI_CLB14!$D$28</f>
        <v>0.37848700000000002</v>
      </c>
      <c r="E652" s="32"/>
      <c r="F652" s="32"/>
      <c r="G652" s="32"/>
      <c r="H652" s="32"/>
      <c r="I652" s="32"/>
      <c r="J652" s="28">
        <f t="shared" ref="J652" si="475">D652*J$20</f>
        <v>0</v>
      </c>
      <c r="K652" s="29"/>
      <c r="L652" s="29"/>
      <c r="M652" s="29"/>
      <c r="N652" s="29"/>
      <c r="O652" s="29"/>
      <c r="P652" s="30">
        <f t="shared" si="470"/>
        <v>0</v>
      </c>
      <c r="Q652" s="31">
        <f t="shared" ref="Q652:Q657" si="476">IF(C$20&gt;0,P652/C$20,0)</f>
        <v>0</v>
      </c>
    </row>
    <row r="653" spans="1:17" x14ac:dyDescent="0.2">
      <c r="A653" s="10"/>
      <c r="B653" s="26"/>
      <c r="C653" s="11">
        <v>2006</v>
      </c>
      <c r="D653" s="32">
        <f>SPFI_CLB14!$D$29</f>
        <v>0.381023</v>
      </c>
      <c r="E653" s="32"/>
      <c r="F653" s="32"/>
      <c r="G653" s="32"/>
      <c r="H653" s="32"/>
      <c r="I653" s="32"/>
      <c r="J653" s="28">
        <f t="shared" ref="J653" si="477">D653*J$20</f>
        <v>0</v>
      </c>
      <c r="K653" s="29"/>
      <c r="L653" s="29"/>
      <c r="M653" s="29"/>
      <c r="N653" s="29"/>
      <c r="O653" s="29"/>
      <c r="P653" s="30">
        <f t="shared" ref="P653:P660" si="478">SUM(J653:O653)</f>
        <v>0</v>
      </c>
      <c r="Q653" s="31">
        <f t="shared" si="476"/>
        <v>0</v>
      </c>
    </row>
    <row r="654" spans="1:17" x14ac:dyDescent="0.2">
      <c r="A654" s="10"/>
      <c r="B654" s="26"/>
      <c r="C654" s="11">
        <v>2007</v>
      </c>
      <c r="D654" s="32">
        <f>SPFI_CLB14!$D$30</f>
        <v>0.356512</v>
      </c>
      <c r="E654" s="32"/>
      <c r="F654" s="32"/>
      <c r="G654" s="32"/>
      <c r="H654" s="32"/>
      <c r="I654" s="32"/>
      <c r="J654" s="28">
        <f t="shared" ref="J654" si="479">D654*J$20</f>
        <v>0</v>
      </c>
      <c r="K654" s="29"/>
      <c r="L654" s="29"/>
      <c r="M654" s="29"/>
      <c r="N654" s="29"/>
      <c r="O654" s="29"/>
      <c r="P654" s="30">
        <f t="shared" si="478"/>
        <v>0</v>
      </c>
      <c r="Q654" s="31">
        <f t="shared" si="476"/>
        <v>0</v>
      </c>
    </row>
    <row r="655" spans="1:17" x14ac:dyDescent="0.2">
      <c r="A655" s="10"/>
      <c r="B655" s="26"/>
      <c r="C655" s="11">
        <v>2008</v>
      </c>
      <c r="D655" s="32">
        <f>SPFI_CLB14!$D$31</f>
        <v>0.25494499999999998</v>
      </c>
      <c r="E655" s="32"/>
      <c r="F655" s="32"/>
      <c r="G655" s="32"/>
      <c r="H655" s="32"/>
      <c r="I655" s="32"/>
      <c r="J655" s="28">
        <f t="shared" ref="J655" si="480">D655*J$20</f>
        <v>0</v>
      </c>
      <c r="K655" s="29"/>
      <c r="L655" s="29"/>
      <c r="M655" s="29"/>
      <c r="N655" s="29"/>
      <c r="O655" s="29"/>
      <c r="P655" s="30">
        <f t="shared" si="478"/>
        <v>0</v>
      </c>
      <c r="Q655" s="31">
        <f t="shared" si="476"/>
        <v>0</v>
      </c>
    </row>
    <row r="656" spans="1:17" x14ac:dyDescent="0.2">
      <c r="A656" s="10"/>
      <c r="B656" s="26"/>
      <c r="C656" s="11">
        <v>2009</v>
      </c>
      <c r="D656" s="32">
        <f>SPFI_CLB14!$D$32</f>
        <v>0.52383000000000002</v>
      </c>
      <c r="E656" s="32"/>
      <c r="F656" s="32"/>
      <c r="G656" s="32"/>
      <c r="H656" s="32"/>
      <c r="I656" s="32"/>
      <c r="J656" s="28">
        <f t="shared" ref="J656" si="481">D656*J$20</f>
        <v>0</v>
      </c>
      <c r="K656" s="29"/>
      <c r="L656" s="29"/>
      <c r="M656" s="29"/>
      <c r="N656" s="29"/>
      <c r="O656" s="29"/>
      <c r="P656" s="30">
        <f t="shared" si="478"/>
        <v>0</v>
      </c>
      <c r="Q656" s="31">
        <f t="shared" si="476"/>
        <v>0</v>
      </c>
    </row>
    <row r="657" spans="1:17" x14ac:dyDescent="0.2">
      <c r="A657" s="10"/>
      <c r="B657" s="26"/>
      <c r="C657" s="11">
        <v>2010</v>
      </c>
      <c r="D657" s="32">
        <f>SPFI_CLB14!$D$33</f>
        <v>0.31394</v>
      </c>
      <c r="E657" s="32"/>
      <c r="F657" s="32"/>
      <c r="G657" s="32"/>
      <c r="H657" s="32"/>
      <c r="I657" s="32"/>
      <c r="J657" s="28">
        <f t="shared" ref="J657" si="482">D657*J$20</f>
        <v>0</v>
      </c>
      <c r="K657" s="29"/>
      <c r="L657" s="29"/>
      <c r="M657" s="29"/>
      <c r="N657" s="29"/>
      <c r="O657" s="29"/>
      <c r="P657" s="30">
        <f t="shared" si="478"/>
        <v>0</v>
      </c>
      <c r="Q657" s="31">
        <f t="shared" si="476"/>
        <v>0</v>
      </c>
    </row>
    <row r="658" spans="1:17" x14ac:dyDescent="0.2">
      <c r="A658" s="10"/>
      <c r="B658" s="26"/>
      <c r="C658" s="11">
        <v>2011</v>
      </c>
      <c r="D658" s="32">
        <f>SPFI_CLB14!$D$34</f>
        <v>0.294348</v>
      </c>
      <c r="E658" s="32"/>
      <c r="F658" s="32"/>
      <c r="G658" s="32"/>
      <c r="H658" s="32"/>
      <c r="I658" s="32"/>
      <c r="J658" s="28">
        <f t="shared" ref="J658" si="483">D658*J$20</f>
        <v>0</v>
      </c>
      <c r="K658" s="29"/>
      <c r="L658" s="29"/>
      <c r="M658" s="29"/>
      <c r="N658" s="29"/>
      <c r="O658" s="29"/>
      <c r="P658" s="30">
        <f t="shared" ref="P658" si="484">SUM(J658:O658)</f>
        <v>0</v>
      </c>
      <c r="Q658" s="31">
        <f t="shared" ref="Q658" si="485">IF(C$20&gt;0,P658/C$20,0)</f>
        <v>0</v>
      </c>
    </row>
    <row r="659" spans="1:17" x14ac:dyDescent="0.2">
      <c r="A659" s="10"/>
      <c r="B659" s="26"/>
      <c r="C659" s="11">
        <v>2012</v>
      </c>
      <c r="D659" s="32">
        <f>SPFI_CLB14!$D$35</f>
        <v>0.34784100000000001</v>
      </c>
      <c r="E659" s="32"/>
      <c r="F659" s="32"/>
      <c r="G659" s="32"/>
      <c r="H659" s="32"/>
      <c r="I659" s="32"/>
      <c r="J659" s="28">
        <f t="shared" ref="J659" si="486">D659*J$20</f>
        <v>0</v>
      </c>
      <c r="K659" s="29"/>
      <c r="L659" s="29"/>
      <c r="M659" s="29"/>
      <c r="N659" s="29"/>
      <c r="O659" s="29"/>
      <c r="P659" s="30">
        <f t="shared" ref="P659" si="487">SUM(J659:O659)</f>
        <v>0</v>
      </c>
      <c r="Q659" s="31">
        <f t="shared" ref="Q659" si="488">IF(C$20&gt;0,P659/C$20,0)</f>
        <v>0</v>
      </c>
    </row>
    <row r="660" spans="1:17" x14ac:dyDescent="0.2">
      <c r="A660" s="5" t="s">
        <v>10</v>
      </c>
      <c r="B660" s="21">
        <v>3</v>
      </c>
      <c r="C660" s="6">
        <v>1982</v>
      </c>
      <c r="D660" s="27">
        <f>SPFI_CLB14!$D$5</f>
        <v>0.98153299999999999</v>
      </c>
      <c r="E660" s="27"/>
      <c r="F660" s="27"/>
      <c r="G660" s="27"/>
      <c r="H660" s="27"/>
      <c r="I660" s="27"/>
      <c r="J660" s="33">
        <f t="shared" ref="J660:J672" si="489">D660*J$21</f>
        <v>0</v>
      </c>
      <c r="K660" s="27"/>
      <c r="L660" s="27"/>
      <c r="M660" s="27"/>
      <c r="N660" s="27"/>
      <c r="O660" s="27"/>
      <c r="P660" s="34">
        <f t="shared" si="478"/>
        <v>0</v>
      </c>
      <c r="Q660" s="35">
        <f t="shared" ref="Q660:Q676" si="490">IF(C$21&gt;0,P660/C$21,0)</f>
        <v>0</v>
      </c>
    </row>
    <row r="661" spans="1:17" x14ac:dyDescent="0.2">
      <c r="A661" s="10"/>
      <c r="B661" s="26"/>
      <c r="C661" s="11">
        <v>1983</v>
      </c>
      <c r="D661" s="32">
        <f>SPFI_CLB14!$D$6</f>
        <v>0.93659899999999996</v>
      </c>
      <c r="E661" s="32"/>
      <c r="F661" s="32"/>
      <c r="G661" s="32"/>
      <c r="H661" s="32"/>
      <c r="I661" s="32"/>
      <c r="J661" s="28">
        <f t="shared" si="489"/>
        <v>0</v>
      </c>
      <c r="K661" s="29"/>
      <c r="L661" s="29"/>
      <c r="M661" s="29"/>
      <c r="N661" s="29"/>
      <c r="O661" s="29"/>
      <c r="P661" s="30">
        <f t="shared" ref="P661:P672" si="491">SUM(J661:O661)</f>
        <v>0</v>
      </c>
      <c r="Q661" s="31">
        <f t="shared" si="490"/>
        <v>0</v>
      </c>
    </row>
    <row r="662" spans="1:17" x14ac:dyDescent="0.2">
      <c r="A662" s="10"/>
      <c r="B662" s="26"/>
      <c r="C662" s="11">
        <v>1984</v>
      </c>
      <c r="D662" s="32">
        <f>SPFI_CLB14!$D$7</f>
        <v>0.92793599999999998</v>
      </c>
      <c r="E662" s="32"/>
      <c r="F662" s="32"/>
      <c r="G662" s="32"/>
      <c r="H662" s="32"/>
      <c r="I662" s="32"/>
      <c r="J662" s="28">
        <f t="shared" si="489"/>
        <v>0</v>
      </c>
      <c r="K662" s="29"/>
      <c r="L662" s="29"/>
      <c r="M662" s="29"/>
      <c r="N662" s="29"/>
      <c r="O662" s="29"/>
      <c r="P662" s="30">
        <f t="shared" si="491"/>
        <v>0</v>
      </c>
      <c r="Q662" s="31">
        <f t="shared" si="490"/>
        <v>0</v>
      </c>
    </row>
    <row r="663" spans="1:17" x14ac:dyDescent="0.2">
      <c r="A663" s="10"/>
      <c r="B663" s="26"/>
      <c r="C663" s="11">
        <v>1985</v>
      </c>
      <c r="D663" s="32">
        <f>SPFI_CLB14!$D$8</f>
        <v>0.90386500000000003</v>
      </c>
      <c r="E663" s="32"/>
      <c r="F663" s="32"/>
      <c r="G663" s="32"/>
      <c r="H663" s="32"/>
      <c r="I663" s="32"/>
      <c r="J663" s="28">
        <f t="shared" si="489"/>
        <v>0</v>
      </c>
      <c r="K663" s="29"/>
      <c r="L663" s="29"/>
      <c r="M663" s="29"/>
      <c r="N663" s="29"/>
      <c r="O663" s="29"/>
      <c r="P663" s="30">
        <f t="shared" si="491"/>
        <v>0</v>
      </c>
      <c r="Q663" s="31">
        <f t="shared" si="490"/>
        <v>0</v>
      </c>
    </row>
    <row r="664" spans="1:17" x14ac:dyDescent="0.2">
      <c r="A664" s="10"/>
      <c r="B664" s="26"/>
      <c r="C664" s="11">
        <v>1986</v>
      </c>
      <c r="D664" s="32">
        <f>SPFI_CLB14!$D$9</f>
        <v>0.73087500000000005</v>
      </c>
      <c r="E664" s="32"/>
      <c r="F664" s="32"/>
      <c r="G664" s="32"/>
      <c r="H664" s="32"/>
      <c r="I664" s="32"/>
      <c r="J664" s="28">
        <f t="shared" si="489"/>
        <v>0</v>
      </c>
      <c r="K664" s="29"/>
      <c r="L664" s="29"/>
      <c r="M664" s="29"/>
      <c r="N664" s="29"/>
      <c r="O664" s="29"/>
      <c r="P664" s="30">
        <f t="shared" si="491"/>
        <v>0</v>
      </c>
      <c r="Q664" s="31">
        <f t="shared" si="490"/>
        <v>0</v>
      </c>
    </row>
    <row r="665" spans="1:17" x14ac:dyDescent="0.2">
      <c r="A665" s="10"/>
      <c r="B665" s="26"/>
      <c r="C665" s="11">
        <v>1987</v>
      </c>
      <c r="D665" s="32">
        <f>SPFI_CLB14!$D$10</f>
        <v>0.71733499999999994</v>
      </c>
      <c r="E665" s="32"/>
      <c r="F665" s="32"/>
      <c r="G665" s="32"/>
      <c r="H665" s="32"/>
      <c r="I665" s="32"/>
      <c r="J665" s="28">
        <f t="shared" si="489"/>
        <v>0</v>
      </c>
      <c r="K665" s="29"/>
      <c r="L665" s="29"/>
      <c r="M665" s="29"/>
      <c r="N665" s="29"/>
      <c r="O665" s="29"/>
      <c r="P665" s="30">
        <f t="shared" si="491"/>
        <v>0</v>
      </c>
      <c r="Q665" s="31">
        <f t="shared" si="490"/>
        <v>0</v>
      </c>
    </row>
    <row r="666" spans="1:17" x14ac:dyDescent="0.2">
      <c r="A666" s="10"/>
      <c r="B666" s="26"/>
      <c r="C666" s="11">
        <v>1988</v>
      </c>
      <c r="D666" s="32">
        <f>SPFI_CLB14!$D$11</f>
        <v>0.64558800000000005</v>
      </c>
      <c r="E666" s="32"/>
      <c r="F666" s="32"/>
      <c r="G666" s="32"/>
      <c r="H666" s="32"/>
      <c r="I666" s="32"/>
      <c r="J666" s="28">
        <f t="shared" si="489"/>
        <v>0</v>
      </c>
      <c r="K666" s="29"/>
      <c r="L666" s="29"/>
      <c r="M666" s="29"/>
      <c r="N666" s="29"/>
      <c r="O666" s="29"/>
      <c r="P666" s="30">
        <f t="shared" si="491"/>
        <v>0</v>
      </c>
      <c r="Q666" s="31">
        <f t="shared" si="490"/>
        <v>0</v>
      </c>
    </row>
    <row r="667" spans="1:17" x14ac:dyDescent="0.2">
      <c r="A667" s="10"/>
      <c r="B667" s="26"/>
      <c r="C667" s="11">
        <v>1989</v>
      </c>
      <c r="D667" s="32">
        <f>SPFI_CLB14!$D$12</f>
        <v>0.65287700000000004</v>
      </c>
      <c r="E667" s="32"/>
      <c r="F667" s="32"/>
      <c r="G667" s="32"/>
      <c r="H667" s="32"/>
      <c r="I667" s="32"/>
      <c r="J667" s="28">
        <f t="shared" si="489"/>
        <v>0</v>
      </c>
      <c r="K667" s="29"/>
      <c r="L667" s="29"/>
      <c r="M667" s="29"/>
      <c r="N667" s="29"/>
      <c r="O667" s="29"/>
      <c r="P667" s="30">
        <f t="shared" si="491"/>
        <v>0</v>
      </c>
      <c r="Q667" s="31">
        <f t="shared" si="490"/>
        <v>0</v>
      </c>
    </row>
    <row r="668" spans="1:17" x14ac:dyDescent="0.2">
      <c r="A668" s="10"/>
      <c r="B668" s="26"/>
      <c r="C668" s="11">
        <v>1990</v>
      </c>
      <c r="D668" s="32">
        <f>SPFI_CLB14!$D$13</f>
        <v>0.56965100000000002</v>
      </c>
      <c r="E668" s="32"/>
      <c r="F668" s="32"/>
      <c r="G668" s="32"/>
      <c r="H668" s="32"/>
      <c r="I668" s="32"/>
      <c r="J668" s="28">
        <f t="shared" si="489"/>
        <v>0</v>
      </c>
      <c r="K668" s="29"/>
      <c r="L668" s="29"/>
      <c r="M668" s="29"/>
      <c r="N668" s="29"/>
      <c r="O668" s="29"/>
      <c r="P668" s="30">
        <f t="shared" si="491"/>
        <v>0</v>
      </c>
      <c r="Q668" s="31">
        <f t="shared" si="490"/>
        <v>0</v>
      </c>
    </row>
    <row r="669" spans="1:17" x14ac:dyDescent="0.2">
      <c r="A669" s="10"/>
      <c r="B669" s="26"/>
      <c r="C669" s="11">
        <v>1991</v>
      </c>
      <c r="D669" s="32">
        <f>SPFI_CLB14!$D$14</f>
        <v>0.62776900000000002</v>
      </c>
      <c r="E669" s="32"/>
      <c r="F669" s="32"/>
      <c r="G669" s="32"/>
      <c r="H669" s="32"/>
      <c r="I669" s="32"/>
      <c r="J669" s="28">
        <f t="shared" si="489"/>
        <v>0</v>
      </c>
      <c r="K669" s="29"/>
      <c r="L669" s="29"/>
      <c r="M669" s="29"/>
      <c r="N669" s="29"/>
      <c r="O669" s="29"/>
      <c r="P669" s="30">
        <f t="shared" si="491"/>
        <v>0</v>
      </c>
      <c r="Q669" s="31">
        <f t="shared" si="490"/>
        <v>0</v>
      </c>
    </row>
    <row r="670" spans="1:17" x14ac:dyDescent="0.2">
      <c r="A670" s="10"/>
      <c r="B670" s="26"/>
      <c r="C670" s="11">
        <v>1992</v>
      </c>
      <c r="D670" s="32">
        <f>SPFI_CLB14!$D$15</f>
        <v>0.43504100000000001</v>
      </c>
      <c r="E670" s="32"/>
      <c r="F670" s="32"/>
      <c r="G670" s="32"/>
      <c r="H670" s="32"/>
      <c r="I670" s="32"/>
      <c r="J670" s="28">
        <f t="shared" si="489"/>
        <v>0</v>
      </c>
      <c r="K670" s="29"/>
      <c r="L670" s="29"/>
      <c r="M670" s="29"/>
      <c r="N670" s="29"/>
      <c r="O670" s="29"/>
      <c r="P670" s="30">
        <f t="shared" si="491"/>
        <v>0</v>
      </c>
      <c r="Q670" s="31">
        <f t="shared" si="490"/>
        <v>0</v>
      </c>
    </row>
    <row r="671" spans="1:17" x14ac:dyDescent="0.2">
      <c r="A671" s="10"/>
      <c r="B671" s="26"/>
      <c r="C671" s="11">
        <v>1993</v>
      </c>
      <c r="D671" s="32">
        <f>SPFI_CLB14!$D$16</f>
        <v>0.499164</v>
      </c>
      <c r="E671" s="32"/>
      <c r="F671" s="32"/>
      <c r="G671" s="32"/>
      <c r="H671" s="32"/>
      <c r="I671" s="32"/>
      <c r="J671" s="28">
        <f t="shared" si="489"/>
        <v>0</v>
      </c>
      <c r="K671" s="29"/>
      <c r="L671" s="29"/>
      <c r="M671" s="29"/>
      <c r="N671" s="29"/>
      <c r="O671" s="29"/>
      <c r="P671" s="30">
        <f t="shared" si="491"/>
        <v>0</v>
      </c>
      <c r="Q671" s="31">
        <f t="shared" si="490"/>
        <v>0</v>
      </c>
    </row>
    <row r="672" spans="1:17" x14ac:dyDescent="0.2">
      <c r="A672" s="10"/>
      <c r="B672" s="26"/>
      <c r="C672" s="11">
        <v>1994</v>
      </c>
      <c r="D672" s="32">
        <f>SPFI_CLB14!$D$17</f>
        <v>0.59591300000000003</v>
      </c>
      <c r="E672" s="32"/>
      <c r="F672" s="32"/>
      <c r="G672" s="32"/>
      <c r="H672" s="32"/>
      <c r="I672" s="32"/>
      <c r="J672" s="28">
        <f t="shared" si="489"/>
        <v>0</v>
      </c>
      <c r="K672" s="29"/>
      <c r="L672" s="29"/>
      <c r="M672" s="29"/>
      <c r="N672" s="29"/>
      <c r="O672" s="29"/>
      <c r="P672" s="30">
        <f t="shared" si="491"/>
        <v>0</v>
      </c>
      <c r="Q672" s="31">
        <f t="shared" si="490"/>
        <v>0</v>
      </c>
    </row>
    <row r="673" spans="1:17" x14ac:dyDescent="0.2">
      <c r="A673" s="10"/>
      <c r="B673" s="26"/>
      <c r="C673" s="11">
        <v>1995</v>
      </c>
      <c r="D673" s="32">
        <f>SPFI_CLB14!$D$18</f>
        <v>0.25400800000000001</v>
      </c>
      <c r="E673" s="32"/>
      <c r="F673" s="32"/>
      <c r="G673" s="32"/>
      <c r="H673" s="32"/>
      <c r="I673" s="32"/>
      <c r="J673" s="28">
        <f t="shared" ref="J673" si="492">D673*J$21</f>
        <v>0</v>
      </c>
      <c r="K673" s="29"/>
      <c r="L673" s="29"/>
      <c r="M673" s="29"/>
      <c r="N673" s="29"/>
      <c r="O673" s="29"/>
      <c r="P673" s="30">
        <f>SUM(J673:O673)</f>
        <v>0</v>
      </c>
      <c r="Q673" s="31">
        <f t="shared" si="490"/>
        <v>0</v>
      </c>
    </row>
    <row r="674" spans="1:17" x14ac:dyDescent="0.2">
      <c r="A674" s="10"/>
      <c r="B674" s="26"/>
      <c r="C674" s="11">
        <v>1996</v>
      </c>
      <c r="D674" s="32">
        <f>SPFI_CLB14!$D$19</f>
        <v>0</v>
      </c>
      <c r="E674" s="32"/>
      <c r="F674" s="32"/>
      <c r="G674" s="32"/>
      <c r="H674" s="32"/>
      <c r="I674" s="32"/>
      <c r="J674" s="28">
        <f t="shared" ref="J674" si="493">D674*J$21</f>
        <v>0</v>
      </c>
      <c r="K674" s="29"/>
      <c r="L674" s="29"/>
      <c r="M674" s="29"/>
      <c r="N674" s="29"/>
      <c r="O674" s="29"/>
      <c r="P674" s="30">
        <f>SUM(J674:O674)</f>
        <v>0</v>
      </c>
      <c r="Q674" s="31">
        <f t="shared" si="490"/>
        <v>0</v>
      </c>
    </row>
    <row r="675" spans="1:17" x14ac:dyDescent="0.2">
      <c r="A675" s="10"/>
      <c r="B675" s="26"/>
      <c r="C675" s="11">
        <v>1997</v>
      </c>
      <c r="D675" s="32">
        <f>SPFI_CLB14!$D$20</f>
        <v>0.201487</v>
      </c>
      <c r="E675" s="32"/>
      <c r="F675" s="32"/>
      <c r="G675" s="32"/>
      <c r="H675" s="32"/>
      <c r="I675" s="32"/>
      <c r="J675" s="28">
        <f t="shared" ref="J675" si="494">D675*J$21</f>
        <v>0</v>
      </c>
      <c r="K675" s="29"/>
      <c r="L675" s="29"/>
      <c r="M675" s="29"/>
      <c r="N675" s="29"/>
      <c r="O675" s="29"/>
      <c r="P675" s="30">
        <f>SUM(J675:O675)</f>
        <v>0</v>
      </c>
      <c r="Q675" s="31">
        <f t="shared" si="490"/>
        <v>0</v>
      </c>
    </row>
    <row r="676" spans="1:17" x14ac:dyDescent="0.2">
      <c r="A676" s="10"/>
      <c r="B676" s="26"/>
      <c r="C676" s="11">
        <v>1998</v>
      </c>
      <c r="D676" s="32">
        <f>SPFI_CLB14!$D$21</f>
        <v>0.37506400000000001</v>
      </c>
      <c r="E676" s="32"/>
      <c r="F676" s="32"/>
      <c r="G676" s="32"/>
      <c r="H676" s="32"/>
      <c r="I676" s="32"/>
      <c r="J676" s="28">
        <f t="shared" ref="J676" si="495">D676*J$21</f>
        <v>0</v>
      </c>
      <c r="K676" s="29"/>
      <c r="L676" s="29"/>
      <c r="M676" s="29"/>
      <c r="N676" s="29"/>
      <c r="O676" s="29"/>
      <c r="P676" s="30">
        <f>SUM(J676:O676)</f>
        <v>0</v>
      </c>
      <c r="Q676" s="31">
        <f t="shared" si="490"/>
        <v>0</v>
      </c>
    </row>
    <row r="677" spans="1:17" x14ac:dyDescent="0.2">
      <c r="A677" s="10"/>
      <c r="B677" s="26"/>
      <c r="C677" s="11">
        <v>1999</v>
      </c>
      <c r="D677" s="32">
        <f>SPFI_CLB14!$D$22</f>
        <v>0.29823699999999997</v>
      </c>
      <c r="E677" s="32"/>
      <c r="F677" s="32"/>
      <c r="G677" s="32"/>
      <c r="H677" s="32"/>
      <c r="I677" s="32"/>
      <c r="J677" s="28">
        <f t="shared" ref="J677" si="496">D677*J$21</f>
        <v>0</v>
      </c>
      <c r="K677" s="29"/>
      <c r="L677" s="29"/>
      <c r="M677" s="29"/>
      <c r="N677" s="29"/>
      <c r="O677" s="29"/>
      <c r="P677" s="30">
        <f>SUM(J677:O677)</f>
        <v>0</v>
      </c>
      <c r="Q677" s="31">
        <f t="shared" ref="Q677:Q682" si="497">IF(C$21&gt;0,P677/C$21,0)</f>
        <v>0</v>
      </c>
    </row>
    <row r="678" spans="1:17" x14ac:dyDescent="0.2">
      <c r="A678" s="10"/>
      <c r="B678" s="26"/>
      <c r="C678" s="11">
        <v>2000</v>
      </c>
      <c r="D678" s="32">
        <f>SPFI_CLB14!$D$23</f>
        <v>8.4414000000000003E-2</v>
      </c>
      <c r="E678" s="32"/>
      <c r="F678" s="32"/>
      <c r="G678" s="32"/>
      <c r="H678" s="32"/>
      <c r="I678" s="32"/>
      <c r="J678" s="28">
        <f t="shared" ref="J678" si="498">D678*J$21</f>
        <v>0</v>
      </c>
      <c r="K678" s="29"/>
      <c r="L678" s="29"/>
      <c r="M678" s="29"/>
      <c r="N678" s="29"/>
      <c r="O678" s="29"/>
      <c r="P678" s="30">
        <f t="shared" ref="P678:P683" si="499">SUM(J678:O678)</f>
        <v>0</v>
      </c>
      <c r="Q678" s="31">
        <f t="shared" si="497"/>
        <v>0</v>
      </c>
    </row>
    <row r="679" spans="1:17" x14ac:dyDescent="0.2">
      <c r="A679" s="10"/>
      <c r="B679" s="26"/>
      <c r="C679" s="11">
        <v>2001</v>
      </c>
      <c r="D679" s="32">
        <f>SPFI_CLB14!$D$24</f>
        <v>7.8909000000000007E-2</v>
      </c>
      <c r="E679" s="32"/>
      <c r="F679" s="32"/>
      <c r="G679" s="32"/>
      <c r="H679" s="32"/>
      <c r="I679" s="32"/>
      <c r="J679" s="28">
        <f t="shared" ref="J679" si="500">D679*J$21</f>
        <v>0</v>
      </c>
      <c r="K679" s="29"/>
      <c r="L679" s="29"/>
      <c r="M679" s="29"/>
      <c r="N679" s="29"/>
      <c r="O679" s="29"/>
      <c r="P679" s="30">
        <f t="shared" si="499"/>
        <v>0</v>
      </c>
      <c r="Q679" s="31">
        <f t="shared" si="497"/>
        <v>0</v>
      </c>
    </row>
    <row r="680" spans="1:17" x14ac:dyDescent="0.2">
      <c r="A680" s="10"/>
      <c r="B680" s="26"/>
      <c r="C680" s="11">
        <v>2002</v>
      </c>
      <c r="D680" s="32">
        <f>SPFI_CLB14!$D$25</f>
        <v>0.29974699999999999</v>
      </c>
      <c r="E680" s="32"/>
      <c r="F680" s="32"/>
      <c r="G680" s="32"/>
      <c r="H680" s="32"/>
      <c r="I680" s="32"/>
      <c r="J680" s="28">
        <f t="shared" ref="J680" si="501">D680*J$21</f>
        <v>0</v>
      </c>
      <c r="K680" s="29"/>
      <c r="L680" s="29"/>
      <c r="M680" s="29"/>
      <c r="N680" s="29"/>
      <c r="O680" s="29"/>
      <c r="P680" s="30">
        <f t="shared" si="499"/>
        <v>0</v>
      </c>
      <c r="Q680" s="31">
        <f t="shared" si="497"/>
        <v>0</v>
      </c>
    </row>
    <row r="681" spans="1:17" x14ac:dyDescent="0.2">
      <c r="A681" s="10"/>
      <c r="B681" s="26"/>
      <c r="C681" s="11">
        <v>2003</v>
      </c>
      <c r="D681" s="32">
        <f>SPFI_CLB14!$D$26</f>
        <v>0.20691100000000001</v>
      </c>
      <c r="E681" s="32"/>
      <c r="F681" s="32"/>
      <c r="G681" s="32"/>
      <c r="H681" s="32"/>
      <c r="I681" s="32"/>
      <c r="J681" s="28">
        <f t="shared" ref="J681" si="502">D681*J$21</f>
        <v>0</v>
      </c>
      <c r="K681" s="29"/>
      <c r="L681" s="29"/>
      <c r="M681" s="29"/>
      <c r="N681" s="29"/>
      <c r="O681" s="29"/>
      <c r="P681" s="30">
        <f t="shared" si="499"/>
        <v>0</v>
      </c>
      <c r="Q681" s="31">
        <f t="shared" si="497"/>
        <v>0</v>
      </c>
    </row>
    <row r="682" spans="1:17" x14ac:dyDescent="0.2">
      <c r="A682" s="10"/>
      <c r="B682" s="26"/>
      <c r="C682" s="11">
        <v>2004</v>
      </c>
      <c r="D682" s="32">
        <f>SPFI_CLB14!$D$27</f>
        <v>0.269237</v>
      </c>
      <c r="E682" s="32"/>
      <c r="F682" s="32"/>
      <c r="G682" s="32"/>
      <c r="H682" s="32"/>
      <c r="I682" s="32"/>
      <c r="J682" s="28">
        <f t="shared" ref="J682" si="503">D682*J$21</f>
        <v>0</v>
      </c>
      <c r="K682" s="29"/>
      <c r="L682" s="29"/>
      <c r="M682" s="29"/>
      <c r="N682" s="29"/>
      <c r="O682" s="29"/>
      <c r="P682" s="30">
        <f t="shared" si="499"/>
        <v>0</v>
      </c>
      <c r="Q682" s="31">
        <f t="shared" si="497"/>
        <v>0</v>
      </c>
    </row>
    <row r="683" spans="1:17" x14ac:dyDescent="0.2">
      <c r="A683" s="10"/>
      <c r="B683" s="26"/>
      <c r="C683" s="11">
        <v>2005</v>
      </c>
      <c r="D683" s="32">
        <f>SPFI_CLB14!$D$28</f>
        <v>0.37848700000000002</v>
      </c>
      <c r="E683" s="32"/>
      <c r="F683" s="32"/>
      <c r="G683" s="32"/>
      <c r="H683" s="32"/>
      <c r="I683" s="32"/>
      <c r="J683" s="28">
        <f t="shared" ref="J683" si="504">D683*J$21</f>
        <v>0</v>
      </c>
      <c r="K683" s="29"/>
      <c r="L683" s="29"/>
      <c r="M683" s="29"/>
      <c r="N683" s="29"/>
      <c r="O683" s="29"/>
      <c r="P683" s="30">
        <f t="shared" si="499"/>
        <v>0</v>
      </c>
      <c r="Q683" s="31">
        <f t="shared" ref="Q683:Q688" si="505">IF(C$21&gt;0,P683/C$21,0)</f>
        <v>0</v>
      </c>
    </row>
    <row r="684" spans="1:17" x14ac:dyDescent="0.2">
      <c r="A684" s="10"/>
      <c r="B684" s="26"/>
      <c r="C684" s="11">
        <v>2006</v>
      </c>
      <c r="D684" s="32">
        <f>SPFI_CLB14!$D$29</f>
        <v>0.381023</v>
      </c>
      <c r="E684" s="32"/>
      <c r="F684" s="32"/>
      <c r="G684" s="32"/>
      <c r="H684" s="32"/>
      <c r="I684" s="32"/>
      <c r="J684" s="28">
        <f t="shared" ref="J684" si="506">D684*J$21</f>
        <v>0</v>
      </c>
      <c r="K684" s="29"/>
      <c r="L684" s="29"/>
      <c r="M684" s="29"/>
      <c r="N684" s="29"/>
      <c r="O684" s="29"/>
      <c r="P684" s="30">
        <f t="shared" ref="P684:P691" si="507">SUM(J684:O684)</f>
        <v>0</v>
      </c>
      <c r="Q684" s="31">
        <f t="shared" si="505"/>
        <v>0</v>
      </c>
    </row>
    <row r="685" spans="1:17" x14ac:dyDescent="0.2">
      <c r="A685" s="10"/>
      <c r="B685" s="26"/>
      <c r="C685" s="11">
        <v>2007</v>
      </c>
      <c r="D685" s="32">
        <f>SPFI_CLB14!$D$30</f>
        <v>0.356512</v>
      </c>
      <c r="E685" s="32"/>
      <c r="F685" s="32"/>
      <c r="G685" s="32"/>
      <c r="H685" s="32"/>
      <c r="I685" s="32"/>
      <c r="J685" s="28">
        <f t="shared" ref="J685" si="508">D685*J$21</f>
        <v>0</v>
      </c>
      <c r="K685" s="29"/>
      <c r="L685" s="29"/>
      <c r="M685" s="29"/>
      <c r="N685" s="29"/>
      <c r="O685" s="29"/>
      <c r="P685" s="30">
        <f t="shared" si="507"/>
        <v>0</v>
      </c>
      <c r="Q685" s="31">
        <f t="shared" si="505"/>
        <v>0</v>
      </c>
    </row>
    <row r="686" spans="1:17" x14ac:dyDescent="0.2">
      <c r="A686" s="10"/>
      <c r="B686" s="26"/>
      <c r="C686" s="11">
        <v>2008</v>
      </c>
      <c r="D686" s="32">
        <f>SPFI_CLB14!$D$31</f>
        <v>0.25494499999999998</v>
      </c>
      <c r="E686" s="32"/>
      <c r="F686" s="32"/>
      <c r="G686" s="32"/>
      <c r="H686" s="32"/>
      <c r="I686" s="32"/>
      <c r="J686" s="28">
        <f t="shared" ref="J686" si="509">D686*J$21</f>
        <v>0</v>
      </c>
      <c r="K686" s="29"/>
      <c r="L686" s="29"/>
      <c r="M686" s="29"/>
      <c r="N686" s="29"/>
      <c r="O686" s="29"/>
      <c r="P686" s="30">
        <f t="shared" si="507"/>
        <v>0</v>
      </c>
      <c r="Q686" s="31">
        <f t="shared" si="505"/>
        <v>0</v>
      </c>
    </row>
    <row r="687" spans="1:17" x14ac:dyDescent="0.2">
      <c r="A687" s="10"/>
      <c r="B687" s="26"/>
      <c r="C687" s="11">
        <v>2009</v>
      </c>
      <c r="D687" s="32">
        <f>SPFI_CLB14!$D$32</f>
        <v>0.52383000000000002</v>
      </c>
      <c r="E687" s="32"/>
      <c r="F687" s="32"/>
      <c r="G687" s="32"/>
      <c r="H687" s="32"/>
      <c r="I687" s="32"/>
      <c r="J687" s="28">
        <f t="shared" ref="J687" si="510">D687*J$21</f>
        <v>0</v>
      </c>
      <c r="K687" s="29"/>
      <c r="L687" s="29"/>
      <c r="M687" s="29"/>
      <c r="N687" s="29"/>
      <c r="O687" s="29"/>
      <c r="P687" s="30">
        <f t="shared" si="507"/>
        <v>0</v>
      </c>
      <c r="Q687" s="31">
        <f t="shared" si="505"/>
        <v>0</v>
      </c>
    </row>
    <row r="688" spans="1:17" x14ac:dyDescent="0.2">
      <c r="A688" s="10"/>
      <c r="B688" s="26"/>
      <c r="C688" s="11">
        <v>2010</v>
      </c>
      <c r="D688" s="32">
        <f>SPFI_CLB14!$D$33</f>
        <v>0.31394</v>
      </c>
      <c r="E688" s="32"/>
      <c r="F688" s="32"/>
      <c r="G688" s="32"/>
      <c r="H688" s="32"/>
      <c r="I688" s="32"/>
      <c r="J688" s="28">
        <f t="shared" ref="J688" si="511">D688*J$21</f>
        <v>0</v>
      </c>
      <c r="K688" s="29"/>
      <c r="L688" s="29"/>
      <c r="M688" s="29"/>
      <c r="N688" s="29"/>
      <c r="O688" s="29"/>
      <c r="P688" s="30">
        <f t="shared" si="507"/>
        <v>0</v>
      </c>
      <c r="Q688" s="31">
        <f t="shared" si="505"/>
        <v>0</v>
      </c>
    </row>
    <row r="689" spans="1:17" x14ac:dyDescent="0.2">
      <c r="A689" s="10"/>
      <c r="B689" s="26"/>
      <c r="C689" s="11">
        <v>2011</v>
      </c>
      <c r="D689" s="32">
        <f>SPFI_CLB14!$D$34</f>
        <v>0.294348</v>
      </c>
      <c r="E689" s="32"/>
      <c r="F689" s="32"/>
      <c r="G689" s="32"/>
      <c r="H689" s="32"/>
      <c r="I689" s="32"/>
      <c r="J689" s="28">
        <f t="shared" ref="J689" si="512">D689*J$21</f>
        <v>0</v>
      </c>
      <c r="K689" s="29"/>
      <c r="L689" s="29"/>
      <c r="M689" s="29"/>
      <c r="N689" s="29"/>
      <c r="O689" s="29"/>
      <c r="P689" s="30">
        <f t="shared" ref="P689" si="513">SUM(J689:O689)</f>
        <v>0</v>
      </c>
      <c r="Q689" s="31">
        <f t="shared" ref="Q689" si="514">IF(C$21&gt;0,P689/C$21,0)</f>
        <v>0</v>
      </c>
    </row>
    <row r="690" spans="1:17" x14ac:dyDescent="0.2">
      <c r="A690" s="10"/>
      <c r="B690" s="26"/>
      <c r="C690" s="11">
        <v>2012</v>
      </c>
      <c r="D690" s="32">
        <f>SPFI_CLB14!$D$35</f>
        <v>0.34784100000000001</v>
      </c>
      <c r="E690" s="32"/>
      <c r="F690" s="32"/>
      <c r="G690" s="32"/>
      <c r="H690" s="32"/>
      <c r="I690" s="32"/>
      <c r="J690" s="28">
        <f t="shared" ref="J690" si="515">D690*J$21</f>
        <v>0</v>
      </c>
      <c r="K690" s="29"/>
      <c r="L690" s="29"/>
      <c r="M690" s="29"/>
      <c r="N690" s="29"/>
      <c r="O690" s="29"/>
      <c r="P690" s="30">
        <f t="shared" ref="P690" si="516">SUM(J690:O690)</f>
        <v>0</v>
      </c>
      <c r="Q690" s="31">
        <f t="shared" ref="Q690" si="517">IF(C$21&gt;0,P690/C$21,0)</f>
        <v>0</v>
      </c>
    </row>
    <row r="691" spans="1:17" x14ac:dyDescent="0.2">
      <c r="A691" s="5" t="s">
        <v>10</v>
      </c>
      <c r="B691" s="21">
        <v>4</v>
      </c>
      <c r="C691" s="6">
        <v>1982</v>
      </c>
      <c r="D691" s="27">
        <f>SPFI_CLB14!$D$5</f>
        <v>0.98153299999999999</v>
      </c>
      <c r="E691" s="27"/>
      <c r="F691" s="27"/>
      <c r="G691" s="27"/>
      <c r="H691" s="27"/>
      <c r="I691" s="27"/>
      <c r="J691" s="33">
        <f t="shared" ref="J691:J703" si="518">D691*J$22</f>
        <v>0</v>
      </c>
      <c r="K691" s="27"/>
      <c r="L691" s="27"/>
      <c r="M691" s="27"/>
      <c r="N691" s="27"/>
      <c r="O691" s="27"/>
      <c r="P691" s="34">
        <f t="shared" si="507"/>
        <v>0</v>
      </c>
      <c r="Q691" s="35">
        <f t="shared" ref="Q691:Q707" si="519">IF(C$22&gt;0,P691/C$22,0)</f>
        <v>0</v>
      </c>
    </row>
    <row r="692" spans="1:17" x14ac:dyDescent="0.2">
      <c r="A692" s="10"/>
      <c r="B692" s="26"/>
      <c r="C692" s="11">
        <v>1983</v>
      </c>
      <c r="D692" s="32">
        <f>SPFI_CLB14!$D$6</f>
        <v>0.93659899999999996</v>
      </c>
      <c r="E692" s="32"/>
      <c r="F692" s="32"/>
      <c r="G692" s="32"/>
      <c r="H692" s="32"/>
      <c r="I692" s="32"/>
      <c r="J692" s="28">
        <f t="shared" si="518"/>
        <v>0</v>
      </c>
      <c r="K692" s="29"/>
      <c r="L692" s="29"/>
      <c r="M692" s="29"/>
      <c r="N692" s="29"/>
      <c r="O692" s="29"/>
      <c r="P692" s="30">
        <f t="shared" ref="P692:P703" si="520">SUM(J692:O692)</f>
        <v>0</v>
      </c>
      <c r="Q692" s="31">
        <f t="shared" si="519"/>
        <v>0</v>
      </c>
    </row>
    <row r="693" spans="1:17" x14ac:dyDescent="0.2">
      <c r="A693" s="10"/>
      <c r="B693" s="26"/>
      <c r="C693" s="11">
        <v>1984</v>
      </c>
      <c r="D693" s="32">
        <f>SPFI_CLB14!$D$7</f>
        <v>0.92793599999999998</v>
      </c>
      <c r="E693" s="32"/>
      <c r="F693" s="32"/>
      <c r="G693" s="32"/>
      <c r="H693" s="32"/>
      <c r="I693" s="32"/>
      <c r="J693" s="28">
        <f t="shared" si="518"/>
        <v>0</v>
      </c>
      <c r="K693" s="29"/>
      <c r="L693" s="29"/>
      <c r="M693" s="29"/>
      <c r="N693" s="29"/>
      <c r="O693" s="29"/>
      <c r="P693" s="30">
        <f t="shared" si="520"/>
        <v>0</v>
      </c>
      <c r="Q693" s="31">
        <f t="shared" si="519"/>
        <v>0</v>
      </c>
    </row>
    <row r="694" spans="1:17" x14ac:dyDescent="0.2">
      <c r="A694" s="10"/>
      <c r="B694" s="26"/>
      <c r="C694" s="11">
        <v>1985</v>
      </c>
      <c r="D694" s="32">
        <f>SPFI_CLB14!$D$8</f>
        <v>0.90386500000000003</v>
      </c>
      <c r="E694" s="32"/>
      <c r="F694" s="32"/>
      <c r="G694" s="32"/>
      <c r="H694" s="32"/>
      <c r="I694" s="32"/>
      <c r="J694" s="28">
        <f t="shared" si="518"/>
        <v>0</v>
      </c>
      <c r="K694" s="29"/>
      <c r="L694" s="29"/>
      <c r="M694" s="29"/>
      <c r="N694" s="29"/>
      <c r="O694" s="29"/>
      <c r="P694" s="30">
        <f t="shared" si="520"/>
        <v>0</v>
      </c>
      <c r="Q694" s="31">
        <f t="shared" si="519"/>
        <v>0</v>
      </c>
    </row>
    <row r="695" spans="1:17" x14ac:dyDescent="0.2">
      <c r="A695" s="10"/>
      <c r="B695" s="26"/>
      <c r="C695" s="11">
        <v>1986</v>
      </c>
      <c r="D695" s="32">
        <f>SPFI_CLB14!$D$9</f>
        <v>0.73087500000000005</v>
      </c>
      <c r="E695" s="32"/>
      <c r="F695" s="32"/>
      <c r="G695" s="32"/>
      <c r="H695" s="32"/>
      <c r="I695" s="32"/>
      <c r="J695" s="28">
        <f t="shared" si="518"/>
        <v>0</v>
      </c>
      <c r="K695" s="29"/>
      <c r="L695" s="29"/>
      <c r="M695" s="29"/>
      <c r="N695" s="29"/>
      <c r="O695" s="29"/>
      <c r="P695" s="30">
        <f t="shared" si="520"/>
        <v>0</v>
      </c>
      <c r="Q695" s="31">
        <f t="shared" si="519"/>
        <v>0</v>
      </c>
    </row>
    <row r="696" spans="1:17" x14ac:dyDescent="0.2">
      <c r="A696" s="10"/>
      <c r="B696" s="26"/>
      <c r="C696" s="11">
        <v>1987</v>
      </c>
      <c r="D696" s="32">
        <f>SPFI_CLB14!$D$10</f>
        <v>0.71733499999999994</v>
      </c>
      <c r="E696" s="32"/>
      <c r="F696" s="32"/>
      <c r="G696" s="32"/>
      <c r="H696" s="32"/>
      <c r="I696" s="32"/>
      <c r="J696" s="28">
        <f t="shared" si="518"/>
        <v>0</v>
      </c>
      <c r="K696" s="29"/>
      <c r="L696" s="29"/>
      <c r="M696" s="29"/>
      <c r="N696" s="29"/>
      <c r="O696" s="29"/>
      <c r="P696" s="30">
        <f t="shared" si="520"/>
        <v>0</v>
      </c>
      <c r="Q696" s="31">
        <f t="shared" si="519"/>
        <v>0</v>
      </c>
    </row>
    <row r="697" spans="1:17" x14ac:dyDescent="0.2">
      <c r="A697" s="10"/>
      <c r="B697" s="26"/>
      <c r="C697" s="11">
        <v>1988</v>
      </c>
      <c r="D697" s="32">
        <f>SPFI_CLB14!$D$11</f>
        <v>0.64558800000000005</v>
      </c>
      <c r="E697" s="32"/>
      <c r="F697" s="32"/>
      <c r="G697" s="32"/>
      <c r="H697" s="32"/>
      <c r="I697" s="32"/>
      <c r="J697" s="28">
        <f t="shared" si="518"/>
        <v>0</v>
      </c>
      <c r="K697" s="29"/>
      <c r="L697" s="29"/>
      <c r="M697" s="29"/>
      <c r="N697" s="29"/>
      <c r="O697" s="29"/>
      <c r="P697" s="30">
        <f t="shared" si="520"/>
        <v>0</v>
      </c>
      <c r="Q697" s="31">
        <f t="shared" si="519"/>
        <v>0</v>
      </c>
    </row>
    <row r="698" spans="1:17" x14ac:dyDescent="0.2">
      <c r="A698" s="10"/>
      <c r="B698" s="26"/>
      <c r="C698" s="11">
        <v>1989</v>
      </c>
      <c r="D698" s="32">
        <f>SPFI_CLB14!$D$12</f>
        <v>0.65287700000000004</v>
      </c>
      <c r="E698" s="32"/>
      <c r="F698" s="32"/>
      <c r="G698" s="32"/>
      <c r="H698" s="32"/>
      <c r="I698" s="32"/>
      <c r="J698" s="28">
        <f t="shared" si="518"/>
        <v>0</v>
      </c>
      <c r="K698" s="29"/>
      <c r="L698" s="29"/>
      <c r="M698" s="29"/>
      <c r="N698" s="29"/>
      <c r="O698" s="29"/>
      <c r="P698" s="30">
        <f t="shared" si="520"/>
        <v>0</v>
      </c>
      <c r="Q698" s="31">
        <f t="shared" si="519"/>
        <v>0</v>
      </c>
    </row>
    <row r="699" spans="1:17" x14ac:dyDescent="0.2">
      <c r="A699" s="10"/>
      <c r="B699" s="26"/>
      <c r="C699" s="11">
        <v>1990</v>
      </c>
      <c r="D699" s="32">
        <f>SPFI_CLB14!$D$13</f>
        <v>0.56965100000000002</v>
      </c>
      <c r="E699" s="32"/>
      <c r="F699" s="32"/>
      <c r="G699" s="32"/>
      <c r="H699" s="32"/>
      <c r="I699" s="32"/>
      <c r="J699" s="28">
        <f t="shared" si="518"/>
        <v>0</v>
      </c>
      <c r="K699" s="29"/>
      <c r="L699" s="29"/>
      <c r="M699" s="29"/>
      <c r="N699" s="29"/>
      <c r="O699" s="29"/>
      <c r="P699" s="30">
        <f t="shared" si="520"/>
        <v>0</v>
      </c>
      <c r="Q699" s="31">
        <f t="shared" si="519"/>
        <v>0</v>
      </c>
    </row>
    <row r="700" spans="1:17" x14ac:dyDescent="0.2">
      <c r="A700" s="10"/>
      <c r="B700" s="26"/>
      <c r="C700" s="11">
        <v>1991</v>
      </c>
      <c r="D700" s="32">
        <f>SPFI_CLB14!$D$14</f>
        <v>0.62776900000000002</v>
      </c>
      <c r="E700" s="32"/>
      <c r="F700" s="32"/>
      <c r="G700" s="32"/>
      <c r="H700" s="32"/>
      <c r="I700" s="32"/>
      <c r="J700" s="28">
        <f t="shared" si="518"/>
        <v>0</v>
      </c>
      <c r="K700" s="29"/>
      <c r="L700" s="29"/>
      <c r="M700" s="29"/>
      <c r="N700" s="29"/>
      <c r="O700" s="29"/>
      <c r="P700" s="30">
        <f t="shared" si="520"/>
        <v>0</v>
      </c>
      <c r="Q700" s="31">
        <f t="shared" si="519"/>
        <v>0</v>
      </c>
    </row>
    <row r="701" spans="1:17" x14ac:dyDescent="0.2">
      <c r="A701" s="10"/>
      <c r="B701" s="26"/>
      <c r="C701" s="11">
        <v>1992</v>
      </c>
      <c r="D701" s="32">
        <f>SPFI_CLB14!$D$15</f>
        <v>0.43504100000000001</v>
      </c>
      <c r="E701" s="32"/>
      <c r="F701" s="32"/>
      <c r="G701" s="32"/>
      <c r="H701" s="32"/>
      <c r="I701" s="32"/>
      <c r="J701" s="28">
        <f t="shared" si="518"/>
        <v>0</v>
      </c>
      <c r="K701" s="29"/>
      <c r="L701" s="29"/>
      <c r="M701" s="29"/>
      <c r="N701" s="29"/>
      <c r="O701" s="29"/>
      <c r="P701" s="30">
        <f t="shared" si="520"/>
        <v>0</v>
      </c>
      <c r="Q701" s="31">
        <f t="shared" si="519"/>
        <v>0</v>
      </c>
    </row>
    <row r="702" spans="1:17" x14ac:dyDescent="0.2">
      <c r="A702" s="10"/>
      <c r="B702" s="26"/>
      <c r="C702" s="11">
        <v>1993</v>
      </c>
      <c r="D702" s="32">
        <f>SPFI_CLB14!$D$16</f>
        <v>0.499164</v>
      </c>
      <c r="E702" s="32"/>
      <c r="F702" s="32"/>
      <c r="G702" s="32"/>
      <c r="H702" s="32"/>
      <c r="I702" s="32"/>
      <c r="J702" s="28">
        <f t="shared" si="518"/>
        <v>0</v>
      </c>
      <c r="K702" s="29"/>
      <c r="L702" s="29"/>
      <c r="M702" s="29"/>
      <c r="N702" s="29"/>
      <c r="O702" s="29"/>
      <c r="P702" s="30">
        <f t="shared" si="520"/>
        <v>0</v>
      </c>
      <c r="Q702" s="31">
        <f t="shared" si="519"/>
        <v>0</v>
      </c>
    </row>
    <row r="703" spans="1:17" x14ac:dyDescent="0.2">
      <c r="A703" s="10"/>
      <c r="B703" s="26"/>
      <c r="C703" s="11">
        <v>1994</v>
      </c>
      <c r="D703" s="32">
        <f>SPFI_CLB14!$D$17</f>
        <v>0.59591300000000003</v>
      </c>
      <c r="E703" s="32"/>
      <c r="F703" s="32"/>
      <c r="G703" s="32"/>
      <c r="H703" s="32"/>
      <c r="I703" s="32"/>
      <c r="J703" s="28">
        <f t="shared" si="518"/>
        <v>0</v>
      </c>
      <c r="K703" s="29"/>
      <c r="L703" s="29"/>
      <c r="M703" s="29"/>
      <c r="N703" s="29"/>
      <c r="O703" s="29"/>
      <c r="P703" s="30">
        <f t="shared" si="520"/>
        <v>0</v>
      </c>
      <c r="Q703" s="31">
        <f t="shared" si="519"/>
        <v>0</v>
      </c>
    </row>
    <row r="704" spans="1:17" x14ac:dyDescent="0.2">
      <c r="A704" s="10"/>
      <c r="B704" s="26"/>
      <c r="C704" s="11">
        <v>1995</v>
      </c>
      <c r="D704" s="32">
        <f>SPFI_CLB14!$D$18</f>
        <v>0.25400800000000001</v>
      </c>
      <c r="E704" s="32"/>
      <c r="F704" s="32"/>
      <c r="G704" s="32"/>
      <c r="H704" s="32"/>
      <c r="I704" s="32"/>
      <c r="J704" s="28">
        <f t="shared" ref="J704" si="521">D704*J$22</f>
        <v>0</v>
      </c>
      <c r="K704" s="29"/>
      <c r="L704" s="29"/>
      <c r="M704" s="29"/>
      <c r="N704" s="29"/>
      <c r="O704" s="29"/>
      <c r="P704" s="30">
        <f>SUM(J704:O704)</f>
        <v>0</v>
      </c>
      <c r="Q704" s="31">
        <f t="shared" si="519"/>
        <v>0</v>
      </c>
    </row>
    <row r="705" spans="1:17" x14ac:dyDescent="0.2">
      <c r="A705" s="10"/>
      <c r="B705" s="26"/>
      <c r="C705" s="11">
        <v>1996</v>
      </c>
      <c r="D705" s="32">
        <f>SPFI_CLB14!$D$19</f>
        <v>0</v>
      </c>
      <c r="E705" s="32"/>
      <c r="F705" s="32"/>
      <c r="G705" s="32"/>
      <c r="H705" s="32"/>
      <c r="I705" s="32"/>
      <c r="J705" s="28">
        <f t="shared" ref="J705" si="522">D705*J$22</f>
        <v>0</v>
      </c>
      <c r="K705" s="29"/>
      <c r="L705" s="29"/>
      <c r="M705" s="29"/>
      <c r="N705" s="29"/>
      <c r="O705" s="29"/>
      <c r="P705" s="30">
        <f>SUM(J705:O705)</f>
        <v>0</v>
      </c>
      <c r="Q705" s="31">
        <f t="shared" si="519"/>
        <v>0</v>
      </c>
    </row>
    <row r="706" spans="1:17" x14ac:dyDescent="0.2">
      <c r="A706" s="10"/>
      <c r="B706" s="26"/>
      <c r="C706" s="11">
        <v>1997</v>
      </c>
      <c r="D706" s="32">
        <f>SPFI_CLB14!$D$20</f>
        <v>0.201487</v>
      </c>
      <c r="E706" s="32"/>
      <c r="F706" s="32"/>
      <c r="G706" s="32"/>
      <c r="H706" s="32"/>
      <c r="I706" s="32"/>
      <c r="J706" s="28">
        <f t="shared" ref="J706" si="523">D706*J$22</f>
        <v>0</v>
      </c>
      <c r="K706" s="29"/>
      <c r="L706" s="29"/>
      <c r="M706" s="29"/>
      <c r="N706" s="29"/>
      <c r="O706" s="29"/>
      <c r="P706" s="30">
        <f>SUM(J706:O706)</f>
        <v>0</v>
      </c>
      <c r="Q706" s="31">
        <f t="shared" si="519"/>
        <v>0</v>
      </c>
    </row>
    <row r="707" spans="1:17" x14ac:dyDescent="0.2">
      <c r="A707" s="10"/>
      <c r="B707" s="26"/>
      <c r="C707" s="11">
        <v>1998</v>
      </c>
      <c r="D707" s="32">
        <f>SPFI_CLB14!$D$21</f>
        <v>0.37506400000000001</v>
      </c>
      <c r="E707" s="32"/>
      <c r="F707" s="32"/>
      <c r="G707" s="32"/>
      <c r="H707" s="32"/>
      <c r="I707" s="32"/>
      <c r="J707" s="28">
        <f t="shared" ref="J707" si="524">D707*J$22</f>
        <v>0</v>
      </c>
      <c r="K707" s="29"/>
      <c r="L707" s="29"/>
      <c r="M707" s="29"/>
      <c r="N707" s="29"/>
      <c r="O707" s="29"/>
      <c r="P707" s="30">
        <f>SUM(J707:O707)</f>
        <v>0</v>
      </c>
      <c r="Q707" s="31">
        <f t="shared" si="519"/>
        <v>0</v>
      </c>
    </row>
    <row r="708" spans="1:17" x14ac:dyDescent="0.2">
      <c r="A708" s="10"/>
      <c r="B708" s="26"/>
      <c r="C708" s="11">
        <v>1999</v>
      </c>
      <c r="D708" s="32">
        <f>SPFI_CLB14!$D$22</f>
        <v>0.29823699999999997</v>
      </c>
      <c r="E708" s="32"/>
      <c r="F708" s="32"/>
      <c r="G708" s="32"/>
      <c r="H708" s="32"/>
      <c r="I708" s="32"/>
      <c r="J708" s="28">
        <f t="shared" ref="J708" si="525">D708*J$22</f>
        <v>0</v>
      </c>
      <c r="K708" s="29"/>
      <c r="L708" s="29"/>
      <c r="M708" s="29"/>
      <c r="N708" s="29"/>
      <c r="O708" s="29"/>
      <c r="P708" s="30">
        <f>SUM(J708:O708)</f>
        <v>0</v>
      </c>
      <c r="Q708" s="31">
        <f t="shared" ref="Q708:Q713" si="526">IF(C$22&gt;0,P708/C$22,0)</f>
        <v>0</v>
      </c>
    </row>
    <row r="709" spans="1:17" x14ac:dyDescent="0.2">
      <c r="A709" s="10"/>
      <c r="B709" s="26"/>
      <c r="C709" s="11">
        <v>2000</v>
      </c>
      <c r="D709" s="32">
        <f>SPFI_CLB14!$D$23</f>
        <v>8.4414000000000003E-2</v>
      </c>
      <c r="E709" s="32"/>
      <c r="F709" s="32"/>
      <c r="G709" s="32"/>
      <c r="H709" s="32"/>
      <c r="I709" s="32"/>
      <c r="J709" s="28">
        <f t="shared" ref="J709" si="527">D709*J$22</f>
        <v>0</v>
      </c>
      <c r="K709" s="29"/>
      <c r="L709" s="29"/>
      <c r="M709" s="29"/>
      <c r="N709" s="29"/>
      <c r="O709" s="29"/>
      <c r="P709" s="30">
        <f t="shared" ref="P709:P714" si="528">SUM(J709:O709)</f>
        <v>0</v>
      </c>
      <c r="Q709" s="31">
        <f t="shared" si="526"/>
        <v>0</v>
      </c>
    </row>
    <row r="710" spans="1:17" x14ac:dyDescent="0.2">
      <c r="A710" s="10"/>
      <c r="B710" s="26"/>
      <c r="C710" s="11">
        <v>2001</v>
      </c>
      <c r="D710" s="32">
        <f>SPFI_CLB14!$D$24</f>
        <v>7.8909000000000007E-2</v>
      </c>
      <c r="E710" s="32"/>
      <c r="F710" s="32"/>
      <c r="G710" s="32"/>
      <c r="H710" s="32"/>
      <c r="I710" s="32"/>
      <c r="J710" s="28">
        <f t="shared" ref="J710" si="529">D710*J$22</f>
        <v>0</v>
      </c>
      <c r="K710" s="29"/>
      <c r="L710" s="29"/>
      <c r="M710" s="29"/>
      <c r="N710" s="29"/>
      <c r="O710" s="29"/>
      <c r="P710" s="30">
        <f t="shared" si="528"/>
        <v>0</v>
      </c>
      <c r="Q710" s="31">
        <f t="shared" si="526"/>
        <v>0</v>
      </c>
    </row>
    <row r="711" spans="1:17" x14ac:dyDescent="0.2">
      <c r="A711" s="10"/>
      <c r="B711" s="26"/>
      <c r="C711" s="11">
        <v>2002</v>
      </c>
      <c r="D711" s="32">
        <f>SPFI_CLB14!$D$25</f>
        <v>0.29974699999999999</v>
      </c>
      <c r="E711" s="32"/>
      <c r="F711" s="32"/>
      <c r="G711" s="32"/>
      <c r="H711" s="32"/>
      <c r="I711" s="32"/>
      <c r="J711" s="28">
        <f t="shared" ref="J711" si="530">D711*J$22</f>
        <v>0</v>
      </c>
      <c r="K711" s="29"/>
      <c r="L711" s="29"/>
      <c r="M711" s="29"/>
      <c r="N711" s="29"/>
      <c r="O711" s="29"/>
      <c r="P711" s="30">
        <f t="shared" si="528"/>
        <v>0</v>
      </c>
      <c r="Q711" s="31">
        <f t="shared" si="526"/>
        <v>0</v>
      </c>
    </row>
    <row r="712" spans="1:17" x14ac:dyDescent="0.2">
      <c r="A712" s="10"/>
      <c r="B712" s="26"/>
      <c r="C712" s="11">
        <v>2003</v>
      </c>
      <c r="D712" s="32">
        <f>SPFI_CLB14!$D$26</f>
        <v>0.20691100000000001</v>
      </c>
      <c r="E712" s="32"/>
      <c r="F712" s="32"/>
      <c r="G712" s="32"/>
      <c r="H712" s="32"/>
      <c r="I712" s="32"/>
      <c r="J712" s="28">
        <f t="shared" ref="J712" si="531">D712*J$22</f>
        <v>0</v>
      </c>
      <c r="K712" s="29"/>
      <c r="L712" s="29"/>
      <c r="M712" s="29"/>
      <c r="N712" s="29"/>
      <c r="O712" s="29"/>
      <c r="P712" s="30">
        <f t="shared" si="528"/>
        <v>0</v>
      </c>
      <c r="Q712" s="31">
        <f t="shared" si="526"/>
        <v>0</v>
      </c>
    </row>
    <row r="713" spans="1:17" x14ac:dyDescent="0.2">
      <c r="A713" s="10"/>
      <c r="B713" s="26"/>
      <c r="C713" s="11">
        <v>2004</v>
      </c>
      <c r="D713" s="32">
        <f>SPFI_CLB14!$D$27</f>
        <v>0.269237</v>
      </c>
      <c r="E713" s="32"/>
      <c r="F713" s="32"/>
      <c r="G713" s="32"/>
      <c r="H713" s="32"/>
      <c r="I713" s="32"/>
      <c r="J713" s="28">
        <f t="shared" ref="J713" si="532">D713*J$22</f>
        <v>0</v>
      </c>
      <c r="K713" s="29"/>
      <c r="L713" s="29"/>
      <c r="M713" s="29"/>
      <c r="N713" s="29"/>
      <c r="O713" s="29"/>
      <c r="P713" s="30">
        <f t="shared" si="528"/>
        <v>0</v>
      </c>
      <c r="Q713" s="31">
        <f t="shared" si="526"/>
        <v>0</v>
      </c>
    </row>
    <row r="714" spans="1:17" x14ac:dyDescent="0.2">
      <c r="A714" s="10"/>
      <c r="B714" s="26"/>
      <c r="C714" s="11">
        <v>2005</v>
      </c>
      <c r="D714" s="32">
        <f>SPFI_CLB14!$D$28</f>
        <v>0.37848700000000002</v>
      </c>
      <c r="E714" s="32"/>
      <c r="F714" s="32"/>
      <c r="G714" s="32"/>
      <c r="H714" s="32"/>
      <c r="I714" s="32"/>
      <c r="J714" s="28">
        <f t="shared" ref="J714" si="533">D714*J$22</f>
        <v>0</v>
      </c>
      <c r="K714" s="29"/>
      <c r="L714" s="29"/>
      <c r="M714" s="29"/>
      <c r="N714" s="29"/>
      <c r="O714" s="29"/>
      <c r="P714" s="30">
        <f t="shared" si="528"/>
        <v>0</v>
      </c>
      <c r="Q714" s="31">
        <f t="shared" ref="Q714:Q719" si="534">IF(C$22&gt;0,P714/C$22,0)</f>
        <v>0</v>
      </c>
    </row>
    <row r="715" spans="1:17" x14ac:dyDescent="0.2">
      <c r="A715" s="10"/>
      <c r="B715" s="26"/>
      <c r="C715" s="11">
        <v>2006</v>
      </c>
      <c r="D715" s="32">
        <f>SPFI_CLB14!$D$29</f>
        <v>0.381023</v>
      </c>
      <c r="E715" s="32"/>
      <c r="F715" s="32"/>
      <c r="G715" s="32"/>
      <c r="H715" s="32"/>
      <c r="I715" s="32"/>
      <c r="J715" s="28">
        <f t="shared" ref="J715" si="535">D715*J$22</f>
        <v>0</v>
      </c>
      <c r="K715" s="29"/>
      <c r="L715" s="29"/>
      <c r="M715" s="29"/>
      <c r="N715" s="29"/>
      <c r="O715" s="29"/>
      <c r="P715" s="30">
        <f t="shared" ref="P715:P722" si="536">SUM(J715:O715)</f>
        <v>0</v>
      </c>
      <c r="Q715" s="31">
        <f t="shared" si="534"/>
        <v>0</v>
      </c>
    </row>
    <row r="716" spans="1:17" x14ac:dyDescent="0.2">
      <c r="A716" s="10"/>
      <c r="B716" s="26"/>
      <c r="C716" s="11">
        <v>2007</v>
      </c>
      <c r="D716" s="32">
        <f>SPFI_CLB14!$D$30</f>
        <v>0.356512</v>
      </c>
      <c r="E716" s="32"/>
      <c r="F716" s="32"/>
      <c r="G716" s="32"/>
      <c r="H716" s="32"/>
      <c r="I716" s="32"/>
      <c r="J716" s="28">
        <f t="shared" ref="J716" si="537">D716*J$22</f>
        <v>0</v>
      </c>
      <c r="K716" s="29"/>
      <c r="L716" s="29"/>
      <c r="M716" s="29"/>
      <c r="N716" s="29"/>
      <c r="O716" s="29"/>
      <c r="P716" s="30">
        <f t="shared" si="536"/>
        <v>0</v>
      </c>
      <c r="Q716" s="31">
        <f t="shared" si="534"/>
        <v>0</v>
      </c>
    </row>
    <row r="717" spans="1:17" x14ac:dyDescent="0.2">
      <c r="A717" s="10"/>
      <c r="B717" s="26"/>
      <c r="C717" s="11">
        <v>2008</v>
      </c>
      <c r="D717" s="32">
        <f>SPFI_CLB14!$D$31</f>
        <v>0.25494499999999998</v>
      </c>
      <c r="E717" s="32"/>
      <c r="F717" s="32"/>
      <c r="G717" s="32"/>
      <c r="H717" s="32"/>
      <c r="I717" s="32"/>
      <c r="J717" s="28">
        <f t="shared" ref="J717" si="538">D717*J$22</f>
        <v>0</v>
      </c>
      <c r="K717" s="29"/>
      <c r="L717" s="29"/>
      <c r="M717" s="29"/>
      <c r="N717" s="29"/>
      <c r="O717" s="29"/>
      <c r="P717" s="30">
        <f t="shared" si="536"/>
        <v>0</v>
      </c>
      <c r="Q717" s="31">
        <f t="shared" si="534"/>
        <v>0</v>
      </c>
    </row>
    <row r="718" spans="1:17" x14ac:dyDescent="0.2">
      <c r="A718" s="10"/>
      <c r="B718" s="26"/>
      <c r="C718" s="11">
        <v>2009</v>
      </c>
      <c r="D718" s="32">
        <f>SPFI_CLB14!$D$32</f>
        <v>0.52383000000000002</v>
      </c>
      <c r="E718" s="32"/>
      <c r="F718" s="32"/>
      <c r="G718" s="32"/>
      <c r="H718" s="32"/>
      <c r="I718" s="32"/>
      <c r="J718" s="28">
        <f t="shared" ref="J718" si="539">D718*J$22</f>
        <v>0</v>
      </c>
      <c r="K718" s="29"/>
      <c r="L718" s="29"/>
      <c r="M718" s="29"/>
      <c r="N718" s="29"/>
      <c r="O718" s="29"/>
      <c r="P718" s="30">
        <f t="shared" si="536"/>
        <v>0</v>
      </c>
      <c r="Q718" s="31">
        <f t="shared" si="534"/>
        <v>0</v>
      </c>
    </row>
    <row r="719" spans="1:17" x14ac:dyDescent="0.2">
      <c r="A719" s="10"/>
      <c r="B719" s="26"/>
      <c r="C719" s="11">
        <v>2010</v>
      </c>
      <c r="D719" s="32">
        <f>SPFI_CLB14!$D$33</f>
        <v>0.31394</v>
      </c>
      <c r="E719" s="32"/>
      <c r="F719" s="32"/>
      <c r="G719" s="32"/>
      <c r="H719" s="32"/>
      <c r="I719" s="32"/>
      <c r="J719" s="28">
        <f t="shared" ref="J719" si="540">D719*J$22</f>
        <v>0</v>
      </c>
      <c r="K719" s="29"/>
      <c r="L719" s="29"/>
      <c r="M719" s="29"/>
      <c r="N719" s="29"/>
      <c r="O719" s="29"/>
      <c r="P719" s="30">
        <f t="shared" si="536"/>
        <v>0</v>
      </c>
      <c r="Q719" s="31">
        <f t="shared" si="534"/>
        <v>0</v>
      </c>
    </row>
    <row r="720" spans="1:17" x14ac:dyDescent="0.2">
      <c r="A720" s="10"/>
      <c r="B720" s="26"/>
      <c r="C720" s="11">
        <v>2011</v>
      </c>
      <c r="D720" s="32">
        <f>SPFI_CLB14!$D$34</f>
        <v>0.294348</v>
      </c>
      <c r="E720" s="32"/>
      <c r="F720" s="32"/>
      <c r="G720" s="32"/>
      <c r="H720" s="32"/>
      <c r="I720" s="32"/>
      <c r="J720" s="28">
        <f t="shared" ref="J720" si="541">D720*J$22</f>
        <v>0</v>
      </c>
      <c r="K720" s="29"/>
      <c r="L720" s="29"/>
      <c r="M720" s="29"/>
      <c r="N720" s="29"/>
      <c r="O720" s="29"/>
      <c r="P720" s="30">
        <f t="shared" ref="P720" si="542">SUM(J720:O720)</f>
        <v>0</v>
      </c>
      <c r="Q720" s="31">
        <f t="shared" ref="Q720" si="543">IF(C$22&gt;0,P720/C$22,0)</f>
        <v>0</v>
      </c>
    </row>
    <row r="721" spans="1:17" x14ac:dyDescent="0.2">
      <c r="A721" s="10"/>
      <c r="B721" s="26"/>
      <c r="C721" s="11">
        <v>2012</v>
      </c>
      <c r="D721" s="32">
        <f>SPFI_CLB14!$D$35</f>
        <v>0.34784100000000001</v>
      </c>
      <c r="E721" s="32"/>
      <c r="F721" s="32"/>
      <c r="G721" s="32"/>
      <c r="H721" s="32"/>
      <c r="I721" s="32"/>
      <c r="J721" s="28">
        <f t="shared" ref="J721" si="544">D721*J$22</f>
        <v>0</v>
      </c>
      <c r="K721" s="29"/>
      <c r="L721" s="29"/>
      <c r="M721" s="29"/>
      <c r="N721" s="29"/>
      <c r="O721" s="29"/>
      <c r="P721" s="30">
        <f t="shared" ref="P721" si="545">SUM(J721:O721)</f>
        <v>0</v>
      </c>
      <c r="Q721" s="31">
        <f t="shared" ref="Q721" si="546">IF(C$22&gt;0,P721/C$22,0)</f>
        <v>0</v>
      </c>
    </row>
    <row r="722" spans="1:17" x14ac:dyDescent="0.2">
      <c r="A722" s="5" t="s">
        <v>10</v>
      </c>
      <c r="B722" s="21">
        <v>5</v>
      </c>
      <c r="C722" s="6">
        <v>1982</v>
      </c>
      <c r="D722" s="27">
        <f>SPFI_CLB14!$D$5</f>
        <v>0.98153299999999999</v>
      </c>
      <c r="E722" s="27"/>
      <c r="F722" s="27"/>
      <c r="G722" s="27"/>
      <c r="H722" s="27"/>
      <c r="I722" s="27"/>
      <c r="J722" s="33">
        <f t="shared" ref="J722:J734" si="547">D722*J$23</f>
        <v>0</v>
      </c>
      <c r="K722" s="27"/>
      <c r="L722" s="27"/>
      <c r="M722" s="27"/>
      <c r="N722" s="27"/>
      <c r="O722" s="27"/>
      <c r="P722" s="34">
        <f t="shared" si="536"/>
        <v>0</v>
      </c>
      <c r="Q722" s="35">
        <f t="shared" ref="Q722:Q738" si="548">IF(C$23&gt;0,P722/C$23,0)</f>
        <v>0</v>
      </c>
    </row>
    <row r="723" spans="1:17" x14ac:dyDescent="0.2">
      <c r="A723" s="10"/>
      <c r="B723" s="26"/>
      <c r="C723" s="11">
        <v>1983</v>
      </c>
      <c r="D723" s="32">
        <f>SPFI_CLB14!$D$6</f>
        <v>0.93659899999999996</v>
      </c>
      <c r="E723" s="32"/>
      <c r="F723" s="32"/>
      <c r="G723" s="32"/>
      <c r="H723" s="32"/>
      <c r="I723" s="32"/>
      <c r="J723" s="28">
        <f t="shared" si="547"/>
        <v>0</v>
      </c>
      <c r="K723" s="29"/>
      <c r="L723" s="29"/>
      <c r="M723" s="29"/>
      <c r="N723" s="29"/>
      <c r="O723" s="29"/>
      <c r="P723" s="30">
        <f t="shared" ref="P723:P734" si="549">SUM(J723:O723)</f>
        <v>0</v>
      </c>
      <c r="Q723" s="31">
        <f t="shared" si="548"/>
        <v>0</v>
      </c>
    </row>
    <row r="724" spans="1:17" x14ac:dyDescent="0.2">
      <c r="A724" s="10"/>
      <c r="B724" s="26"/>
      <c r="C724" s="11">
        <v>1984</v>
      </c>
      <c r="D724" s="32">
        <f>SPFI_CLB14!$D$7</f>
        <v>0.92793599999999998</v>
      </c>
      <c r="E724" s="32"/>
      <c r="F724" s="32"/>
      <c r="G724" s="32"/>
      <c r="H724" s="32"/>
      <c r="I724" s="32"/>
      <c r="J724" s="28">
        <f t="shared" si="547"/>
        <v>0</v>
      </c>
      <c r="K724" s="29"/>
      <c r="L724" s="29"/>
      <c r="M724" s="29"/>
      <c r="N724" s="29"/>
      <c r="O724" s="29"/>
      <c r="P724" s="30">
        <f t="shared" si="549"/>
        <v>0</v>
      </c>
      <c r="Q724" s="31">
        <f t="shared" si="548"/>
        <v>0</v>
      </c>
    </row>
    <row r="725" spans="1:17" x14ac:dyDescent="0.2">
      <c r="A725" s="10"/>
      <c r="B725" s="26"/>
      <c r="C725" s="11">
        <v>1985</v>
      </c>
      <c r="D725" s="32">
        <f>SPFI_CLB14!$D$8</f>
        <v>0.90386500000000003</v>
      </c>
      <c r="E725" s="32"/>
      <c r="F725" s="32"/>
      <c r="G725" s="32"/>
      <c r="H725" s="32"/>
      <c r="I725" s="32"/>
      <c r="J725" s="28">
        <f t="shared" si="547"/>
        <v>0</v>
      </c>
      <c r="K725" s="29"/>
      <c r="L725" s="29"/>
      <c r="M725" s="29"/>
      <c r="N725" s="29"/>
      <c r="O725" s="29"/>
      <c r="P725" s="30">
        <f t="shared" si="549"/>
        <v>0</v>
      </c>
      <c r="Q725" s="31">
        <f t="shared" si="548"/>
        <v>0</v>
      </c>
    </row>
    <row r="726" spans="1:17" x14ac:dyDescent="0.2">
      <c r="A726" s="10"/>
      <c r="B726" s="26"/>
      <c r="C726" s="11">
        <v>1986</v>
      </c>
      <c r="D726" s="32">
        <f>SPFI_CLB14!$D$9</f>
        <v>0.73087500000000005</v>
      </c>
      <c r="E726" s="32"/>
      <c r="F726" s="32"/>
      <c r="G726" s="32"/>
      <c r="H726" s="32"/>
      <c r="I726" s="32"/>
      <c r="J726" s="28">
        <f t="shared" si="547"/>
        <v>0</v>
      </c>
      <c r="K726" s="29"/>
      <c r="L726" s="29"/>
      <c r="M726" s="29"/>
      <c r="N726" s="29"/>
      <c r="O726" s="29"/>
      <c r="P726" s="30">
        <f t="shared" si="549"/>
        <v>0</v>
      </c>
      <c r="Q726" s="31">
        <f t="shared" si="548"/>
        <v>0</v>
      </c>
    </row>
    <row r="727" spans="1:17" x14ac:dyDescent="0.2">
      <c r="A727" s="10"/>
      <c r="B727" s="26"/>
      <c r="C727" s="11">
        <v>1987</v>
      </c>
      <c r="D727" s="32">
        <f>SPFI_CLB14!$D$10</f>
        <v>0.71733499999999994</v>
      </c>
      <c r="E727" s="32"/>
      <c r="F727" s="32"/>
      <c r="G727" s="32"/>
      <c r="H727" s="32"/>
      <c r="I727" s="32"/>
      <c r="J727" s="28">
        <f t="shared" si="547"/>
        <v>0</v>
      </c>
      <c r="K727" s="29"/>
      <c r="L727" s="29"/>
      <c r="M727" s="29"/>
      <c r="N727" s="29"/>
      <c r="O727" s="29"/>
      <c r="P727" s="30">
        <f t="shared" si="549"/>
        <v>0</v>
      </c>
      <c r="Q727" s="31">
        <f t="shared" si="548"/>
        <v>0</v>
      </c>
    </row>
    <row r="728" spans="1:17" x14ac:dyDescent="0.2">
      <c r="A728" s="10"/>
      <c r="B728" s="26"/>
      <c r="C728" s="11">
        <v>1988</v>
      </c>
      <c r="D728" s="32">
        <f>SPFI_CLB14!$D$11</f>
        <v>0.64558800000000005</v>
      </c>
      <c r="E728" s="32"/>
      <c r="F728" s="32"/>
      <c r="G728" s="32"/>
      <c r="H728" s="32"/>
      <c r="I728" s="32"/>
      <c r="J728" s="28">
        <f t="shared" si="547"/>
        <v>0</v>
      </c>
      <c r="K728" s="29"/>
      <c r="L728" s="29"/>
      <c r="M728" s="29"/>
      <c r="N728" s="29"/>
      <c r="O728" s="29"/>
      <c r="P728" s="30">
        <f t="shared" si="549"/>
        <v>0</v>
      </c>
      <c r="Q728" s="31">
        <f t="shared" si="548"/>
        <v>0</v>
      </c>
    </row>
    <row r="729" spans="1:17" x14ac:dyDescent="0.2">
      <c r="A729" s="10"/>
      <c r="B729" s="26"/>
      <c r="C729" s="11">
        <v>1989</v>
      </c>
      <c r="D729" s="32">
        <f>SPFI_CLB14!$D$12</f>
        <v>0.65287700000000004</v>
      </c>
      <c r="E729" s="32"/>
      <c r="F729" s="32"/>
      <c r="G729" s="32"/>
      <c r="H729" s="32"/>
      <c r="I729" s="32"/>
      <c r="J729" s="28">
        <f t="shared" si="547"/>
        <v>0</v>
      </c>
      <c r="K729" s="29"/>
      <c r="L729" s="29"/>
      <c r="M729" s="29"/>
      <c r="N729" s="29"/>
      <c r="O729" s="29"/>
      <c r="P729" s="30">
        <f t="shared" si="549"/>
        <v>0</v>
      </c>
      <c r="Q729" s="31">
        <f t="shared" si="548"/>
        <v>0</v>
      </c>
    </row>
    <row r="730" spans="1:17" x14ac:dyDescent="0.2">
      <c r="A730" s="10"/>
      <c r="B730" s="26"/>
      <c r="C730" s="11">
        <v>1990</v>
      </c>
      <c r="D730" s="32">
        <f>SPFI_CLB14!$D$13</f>
        <v>0.56965100000000002</v>
      </c>
      <c r="E730" s="32"/>
      <c r="F730" s="32"/>
      <c r="G730" s="32"/>
      <c r="H730" s="32"/>
      <c r="I730" s="32"/>
      <c r="J730" s="28">
        <f t="shared" si="547"/>
        <v>0</v>
      </c>
      <c r="K730" s="29"/>
      <c r="L730" s="29"/>
      <c r="M730" s="29"/>
      <c r="N730" s="29"/>
      <c r="O730" s="29"/>
      <c r="P730" s="30">
        <f t="shared" si="549"/>
        <v>0</v>
      </c>
      <c r="Q730" s="31">
        <f t="shared" si="548"/>
        <v>0</v>
      </c>
    </row>
    <row r="731" spans="1:17" x14ac:dyDescent="0.2">
      <c r="A731" s="10"/>
      <c r="B731" s="26"/>
      <c r="C731" s="11">
        <v>1991</v>
      </c>
      <c r="D731" s="32">
        <f>SPFI_CLB14!$D$14</f>
        <v>0.62776900000000002</v>
      </c>
      <c r="E731" s="32"/>
      <c r="F731" s="32"/>
      <c r="G731" s="32"/>
      <c r="H731" s="32"/>
      <c r="I731" s="32"/>
      <c r="J731" s="28">
        <f t="shared" si="547"/>
        <v>0</v>
      </c>
      <c r="K731" s="29"/>
      <c r="L731" s="29"/>
      <c r="M731" s="29"/>
      <c r="N731" s="29"/>
      <c r="O731" s="29"/>
      <c r="P731" s="30">
        <f t="shared" si="549"/>
        <v>0</v>
      </c>
      <c r="Q731" s="31">
        <f t="shared" si="548"/>
        <v>0</v>
      </c>
    </row>
    <row r="732" spans="1:17" x14ac:dyDescent="0.2">
      <c r="A732" s="10"/>
      <c r="B732" s="26"/>
      <c r="C732" s="11">
        <v>1992</v>
      </c>
      <c r="D732" s="32">
        <f>SPFI_CLB14!$D$15</f>
        <v>0.43504100000000001</v>
      </c>
      <c r="E732" s="32"/>
      <c r="F732" s="32"/>
      <c r="G732" s="32"/>
      <c r="H732" s="32"/>
      <c r="I732" s="32"/>
      <c r="J732" s="28">
        <f t="shared" si="547"/>
        <v>0</v>
      </c>
      <c r="K732" s="29"/>
      <c r="L732" s="29"/>
      <c r="M732" s="29"/>
      <c r="N732" s="29"/>
      <c r="O732" s="29"/>
      <c r="P732" s="30">
        <f t="shared" si="549"/>
        <v>0</v>
      </c>
      <c r="Q732" s="31">
        <f t="shared" si="548"/>
        <v>0</v>
      </c>
    </row>
    <row r="733" spans="1:17" x14ac:dyDescent="0.2">
      <c r="A733" s="10"/>
      <c r="B733" s="26"/>
      <c r="C733" s="11">
        <v>1993</v>
      </c>
      <c r="D733" s="32">
        <f>SPFI_CLB14!$D$16</f>
        <v>0.499164</v>
      </c>
      <c r="E733" s="32"/>
      <c r="F733" s="32"/>
      <c r="G733" s="32"/>
      <c r="H733" s="32"/>
      <c r="I733" s="32"/>
      <c r="J733" s="28">
        <f t="shared" si="547"/>
        <v>0</v>
      </c>
      <c r="K733" s="29"/>
      <c r="L733" s="29"/>
      <c r="M733" s="29"/>
      <c r="N733" s="29"/>
      <c r="O733" s="29"/>
      <c r="P733" s="30">
        <f t="shared" si="549"/>
        <v>0</v>
      </c>
      <c r="Q733" s="31">
        <f t="shared" si="548"/>
        <v>0</v>
      </c>
    </row>
    <row r="734" spans="1:17" x14ac:dyDescent="0.2">
      <c r="A734" s="10"/>
      <c r="B734" s="26"/>
      <c r="C734" s="11">
        <v>1994</v>
      </c>
      <c r="D734" s="32">
        <f>SPFI_CLB14!$D$17</f>
        <v>0.59591300000000003</v>
      </c>
      <c r="E734" s="32"/>
      <c r="F734" s="32"/>
      <c r="G734" s="32"/>
      <c r="H734" s="32"/>
      <c r="I734" s="32"/>
      <c r="J734" s="28">
        <f t="shared" si="547"/>
        <v>0</v>
      </c>
      <c r="K734" s="29"/>
      <c r="L734" s="29"/>
      <c r="M734" s="29"/>
      <c r="N734" s="29"/>
      <c r="O734" s="29"/>
      <c r="P734" s="30">
        <f t="shared" si="549"/>
        <v>0</v>
      </c>
      <c r="Q734" s="31">
        <f t="shared" si="548"/>
        <v>0</v>
      </c>
    </row>
    <row r="735" spans="1:17" x14ac:dyDescent="0.2">
      <c r="A735" s="10"/>
      <c r="B735" s="26"/>
      <c r="C735" s="11">
        <v>1995</v>
      </c>
      <c r="D735" s="32">
        <f>SPFI_CLB14!$D$18</f>
        <v>0.25400800000000001</v>
      </c>
      <c r="E735" s="32"/>
      <c r="F735" s="32"/>
      <c r="G735" s="32"/>
      <c r="H735" s="32"/>
      <c r="I735" s="32"/>
      <c r="J735" s="28">
        <f t="shared" ref="J735" si="550">D735*J$23</f>
        <v>0</v>
      </c>
      <c r="K735" s="29"/>
      <c r="L735" s="29"/>
      <c r="M735" s="29"/>
      <c r="N735" s="29"/>
      <c r="O735" s="29"/>
      <c r="P735" s="30">
        <f>SUM(J735:O735)</f>
        <v>0</v>
      </c>
      <c r="Q735" s="31">
        <f t="shared" si="548"/>
        <v>0</v>
      </c>
    </row>
    <row r="736" spans="1:17" x14ac:dyDescent="0.2">
      <c r="A736" s="10"/>
      <c r="B736" s="26"/>
      <c r="C736" s="11">
        <v>1996</v>
      </c>
      <c r="D736" s="32">
        <f>SPFI_CLB14!$D$19</f>
        <v>0</v>
      </c>
      <c r="E736" s="32"/>
      <c r="F736" s="32"/>
      <c r="G736" s="32"/>
      <c r="H736" s="32"/>
      <c r="I736" s="32"/>
      <c r="J736" s="28">
        <f t="shared" ref="J736" si="551">D736*J$23</f>
        <v>0</v>
      </c>
      <c r="K736" s="29"/>
      <c r="L736" s="29"/>
      <c r="M736" s="29"/>
      <c r="N736" s="29"/>
      <c r="O736" s="29"/>
      <c r="P736" s="30">
        <f>SUM(J736:O736)</f>
        <v>0</v>
      </c>
      <c r="Q736" s="31">
        <f t="shared" si="548"/>
        <v>0</v>
      </c>
    </row>
    <row r="737" spans="1:17" x14ac:dyDescent="0.2">
      <c r="A737" s="10"/>
      <c r="B737" s="26"/>
      <c r="C737" s="11">
        <v>1997</v>
      </c>
      <c r="D737" s="32">
        <f>SPFI_CLB14!$D$20</f>
        <v>0.201487</v>
      </c>
      <c r="E737" s="32"/>
      <c r="F737" s="32"/>
      <c r="G737" s="32"/>
      <c r="H737" s="32"/>
      <c r="I737" s="32"/>
      <c r="J737" s="28">
        <f t="shared" ref="J737" si="552">D737*J$23</f>
        <v>0</v>
      </c>
      <c r="K737" s="29"/>
      <c r="L737" s="29"/>
      <c r="M737" s="29"/>
      <c r="N737" s="29"/>
      <c r="O737" s="29"/>
      <c r="P737" s="30">
        <f>SUM(J737:O737)</f>
        <v>0</v>
      </c>
      <c r="Q737" s="31">
        <f t="shared" si="548"/>
        <v>0</v>
      </c>
    </row>
    <row r="738" spans="1:17" x14ac:dyDescent="0.2">
      <c r="A738" s="10"/>
      <c r="B738" s="26"/>
      <c r="C738" s="11">
        <v>1998</v>
      </c>
      <c r="D738" s="32">
        <f>SPFI_CLB14!$D$21</f>
        <v>0.37506400000000001</v>
      </c>
      <c r="E738" s="32"/>
      <c r="F738" s="32"/>
      <c r="G738" s="32"/>
      <c r="H738" s="32"/>
      <c r="I738" s="32"/>
      <c r="J738" s="28">
        <f t="shared" ref="J738" si="553">D738*J$23</f>
        <v>0</v>
      </c>
      <c r="K738" s="29"/>
      <c r="L738" s="29"/>
      <c r="M738" s="29"/>
      <c r="N738" s="29"/>
      <c r="O738" s="29"/>
      <c r="P738" s="30">
        <f>SUM(J738:O738)</f>
        <v>0</v>
      </c>
      <c r="Q738" s="31">
        <f t="shared" si="548"/>
        <v>0</v>
      </c>
    </row>
    <row r="739" spans="1:17" x14ac:dyDescent="0.2">
      <c r="A739" s="10"/>
      <c r="B739" s="26"/>
      <c r="C739" s="11">
        <v>1999</v>
      </c>
      <c r="D739" s="32">
        <f>SPFI_CLB14!$D$22</f>
        <v>0.29823699999999997</v>
      </c>
      <c r="E739" s="32"/>
      <c r="F739" s="32"/>
      <c r="G739" s="32"/>
      <c r="H739" s="32"/>
      <c r="I739" s="32"/>
      <c r="J739" s="28">
        <f t="shared" ref="J739" si="554">D739*J$23</f>
        <v>0</v>
      </c>
      <c r="K739" s="29"/>
      <c r="L739" s="29"/>
      <c r="M739" s="29"/>
      <c r="N739" s="29"/>
      <c r="O739" s="29"/>
      <c r="P739" s="30">
        <f>SUM(J739:O739)</f>
        <v>0</v>
      </c>
      <c r="Q739" s="31">
        <f t="shared" ref="Q739:Q744" si="555">IF(C$23&gt;0,P739/C$23,0)</f>
        <v>0</v>
      </c>
    </row>
    <row r="740" spans="1:17" x14ac:dyDescent="0.2">
      <c r="A740" s="10"/>
      <c r="B740" s="26"/>
      <c r="C740" s="11">
        <v>2000</v>
      </c>
      <c r="D740" s="32">
        <f>SPFI_CLB14!$D$23</f>
        <v>8.4414000000000003E-2</v>
      </c>
      <c r="E740" s="32"/>
      <c r="F740" s="32"/>
      <c r="G740" s="32"/>
      <c r="H740" s="32"/>
      <c r="I740" s="32"/>
      <c r="J740" s="28">
        <f t="shared" ref="J740" si="556">D740*J$23</f>
        <v>0</v>
      </c>
      <c r="K740" s="29"/>
      <c r="L740" s="29"/>
      <c r="M740" s="29"/>
      <c r="N740" s="29"/>
      <c r="O740" s="29"/>
      <c r="P740" s="30">
        <f t="shared" ref="P740:P745" si="557">SUM(J740:O740)</f>
        <v>0</v>
      </c>
      <c r="Q740" s="31">
        <f t="shared" si="555"/>
        <v>0</v>
      </c>
    </row>
    <row r="741" spans="1:17" x14ac:dyDescent="0.2">
      <c r="A741" s="10"/>
      <c r="B741" s="26"/>
      <c r="C741" s="11">
        <v>2001</v>
      </c>
      <c r="D741" s="32">
        <f>SPFI_CLB14!$D$24</f>
        <v>7.8909000000000007E-2</v>
      </c>
      <c r="E741" s="32"/>
      <c r="F741" s="32"/>
      <c r="G741" s="32"/>
      <c r="H741" s="32"/>
      <c r="I741" s="32"/>
      <c r="J741" s="28">
        <f t="shared" ref="J741" si="558">D741*J$23</f>
        <v>0</v>
      </c>
      <c r="K741" s="29"/>
      <c r="L741" s="29"/>
      <c r="M741" s="29"/>
      <c r="N741" s="29"/>
      <c r="O741" s="29"/>
      <c r="P741" s="30">
        <f t="shared" si="557"/>
        <v>0</v>
      </c>
      <c r="Q741" s="31">
        <f t="shared" si="555"/>
        <v>0</v>
      </c>
    </row>
    <row r="742" spans="1:17" x14ac:dyDescent="0.2">
      <c r="A742" s="10"/>
      <c r="B742" s="26"/>
      <c r="C742" s="11">
        <v>2002</v>
      </c>
      <c r="D742" s="32">
        <f>SPFI_CLB14!$D$25</f>
        <v>0.29974699999999999</v>
      </c>
      <c r="E742" s="32"/>
      <c r="F742" s="32"/>
      <c r="G742" s="32"/>
      <c r="H742" s="32"/>
      <c r="I742" s="32"/>
      <c r="J742" s="28">
        <f t="shared" ref="J742" si="559">D742*J$23</f>
        <v>0</v>
      </c>
      <c r="K742" s="29"/>
      <c r="L742" s="29"/>
      <c r="M742" s="29"/>
      <c r="N742" s="29"/>
      <c r="O742" s="29"/>
      <c r="P742" s="30">
        <f t="shared" si="557"/>
        <v>0</v>
      </c>
      <c r="Q742" s="31">
        <f t="shared" si="555"/>
        <v>0</v>
      </c>
    </row>
    <row r="743" spans="1:17" x14ac:dyDescent="0.2">
      <c r="A743" s="10"/>
      <c r="B743" s="26"/>
      <c r="C743" s="11">
        <v>2003</v>
      </c>
      <c r="D743" s="32">
        <f>SPFI_CLB14!$D$26</f>
        <v>0.20691100000000001</v>
      </c>
      <c r="E743" s="32"/>
      <c r="F743" s="32"/>
      <c r="G743" s="32"/>
      <c r="H743" s="32"/>
      <c r="I743" s="32"/>
      <c r="J743" s="28">
        <f t="shared" ref="J743" si="560">D743*J$23</f>
        <v>0</v>
      </c>
      <c r="K743" s="29"/>
      <c r="L743" s="29"/>
      <c r="M743" s="29"/>
      <c r="N743" s="29"/>
      <c r="O743" s="29"/>
      <c r="P743" s="30">
        <f t="shared" si="557"/>
        <v>0</v>
      </c>
      <c r="Q743" s="31">
        <f t="shared" si="555"/>
        <v>0</v>
      </c>
    </row>
    <row r="744" spans="1:17" x14ac:dyDescent="0.2">
      <c r="A744" s="10"/>
      <c r="B744" s="26"/>
      <c r="C744" s="11">
        <v>2004</v>
      </c>
      <c r="D744" s="32">
        <f>SPFI_CLB14!$D$27</f>
        <v>0.269237</v>
      </c>
      <c r="E744" s="32"/>
      <c r="F744" s="32"/>
      <c r="G744" s="32"/>
      <c r="H744" s="32"/>
      <c r="I744" s="32"/>
      <c r="J744" s="28">
        <f t="shared" ref="J744" si="561">D744*J$23</f>
        <v>0</v>
      </c>
      <c r="K744" s="29"/>
      <c r="L744" s="29"/>
      <c r="M744" s="29"/>
      <c r="N744" s="29"/>
      <c r="O744" s="29"/>
      <c r="P744" s="30">
        <f t="shared" si="557"/>
        <v>0</v>
      </c>
      <c r="Q744" s="31">
        <f t="shared" si="555"/>
        <v>0</v>
      </c>
    </row>
    <row r="745" spans="1:17" x14ac:dyDescent="0.2">
      <c r="A745" s="10"/>
      <c r="B745" s="26"/>
      <c r="C745" s="11">
        <v>2005</v>
      </c>
      <c r="D745" s="32">
        <f>SPFI_CLB14!$D$28</f>
        <v>0.37848700000000002</v>
      </c>
      <c r="E745" s="32"/>
      <c r="F745" s="32"/>
      <c r="G745" s="32"/>
      <c r="H745" s="32"/>
      <c r="I745" s="32"/>
      <c r="J745" s="28">
        <f t="shared" ref="J745" si="562">D745*J$23</f>
        <v>0</v>
      </c>
      <c r="K745" s="29"/>
      <c r="L745" s="29"/>
      <c r="M745" s="29"/>
      <c r="N745" s="29"/>
      <c r="O745" s="29"/>
      <c r="P745" s="30">
        <f t="shared" si="557"/>
        <v>0</v>
      </c>
      <c r="Q745" s="31">
        <f t="shared" ref="Q745:Q750" si="563">IF(C$23&gt;0,P745/C$23,0)</f>
        <v>0</v>
      </c>
    </row>
    <row r="746" spans="1:17" x14ac:dyDescent="0.2">
      <c r="A746" s="10"/>
      <c r="B746" s="26"/>
      <c r="C746" s="11">
        <v>2006</v>
      </c>
      <c r="D746" s="32">
        <f>SPFI_CLB14!$D$29</f>
        <v>0.381023</v>
      </c>
      <c r="E746" s="32"/>
      <c r="F746" s="32"/>
      <c r="G746" s="32"/>
      <c r="H746" s="32"/>
      <c r="I746" s="32"/>
      <c r="J746" s="28">
        <f t="shared" ref="J746" si="564">D746*J$23</f>
        <v>0</v>
      </c>
      <c r="K746" s="29"/>
      <c r="L746" s="29"/>
      <c r="M746" s="29"/>
      <c r="N746" s="29"/>
      <c r="O746" s="29"/>
      <c r="P746" s="30">
        <f t="shared" ref="P746:P753" si="565">SUM(J746:O746)</f>
        <v>0</v>
      </c>
      <c r="Q746" s="31">
        <f t="shared" si="563"/>
        <v>0</v>
      </c>
    </row>
    <row r="747" spans="1:17" x14ac:dyDescent="0.2">
      <c r="A747" s="10"/>
      <c r="B747" s="26"/>
      <c r="C747" s="11">
        <v>2007</v>
      </c>
      <c r="D747" s="32">
        <f>SPFI_CLB14!$D$30</f>
        <v>0.356512</v>
      </c>
      <c r="E747" s="32"/>
      <c r="F747" s="32"/>
      <c r="G747" s="32"/>
      <c r="H747" s="32"/>
      <c r="I747" s="32"/>
      <c r="J747" s="28">
        <f t="shared" ref="J747" si="566">D747*J$23</f>
        <v>0</v>
      </c>
      <c r="K747" s="29"/>
      <c r="L747" s="29"/>
      <c r="M747" s="29"/>
      <c r="N747" s="29"/>
      <c r="O747" s="29"/>
      <c r="P747" s="30">
        <f t="shared" si="565"/>
        <v>0</v>
      </c>
      <c r="Q747" s="31">
        <f t="shared" si="563"/>
        <v>0</v>
      </c>
    </row>
    <row r="748" spans="1:17" x14ac:dyDescent="0.2">
      <c r="A748" s="10"/>
      <c r="B748" s="26"/>
      <c r="C748" s="11">
        <v>2008</v>
      </c>
      <c r="D748" s="32">
        <f>SPFI_CLB14!$D$31</f>
        <v>0.25494499999999998</v>
      </c>
      <c r="E748" s="32"/>
      <c r="F748" s="32"/>
      <c r="G748" s="32"/>
      <c r="H748" s="32"/>
      <c r="I748" s="32"/>
      <c r="J748" s="28">
        <f t="shared" ref="J748" si="567">D748*J$23</f>
        <v>0</v>
      </c>
      <c r="K748" s="29"/>
      <c r="L748" s="29"/>
      <c r="M748" s="29"/>
      <c r="N748" s="29"/>
      <c r="O748" s="29"/>
      <c r="P748" s="30">
        <f t="shared" si="565"/>
        <v>0</v>
      </c>
      <c r="Q748" s="31">
        <f t="shared" si="563"/>
        <v>0</v>
      </c>
    </row>
    <row r="749" spans="1:17" x14ac:dyDescent="0.2">
      <c r="A749" s="10"/>
      <c r="B749" s="26"/>
      <c r="C749" s="11">
        <v>2009</v>
      </c>
      <c r="D749" s="32">
        <f>SPFI_CLB14!$D$32</f>
        <v>0.52383000000000002</v>
      </c>
      <c r="E749" s="32"/>
      <c r="F749" s="32"/>
      <c r="G749" s="32"/>
      <c r="H749" s="32"/>
      <c r="I749" s="32"/>
      <c r="J749" s="28">
        <f t="shared" ref="J749" si="568">D749*J$23</f>
        <v>0</v>
      </c>
      <c r="K749" s="29"/>
      <c r="L749" s="29"/>
      <c r="M749" s="29"/>
      <c r="N749" s="29"/>
      <c r="O749" s="29"/>
      <c r="P749" s="30">
        <f t="shared" si="565"/>
        <v>0</v>
      </c>
      <c r="Q749" s="31">
        <f t="shared" si="563"/>
        <v>0</v>
      </c>
    </row>
    <row r="750" spans="1:17" x14ac:dyDescent="0.2">
      <c r="A750" s="10"/>
      <c r="B750" s="26"/>
      <c r="C750" s="11">
        <v>2010</v>
      </c>
      <c r="D750" s="32">
        <f>SPFI_CLB14!$D$33</f>
        <v>0.31394</v>
      </c>
      <c r="E750" s="32"/>
      <c r="F750" s="32"/>
      <c r="G750" s="32"/>
      <c r="H750" s="32"/>
      <c r="I750" s="32"/>
      <c r="J750" s="28">
        <f t="shared" ref="J750" si="569">D750*J$23</f>
        <v>0</v>
      </c>
      <c r="K750" s="29"/>
      <c r="L750" s="29"/>
      <c r="M750" s="29"/>
      <c r="N750" s="29"/>
      <c r="O750" s="29"/>
      <c r="P750" s="30">
        <f t="shared" si="565"/>
        <v>0</v>
      </c>
      <c r="Q750" s="31">
        <f t="shared" si="563"/>
        <v>0</v>
      </c>
    </row>
    <row r="751" spans="1:17" x14ac:dyDescent="0.2">
      <c r="A751" s="10"/>
      <c r="B751" s="26"/>
      <c r="C751" s="11">
        <v>2011</v>
      </c>
      <c r="D751" s="32">
        <f>SPFI_CLB14!$D$34</f>
        <v>0.294348</v>
      </c>
      <c r="E751" s="32"/>
      <c r="F751" s="32"/>
      <c r="G751" s="32"/>
      <c r="H751" s="32"/>
      <c r="I751" s="32"/>
      <c r="J751" s="28">
        <f t="shared" ref="J751" si="570">D751*J$23</f>
        <v>0</v>
      </c>
      <c r="K751" s="29"/>
      <c r="L751" s="29"/>
      <c r="M751" s="29"/>
      <c r="N751" s="29"/>
      <c r="O751" s="29"/>
      <c r="P751" s="30">
        <f t="shared" ref="P751" si="571">SUM(J751:O751)</f>
        <v>0</v>
      </c>
      <c r="Q751" s="31">
        <f t="shared" ref="Q751" si="572">IF(C$23&gt;0,P751/C$23,0)</f>
        <v>0</v>
      </c>
    </row>
    <row r="752" spans="1:17" x14ac:dyDescent="0.2">
      <c r="A752" s="10"/>
      <c r="B752" s="26"/>
      <c r="C752" s="11">
        <v>2012</v>
      </c>
      <c r="D752" s="32">
        <f>SPFI_CLB14!$D$35</f>
        <v>0.34784100000000001</v>
      </c>
      <c r="E752" s="32"/>
      <c r="F752" s="32"/>
      <c r="G752" s="32"/>
      <c r="H752" s="32"/>
      <c r="I752" s="32"/>
      <c r="J752" s="28">
        <f t="shared" ref="J752" si="573">D752*J$23</f>
        <v>0</v>
      </c>
      <c r="K752" s="29"/>
      <c r="L752" s="29"/>
      <c r="M752" s="29"/>
      <c r="N752" s="29"/>
      <c r="O752" s="29"/>
      <c r="P752" s="30">
        <f t="shared" ref="P752" si="574">SUM(J752:O752)</f>
        <v>0</v>
      </c>
      <c r="Q752" s="31">
        <f t="shared" ref="Q752" si="575">IF(C$23&gt;0,P752/C$23,0)</f>
        <v>0</v>
      </c>
    </row>
    <row r="753" spans="1:17" x14ac:dyDescent="0.2">
      <c r="A753" s="5" t="s">
        <v>11</v>
      </c>
      <c r="B753" s="21">
        <v>2</v>
      </c>
      <c r="C753" s="6">
        <v>1982</v>
      </c>
      <c r="D753" s="27">
        <f>SPFI_CLB14!$D$5</f>
        <v>0.98153299999999999</v>
      </c>
      <c r="E753" s="27"/>
      <c r="F753" s="27"/>
      <c r="G753" s="27"/>
      <c r="H753" s="27"/>
      <c r="I753" s="27"/>
      <c r="J753" s="33">
        <f t="shared" ref="J753:J765" si="576">D753*J$24</f>
        <v>0</v>
      </c>
      <c r="K753" s="27"/>
      <c r="L753" s="27"/>
      <c r="M753" s="27"/>
      <c r="N753" s="27"/>
      <c r="O753" s="27"/>
      <c r="P753" s="34">
        <f t="shared" si="565"/>
        <v>0</v>
      </c>
      <c r="Q753" s="35">
        <f t="shared" ref="Q753:Q769" si="577">IF(C$24&gt;0,P753/C$24,0)</f>
        <v>0</v>
      </c>
    </row>
    <row r="754" spans="1:17" x14ac:dyDescent="0.2">
      <c r="A754" s="10"/>
      <c r="B754" s="26"/>
      <c r="C754" s="11">
        <v>1983</v>
      </c>
      <c r="D754" s="32">
        <f>SPFI_CLB14!$D$6</f>
        <v>0.93659899999999996</v>
      </c>
      <c r="E754" s="32"/>
      <c r="F754" s="32"/>
      <c r="G754" s="32"/>
      <c r="H754" s="32"/>
      <c r="I754" s="32"/>
      <c r="J754" s="28">
        <f t="shared" si="576"/>
        <v>0</v>
      </c>
      <c r="K754" s="29"/>
      <c r="L754" s="29"/>
      <c r="M754" s="29"/>
      <c r="N754" s="29"/>
      <c r="O754" s="29"/>
      <c r="P754" s="30">
        <f t="shared" ref="P754:P765" si="578">SUM(J754:O754)</f>
        <v>0</v>
      </c>
      <c r="Q754" s="31">
        <f t="shared" si="577"/>
        <v>0</v>
      </c>
    </row>
    <row r="755" spans="1:17" x14ac:dyDescent="0.2">
      <c r="A755" s="10"/>
      <c r="B755" s="26"/>
      <c r="C755" s="11">
        <v>1984</v>
      </c>
      <c r="D755" s="32">
        <f>SPFI_CLB14!$D$7</f>
        <v>0.92793599999999998</v>
      </c>
      <c r="E755" s="32"/>
      <c r="F755" s="32"/>
      <c r="G755" s="32"/>
      <c r="H755" s="32"/>
      <c r="I755" s="32"/>
      <c r="J755" s="28">
        <f t="shared" si="576"/>
        <v>0</v>
      </c>
      <c r="K755" s="29"/>
      <c r="L755" s="29"/>
      <c r="M755" s="29"/>
      <c r="N755" s="29"/>
      <c r="O755" s="29"/>
      <c r="P755" s="30">
        <f t="shared" si="578"/>
        <v>0</v>
      </c>
      <c r="Q755" s="31">
        <f t="shared" si="577"/>
        <v>0</v>
      </c>
    </row>
    <row r="756" spans="1:17" x14ac:dyDescent="0.2">
      <c r="A756" s="10"/>
      <c r="B756" s="26"/>
      <c r="C756" s="11">
        <v>1985</v>
      </c>
      <c r="D756" s="32">
        <f>SPFI_CLB14!$D$8</f>
        <v>0.90386500000000003</v>
      </c>
      <c r="E756" s="32"/>
      <c r="F756" s="32"/>
      <c r="G756" s="32"/>
      <c r="H756" s="32"/>
      <c r="I756" s="32"/>
      <c r="J756" s="28">
        <f t="shared" si="576"/>
        <v>0</v>
      </c>
      <c r="K756" s="29"/>
      <c r="L756" s="29"/>
      <c r="M756" s="29"/>
      <c r="N756" s="29"/>
      <c r="O756" s="29"/>
      <c r="P756" s="30">
        <f t="shared" si="578"/>
        <v>0</v>
      </c>
      <c r="Q756" s="31">
        <f t="shared" si="577"/>
        <v>0</v>
      </c>
    </row>
    <row r="757" spans="1:17" x14ac:dyDescent="0.2">
      <c r="A757" s="10"/>
      <c r="B757" s="26"/>
      <c r="C757" s="11">
        <v>1986</v>
      </c>
      <c r="D757" s="32">
        <f>SPFI_CLB14!$D$9</f>
        <v>0.73087500000000005</v>
      </c>
      <c r="E757" s="32"/>
      <c r="F757" s="32"/>
      <c r="G757" s="32"/>
      <c r="H757" s="32"/>
      <c r="I757" s="32"/>
      <c r="J757" s="28">
        <f t="shared" si="576"/>
        <v>0</v>
      </c>
      <c r="K757" s="29"/>
      <c r="L757" s="29"/>
      <c r="M757" s="29"/>
      <c r="N757" s="29"/>
      <c r="O757" s="29"/>
      <c r="P757" s="30">
        <f t="shared" si="578"/>
        <v>0</v>
      </c>
      <c r="Q757" s="31">
        <f t="shared" si="577"/>
        <v>0</v>
      </c>
    </row>
    <row r="758" spans="1:17" x14ac:dyDescent="0.2">
      <c r="A758" s="10"/>
      <c r="B758" s="26"/>
      <c r="C758" s="11">
        <v>1987</v>
      </c>
      <c r="D758" s="32">
        <f>SPFI_CLB14!$D$10</f>
        <v>0.71733499999999994</v>
      </c>
      <c r="E758" s="32"/>
      <c r="F758" s="32"/>
      <c r="G758" s="32"/>
      <c r="H758" s="32"/>
      <c r="I758" s="32"/>
      <c r="J758" s="28">
        <f t="shared" si="576"/>
        <v>0</v>
      </c>
      <c r="K758" s="29"/>
      <c r="L758" s="29"/>
      <c r="M758" s="29"/>
      <c r="N758" s="29"/>
      <c r="O758" s="29"/>
      <c r="P758" s="30">
        <f t="shared" si="578"/>
        <v>0</v>
      </c>
      <c r="Q758" s="31">
        <f t="shared" si="577"/>
        <v>0</v>
      </c>
    </row>
    <row r="759" spans="1:17" x14ac:dyDescent="0.2">
      <c r="A759" s="10"/>
      <c r="B759" s="26"/>
      <c r="C759" s="11">
        <v>1988</v>
      </c>
      <c r="D759" s="32">
        <f>SPFI_CLB14!$D$11</f>
        <v>0.64558800000000005</v>
      </c>
      <c r="E759" s="32"/>
      <c r="F759" s="32"/>
      <c r="G759" s="32"/>
      <c r="H759" s="32"/>
      <c r="I759" s="32"/>
      <c r="J759" s="28">
        <f t="shared" si="576"/>
        <v>0</v>
      </c>
      <c r="K759" s="29"/>
      <c r="L759" s="29"/>
      <c r="M759" s="29"/>
      <c r="N759" s="29"/>
      <c r="O759" s="29"/>
      <c r="P759" s="30">
        <f t="shared" si="578"/>
        <v>0</v>
      </c>
      <c r="Q759" s="31">
        <f t="shared" si="577"/>
        <v>0</v>
      </c>
    </row>
    <row r="760" spans="1:17" x14ac:dyDescent="0.2">
      <c r="A760" s="10"/>
      <c r="B760" s="26"/>
      <c r="C760" s="11">
        <v>1989</v>
      </c>
      <c r="D760" s="32">
        <f>SPFI_CLB14!$D$12</f>
        <v>0.65287700000000004</v>
      </c>
      <c r="E760" s="32"/>
      <c r="F760" s="32"/>
      <c r="G760" s="32"/>
      <c r="H760" s="32"/>
      <c r="I760" s="32"/>
      <c r="J760" s="28">
        <f t="shared" si="576"/>
        <v>0</v>
      </c>
      <c r="K760" s="29"/>
      <c r="L760" s="29"/>
      <c r="M760" s="29"/>
      <c r="N760" s="29"/>
      <c r="O760" s="29"/>
      <c r="P760" s="30">
        <f t="shared" si="578"/>
        <v>0</v>
      </c>
      <c r="Q760" s="31">
        <f t="shared" si="577"/>
        <v>0</v>
      </c>
    </row>
    <row r="761" spans="1:17" x14ac:dyDescent="0.2">
      <c r="A761" s="10"/>
      <c r="B761" s="26"/>
      <c r="C761" s="11">
        <v>1990</v>
      </c>
      <c r="D761" s="32">
        <f>SPFI_CLB14!$D$13</f>
        <v>0.56965100000000002</v>
      </c>
      <c r="E761" s="32"/>
      <c r="F761" s="32"/>
      <c r="G761" s="32"/>
      <c r="H761" s="32"/>
      <c r="I761" s="32"/>
      <c r="J761" s="28">
        <f t="shared" si="576"/>
        <v>0</v>
      </c>
      <c r="K761" s="29"/>
      <c r="L761" s="29"/>
      <c r="M761" s="29"/>
      <c r="N761" s="29"/>
      <c r="O761" s="29"/>
      <c r="P761" s="30">
        <f t="shared" si="578"/>
        <v>0</v>
      </c>
      <c r="Q761" s="31">
        <f t="shared" si="577"/>
        <v>0</v>
      </c>
    </row>
    <row r="762" spans="1:17" x14ac:dyDescent="0.2">
      <c r="A762" s="10"/>
      <c r="B762" s="26"/>
      <c r="C762" s="11">
        <v>1991</v>
      </c>
      <c r="D762" s="32">
        <f>SPFI_CLB14!$D$14</f>
        <v>0.62776900000000002</v>
      </c>
      <c r="E762" s="32"/>
      <c r="F762" s="32"/>
      <c r="G762" s="32"/>
      <c r="H762" s="32"/>
      <c r="I762" s="32"/>
      <c r="J762" s="28">
        <f t="shared" si="576"/>
        <v>0</v>
      </c>
      <c r="K762" s="29"/>
      <c r="L762" s="29"/>
      <c r="M762" s="29"/>
      <c r="N762" s="29"/>
      <c r="O762" s="29"/>
      <c r="P762" s="30">
        <f t="shared" si="578"/>
        <v>0</v>
      </c>
      <c r="Q762" s="31">
        <f t="shared" si="577"/>
        <v>0</v>
      </c>
    </row>
    <row r="763" spans="1:17" x14ac:dyDescent="0.2">
      <c r="A763" s="10"/>
      <c r="B763" s="26"/>
      <c r="C763" s="11">
        <v>1992</v>
      </c>
      <c r="D763" s="32">
        <f>SPFI_CLB14!$D$15</f>
        <v>0.43504100000000001</v>
      </c>
      <c r="E763" s="32"/>
      <c r="F763" s="32"/>
      <c r="G763" s="32"/>
      <c r="H763" s="32"/>
      <c r="I763" s="32"/>
      <c r="J763" s="28">
        <f t="shared" si="576"/>
        <v>0</v>
      </c>
      <c r="K763" s="29"/>
      <c r="L763" s="29"/>
      <c r="M763" s="29"/>
      <c r="N763" s="29"/>
      <c r="O763" s="29"/>
      <c r="P763" s="30">
        <f t="shared" si="578"/>
        <v>0</v>
      </c>
      <c r="Q763" s="31">
        <f t="shared" si="577"/>
        <v>0</v>
      </c>
    </row>
    <row r="764" spans="1:17" x14ac:dyDescent="0.2">
      <c r="A764" s="10"/>
      <c r="B764" s="26"/>
      <c r="C764" s="11">
        <v>1993</v>
      </c>
      <c r="D764" s="32">
        <f>SPFI_CLB14!$D$16</f>
        <v>0.499164</v>
      </c>
      <c r="E764" s="32"/>
      <c r="F764" s="32"/>
      <c r="G764" s="32"/>
      <c r="H764" s="32"/>
      <c r="I764" s="32"/>
      <c r="J764" s="28">
        <f t="shared" si="576"/>
        <v>0</v>
      </c>
      <c r="K764" s="29"/>
      <c r="L764" s="29"/>
      <c r="M764" s="29"/>
      <c r="N764" s="29"/>
      <c r="O764" s="29"/>
      <c r="P764" s="30">
        <f t="shared" si="578"/>
        <v>0</v>
      </c>
      <c r="Q764" s="31">
        <f t="shared" si="577"/>
        <v>0</v>
      </c>
    </row>
    <row r="765" spans="1:17" x14ac:dyDescent="0.2">
      <c r="A765" s="10"/>
      <c r="B765" s="26"/>
      <c r="C765" s="11">
        <v>1994</v>
      </c>
      <c r="D765" s="32">
        <f>SPFI_CLB14!$D$17</f>
        <v>0.59591300000000003</v>
      </c>
      <c r="E765" s="32"/>
      <c r="F765" s="32"/>
      <c r="G765" s="32"/>
      <c r="H765" s="32"/>
      <c r="I765" s="32"/>
      <c r="J765" s="28">
        <f t="shared" si="576"/>
        <v>0</v>
      </c>
      <c r="K765" s="29"/>
      <c r="L765" s="29"/>
      <c r="M765" s="29"/>
      <c r="N765" s="29"/>
      <c r="O765" s="29"/>
      <c r="P765" s="30">
        <f t="shared" si="578"/>
        <v>0</v>
      </c>
      <c r="Q765" s="31">
        <f t="shared" si="577"/>
        <v>0</v>
      </c>
    </row>
    <row r="766" spans="1:17" x14ac:dyDescent="0.2">
      <c r="A766" s="10"/>
      <c r="B766" s="26"/>
      <c r="C766" s="11">
        <v>1995</v>
      </c>
      <c r="D766" s="32">
        <f>SPFI_CLB14!$D$18</f>
        <v>0.25400800000000001</v>
      </c>
      <c r="E766" s="32"/>
      <c r="F766" s="32"/>
      <c r="G766" s="32"/>
      <c r="H766" s="32"/>
      <c r="I766" s="32"/>
      <c r="J766" s="28">
        <f t="shared" ref="J766" si="579">D766*J$24</f>
        <v>0</v>
      </c>
      <c r="K766" s="29"/>
      <c r="L766" s="29"/>
      <c r="M766" s="29"/>
      <c r="N766" s="29"/>
      <c r="O766" s="29"/>
      <c r="P766" s="30">
        <f>SUM(J766:O766)</f>
        <v>0</v>
      </c>
      <c r="Q766" s="31">
        <f t="shared" si="577"/>
        <v>0</v>
      </c>
    </row>
    <row r="767" spans="1:17" x14ac:dyDescent="0.2">
      <c r="A767" s="10"/>
      <c r="B767" s="26"/>
      <c r="C767" s="11">
        <v>1996</v>
      </c>
      <c r="D767" s="32">
        <f>SPFI_CLB14!$D$19</f>
        <v>0</v>
      </c>
      <c r="E767" s="32"/>
      <c r="F767" s="32"/>
      <c r="G767" s="32"/>
      <c r="H767" s="32"/>
      <c r="I767" s="32"/>
      <c r="J767" s="28">
        <f t="shared" ref="J767" si="580">D767*J$24</f>
        <v>0</v>
      </c>
      <c r="K767" s="29"/>
      <c r="L767" s="29"/>
      <c r="M767" s="29"/>
      <c r="N767" s="29"/>
      <c r="O767" s="29"/>
      <c r="P767" s="30">
        <f>SUM(J767:O767)</f>
        <v>0</v>
      </c>
      <c r="Q767" s="31">
        <f t="shared" si="577"/>
        <v>0</v>
      </c>
    </row>
    <row r="768" spans="1:17" x14ac:dyDescent="0.2">
      <c r="A768" s="10"/>
      <c r="B768" s="26"/>
      <c r="C768" s="11">
        <v>1997</v>
      </c>
      <c r="D768" s="32">
        <f>SPFI_CLB14!$D$20</f>
        <v>0.201487</v>
      </c>
      <c r="E768" s="32"/>
      <c r="F768" s="32"/>
      <c r="G768" s="32"/>
      <c r="H768" s="32"/>
      <c r="I768" s="32"/>
      <c r="J768" s="28">
        <f t="shared" ref="J768" si="581">D768*J$24</f>
        <v>0</v>
      </c>
      <c r="K768" s="29"/>
      <c r="L768" s="29"/>
      <c r="M768" s="29"/>
      <c r="N768" s="29"/>
      <c r="O768" s="29"/>
      <c r="P768" s="30">
        <f>SUM(J768:O768)</f>
        <v>0</v>
      </c>
      <c r="Q768" s="31">
        <f t="shared" si="577"/>
        <v>0</v>
      </c>
    </row>
    <row r="769" spans="1:17" x14ac:dyDescent="0.2">
      <c r="A769" s="10"/>
      <c r="B769" s="26"/>
      <c r="C769" s="11">
        <v>1998</v>
      </c>
      <c r="D769" s="32">
        <f>SPFI_CLB14!$D$21</f>
        <v>0.37506400000000001</v>
      </c>
      <c r="E769" s="32"/>
      <c r="F769" s="32"/>
      <c r="G769" s="32"/>
      <c r="H769" s="32"/>
      <c r="I769" s="32"/>
      <c r="J769" s="28">
        <f t="shared" ref="J769" si="582">D769*J$24</f>
        <v>0</v>
      </c>
      <c r="K769" s="29"/>
      <c r="L769" s="29"/>
      <c r="M769" s="29"/>
      <c r="N769" s="29"/>
      <c r="O769" s="29"/>
      <c r="P769" s="30">
        <f>SUM(J769:O769)</f>
        <v>0</v>
      </c>
      <c r="Q769" s="31">
        <f t="shared" si="577"/>
        <v>0</v>
      </c>
    </row>
    <row r="770" spans="1:17" x14ac:dyDescent="0.2">
      <c r="A770" s="10"/>
      <c r="B770" s="26"/>
      <c r="C770" s="11">
        <v>1999</v>
      </c>
      <c r="D770" s="32">
        <f>SPFI_CLB14!$D$22</f>
        <v>0.29823699999999997</v>
      </c>
      <c r="E770" s="32"/>
      <c r="F770" s="32"/>
      <c r="G770" s="32"/>
      <c r="H770" s="32"/>
      <c r="I770" s="32"/>
      <c r="J770" s="28">
        <f t="shared" ref="J770" si="583">D770*J$24</f>
        <v>0</v>
      </c>
      <c r="K770" s="29"/>
      <c r="L770" s="29"/>
      <c r="M770" s="29"/>
      <c r="N770" s="29"/>
      <c r="O770" s="29"/>
      <c r="P770" s="30">
        <f>SUM(J770:O770)</f>
        <v>0</v>
      </c>
      <c r="Q770" s="31">
        <f t="shared" ref="Q770:Q775" si="584">IF(C$24&gt;0,P770/C$24,0)</f>
        <v>0</v>
      </c>
    </row>
    <row r="771" spans="1:17" x14ac:dyDescent="0.2">
      <c r="A771" s="10"/>
      <c r="B771" s="26"/>
      <c r="C771" s="11">
        <v>2000</v>
      </c>
      <c r="D771" s="32">
        <f>SPFI_CLB14!$D$23</f>
        <v>8.4414000000000003E-2</v>
      </c>
      <c r="E771" s="32"/>
      <c r="F771" s="32"/>
      <c r="G771" s="32"/>
      <c r="H771" s="32"/>
      <c r="I771" s="32"/>
      <c r="J771" s="28">
        <f t="shared" ref="J771" si="585">D771*J$24</f>
        <v>0</v>
      </c>
      <c r="K771" s="29"/>
      <c r="L771" s="29"/>
      <c r="M771" s="29"/>
      <c r="N771" s="29"/>
      <c r="O771" s="29"/>
      <c r="P771" s="30">
        <f t="shared" ref="P771:P776" si="586">SUM(J771:O771)</f>
        <v>0</v>
      </c>
      <c r="Q771" s="31">
        <f t="shared" si="584"/>
        <v>0</v>
      </c>
    </row>
    <row r="772" spans="1:17" x14ac:dyDescent="0.2">
      <c r="A772" s="10"/>
      <c r="B772" s="26"/>
      <c r="C772" s="11">
        <v>2001</v>
      </c>
      <c r="D772" s="32">
        <f>SPFI_CLB14!$D$24</f>
        <v>7.8909000000000007E-2</v>
      </c>
      <c r="E772" s="32"/>
      <c r="F772" s="32"/>
      <c r="G772" s="32"/>
      <c r="H772" s="32"/>
      <c r="I772" s="32"/>
      <c r="J772" s="28">
        <f t="shared" ref="J772" si="587">D772*J$24</f>
        <v>0</v>
      </c>
      <c r="K772" s="29"/>
      <c r="L772" s="29"/>
      <c r="M772" s="29"/>
      <c r="N772" s="29"/>
      <c r="O772" s="29"/>
      <c r="P772" s="30">
        <f t="shared" si="586"/>
        <v>0</v>
      </c>
      <c r="Q772" s="31">
        <f t="shared" si="584"/>
        <v>0</v>
      </c>
    </row>
    <row r="773" spans="1:17" x14ac:dyDescent="0.2">
      <c r="A773" s="10"/>
      <c r="B773" s="26"/>
      <c r="C773" s="11">
        <v>2002</v>
      </c>
      <c r="D773" s="32">
        <f>SPFI_CLB14!$D$25</f>
        <v>0.29974699999999999</v>
      </c>
      <c r="E773" s="32"/>
      <c r="F773" s="32"/>
      <c r="G773" s="32"/>
      <c r="H773" s="32"/>
      <c r="I773" s="32"/>
      <c r="J773" s="28">
        <f t="shared" ref="J773" si="588">D773*J$24</f>
        <v>0</v>
      </c>
      <c r="K773" s="29"/>
      <c r="L773" s="29"/>
      <c r="M773" s="29"/>
      <c r="N773" s="29"/>
      <c r="O773" s="29"/>
      <c r="P773" s="30">
        <f t="shared" si="586"/>
        <v>0</v>
      </c>
      <c r="Q773" s="31">
        <f t="shared" si="584"/>
        <v>0</v>
      </c>
    </row>
    <row r="774" spans="1:17" x14ac:dyDescent="0.2">
      <c r="A774" s="10"/>
      <c r="B774" s="26"/>
      <c r="C774" s="11">
        <v>2003</v>
      </c>
      <c r="D774" s="32">
        <f>SPFI_CLB14!$D$26</f>
        <v>0.20691100000000001</v>
      </c>
      <c r="E774" s="32"/>
      <c r="F774" s="32"/>
      <c r="G774" s="32"/>
      <c r="H774" s="32"/>
      <c r="I774" s="32"/>
      <c r="J774" s="28">
        <f t="shared" ref="J774" si="589">D774*J$24</f>
        <v>0</v>
      </c>
      <c r="K774" s="29"/>
      <c r="L774" s="29"/>
      <c r="M774" s="29"/>
      <c r="N774" s="29"/>
      <c r="O774" s="29"/>
      <c r="P774" s="30">
        <f t="shared" si="586"/>
        <v>0</v>
      </c>
      <c r="Q774" s="31">
        <f t="shared" si="584"/>
        <v>0</v>
      </c>
    </row>
    <row r="775" spans="1:17" x14ac:dyDescent="0.2">
      <c r="A775" s="10"/>
      <c r="B775" s="26"/>
      <c r="C775" s="11">
        <v>2004</v>
      </c>
      <c r="D775" s="32">
        <f>SPFI_CLB14!$D$27</f>
        <v>0.269237</v>
      </c>
      <c r="E775" s="32"/>
      <c r="F775" s="32"/>
      <c r="G775" s="32"/>
      <c r="H775" s="32"/>
      <c r="I775" s="32"/>
      <c r="J775" s="28">
        <f t="shared" ref="J775" si="590">D775*J$24</f>
        <v>0</v>
      </c>
      <c r="K775" s="29"/>
      <c r="L775" s="29"/>
      <c r="M775" s="29"/>
      <c r="N775" s="29"/>
      <c r="O775" s="29"/>
      <c r="P775" s="30">
        <f t="shared" si="586"/>
        <v>0</v>
      </c>
      <c r="Q775" s="31">
        <f t="shared" si="584"/>
        <v>0</v>
      </c>
    </row>
    <row r="776" spans="1:17" x14ac:dyDescent="0.2">
      <c r="A776" s="10"/>
      <c r="B776" s="26"/>
      <c r="C776" s="11">
        <v>2005</v>
      </c>
      <c r="D776" s="32">
        <f>SPFI_CLB14!$D$28</f>
        <v>0.37848700000000002</v>
      </c>
      <c r="E776" s="32"/>
      <c r="F776" s="32"/>
      <c r="G776" s="32"/>
      <c r="H776" s="32"/>
      <c r="I776" s="32"/>
      <c r="J776" s="28">
        <f t="shared" ref="J776" si="591">D776*J$24</f>
        <v>0</v>
      </c>
      <c r="K776" s="29"/>
      <c r="L776" s="29"/>
      <c r="M776" s="29"/>
      <c r="N776" s="29"/>
      <c r="O776" s="29"/>
      <c r="P776" s="30">
        <f t="shared" si="586"/>
        <v>0</v>
      </c>
      <c r="Q776" s="31">
        <f t="shared" ref="Q776:Q781" si="592">IF(C$24&gt;0,P776/C$24,0)</f>
        <v>0</v>
      </c>
    </row>
    <row r="777" spans="1:17" x14ac:dyDescent="0.2">
      <c r="A777" s="10"/>
      <c r="B777" s="26"/>
      <c r="C777" s="11">
        <v>2006</v>
      </c>
      <c r="D777" s="32">
        <f>SPFI_CLB14!$D$29</f>
        <v>0.381023</v>
      </c>
      <c r="E777" s="32"/>
      <c r="F777" s="32"/>
      <c r="G777" s="32"/>
      <c r="H777" s="32"/>
      <c r="I777" s="32"/>
      <c r="J777" s="28">
        <f t="shared" ref="J777" si="593">D777*J$24</f>
        <v>0</v>
      </c>
      <c r="K777" s="29"/>
      <c r="L777" s="29"/>
      <c r="M777" s="29"/>
      <c r="N777" s="29"/>
      <c r="O777" s="29"/>
      <c r="P777" s="30">
        <f t="shared" ref="P777:P784" si="594">SUM(J777:O777)</f>
        <v>0</v>
      </c>
      <c r="Q777" s="31">
        <f t="shared" si="592"/>
        <v>0</v>
      </c>
    </row>
    <row r="778" spans="1:17" x14ac:dyDescent="0.2">
      <c r="A778" s="10"/>
      <c r="B778" s="26"/>
      <c r="C778" s="11">
        <v>2007</v>
      </c>
      <c r="D778" s="32">
        <f>SPFI_CLB14!$D$30</f>
        <v>0.356512</v>
      </c>
      <c r="E778" s="32"/>
      <c r="F778" s="32"/>
      <c r="G778" s="32"/>
      <c r="H778" s="32"/>
      <c r="I778" s="32"/>
      <c r="J778" s="28">
        <f t="shared" ref="J778" si="595">D778*J$24</f>
        <v>0</v>
      </c>
      <c r="K778" s="29"/>
      <c r="L778" s="29"/>
      <c r="M778" s="29"/>
      <c r="N778" s="29"/>
      <c r="O778" s="29"/>
      <c r="P778" s="30">
        <f t="shared" si="594"/>
        <v>0</v>
      </c>
      <c r="Q778" s="31">
        <f t="shared" si="592"/>
        <v>0</v>
      </c>
    </row>
    <row r="779" spans="1:17" x14ac:dyDescent="0.2">
      <c r="A779" s="10"/>
      <c r="B779" s="26"/>
      <c r="C779" s="11">
        <v>2008</v>
      </c>
      <c r="D779" s="32">
        <f>SPFI_CLB14!$D$31</f>
        <v>0.25494499999999998</v>
      </c>
      <c r="E779" s="32"/>
      <c r="F779" s="32"/>
      <c r="G779" s="32"/>
      <c r="H779" s="32"/>
      <c r="I779" s="32"/>
      <c r="J779" s="28">
        <f t="shared" ref="J779" si="596">D779*J$24</f>
        <v>0</v>
      </c>
      <c r="K779" s="29"/>
      <c r="L779" s="29"/>
      <c r="M779" s="29"/>
      <c r="N779" s="29"/>
      <c r="O779" s="29"/>
      <c r="P779" s="30">
        <f t="shared" si="594"/>
        <v>0</v>
      </c>
      <c r="Q779" s="31">
        <f t="shared" si="592"/>
        <v>0</v>
      </c>
    </row>
    <row r="780" spans="1:17" x14ac:dyDescent="0.2">
      <c r="A780" s="10"/>
      <c r="B780" s="26"/>
      <c r="C780" s="11">
        <v>2009</v>
      </c>
      <c r="D780" s="32">
        <f>SPFI_CLB14!$D$32</f>
        <v>0.52383000000000002</v>
      </c>
      <c r="E780" s="32"/>
      <c r="F780" s="32"/>
      <c r="G780" s="32"/>
      <c r="H780" s="32"/>
      <c r="I780" s="32"/>
      <c r="J780" s="28">
        <f t="shared" ref="J780" si="597">D780*J$24</f>
        <v>0</v>
      </c>
      <c r="K780" s="29"/>
      <c r="L780" s="29"/>
      <c r="M780" s="29"/>
      <c r="N780" s="29"/>
      <c r="O780" s="29"/>
      <c r="P780" s="30">
        <f t="shared" si="594"/>
        <v>0</v>
      </c>
      <c r="Q780" s="31">
        <f t="shared" si="592"/>
        <v>0</v>
      </c>
    </row>
    <row r="781" spans="1:17" x14ac:dyDescent="0.2">
      <c r="A781" s="10"/>
      <c r="B781" s="26"/>
      <c r="C781" s="11">
        <v>2010</v>
      </c>
      <c r="D781" s="32">
        <f>SPFI_CLB14!$D$33</f>
        <v>0.31394</v>
      </c>
      <c r="E781" s="32"/>
      <c r="F781" s="32"/>
      <c r="G781" s="32"/>
      <c r="H781" s="32"/>
      <c r="I781" s="32"/>
      <c r="J781" s="28">
        <f t="shared" ref="J781" si="598">D781*J$24</f>
        <v>0</v>
      </c>
      <c r="K781" s="29"/>
      <c r="L781" s="29"/>
      <c r="M781" s="29"/>
      <c r="N781" s="29"/>
      <c r="O781" s="29"/>
      <c r="P781" s="30">
        <f t="shared" si="594"/>
        <v>0</v>
      </c>
      <c r="Q781" s="31">
        <f t="shared" si="592"/>
        <v>0</v>
      </c>
    </row>
    <row r="782" spans="1:17" x14ac:dyDescent="0.2">
      <c r="A782" s="10"/>
      <c r="B782" s="26"/>
      <c r="C782" s="11">
        <v>2011</v>
      </c>
      <c r="D782" s="32">
        <f>SPFI_CLB14!$D$34</f>
        <v>0.294348</v>
      </c>
      <c r="E782" s="32"/>
      <c r="F782" s="32"/>
      <c r="G782" s="32"/>
      <c r="H782" s="32"/>
      <c r="I782" s="32"/>
      <c r="J782" s="28">
        <f t="shared" ref="J782" si="599">D782*J$24</f>
        <v>0</v>
      </c>
      <c r="K782" s="29"/>
      <c r="L782" s="29"/>
      <c r="M782" s="29"/>
      <c r="N782" s="29"/>
      <c r="O782" s="29"/>
      <c r="P782" s="30">
        <f t="shared" ref="P782" si="600">SUM(J782:O782)</f>
        <v>0</v>
      </c>
      <c r="Q782" s="31">
        <f t="shared" ref="Q782" si="601">IF(C$24&gt;0,P782/C$24,0)</f>
        <v>0</v>
      </c>
    </row>
    <row r="783" spans="1:17" x14ac:dyDescent="0.2">
      <c r="A783" s="10"/>
      <c r="B783" s="26"/>
      <c r="C783" s="11">
        <v>2012</v>
      </c>
      <c r="D783" s="32">
        <f>SPFI_CLB14!$D$35</f>
        <v>0.34784100000000001</v>
      </c>
      <c r="E783" s="32"/>
      <c r="F783" s="32"/>
      <c r="G783" s="32"/>
      <c r="H783" s="32"/>
      <c r="I783" s="32"/>
      <c r="J783" s="28">
        <f t="shared" ref="J783" si="602">D783*J$24</f>
        <v>0</v>
      </c>
      <c r="K783" s="29"/>
      <c r="L783" s="29"/>
      <c r="M783" s="29"/>
      <c r="N783" s="29"/>
      <c r="O783" s="29"/>
      <c r="P783" s="30">
        <f t="shared" ref="P783" si="603">SUM(J783:O783)</f>
        <v>0</v>
      </c>
      <c r="Q783" s="31">
        <f t="shared" ref="Q783" si="604">IF(C$24&gt;0,P783/C$24,0)</f>
        <v>0</v>
      </c>
    </row>
    <row r="784" spans="1:17" x14ac:dyDescent="0.2">
      <c r="A784" s="5" t="s">
        <v>11</v>
      </c>
      <c r="B784" s="21">
        <v>3</v>
      </c>
      <c r="C784" s="6">
        <v>1982</v>
      </c>
      <c r="D784" s="27">
        <f>SPFI_CLB14!$D$5</f>
        <v>0.98153299999999999</v>
      </c>
      <c r="E784" s="27"/>
      <c r="F784" s="27"/>
      <c r="G784" s="27"/>
      <c r="H784" s="27"/>
      <c r="I784" s="27"/>
      <c r="J784" s="33">
        <f t="shared" ref="J784:J796" si="605">D784*J$25</f>
        <v>0</v>
      </c>
      <c r="K784" s="27"/>
      <c r="L784" s="27"/>
      <c r="M784" s="27"/>
      <c r="N784" s="27"/>
      <c r="O784" s="27"/>
      <c r="P784" s="34">
        <f t="shared" si="594"/>
        <v>0</v>
      </c>
      <c r="Q784" s="35">
        <f t="shared" ref="Q784:Q800" si="606">IF(C$25&gt;0,P784/C$25,0)</f>
        <v>0</v>
      </c>
    </row>
    <row r="785" spans="1:17" x14ac:dyDescent="0.2">
      <c r="A785" s="10"/>
      <c r="B785" s="26"/>
      <c r="C785" s="11">
        <v>1983</v>
      </c>
      <c r="D785" s="32">
        <f>SPFI_CLB14!$D$6</f>
        <v>0.93659899999999996</v>
      </c>
      <c r="E785" s="32"/>
      <c r="F785" s="32"/>
      <c r="G785" s="32"/>
      <c r="H785" s="32"/>
      <c r="I785" s="32"/>
      <c r="J785" s="28">
        <f t="shared" si="605"/>
        <v>0</v>
      </c>
      <c r="K785" s="29"/>
      <c r="L785" s="29"/>
      <c r="M785" s="29"/>
      <c r="N785" s="29"/>
      <c r="O785" s="29"/>
      <c r="P785" s="30">
        <f t="shared" ref="P785:P796" si="607">SUM(J785:O785)</f>
        <v>0</v>
      </c>
      <c r="Q785" s="31">
        <f t="shared" si="606"/>
        <v>0</v>
      </c>
    </row>
    <row r="786" spans="1:17" x14ac:dyDescent="0.2">
      <c r="A786" s="10"/>
      <c r="B786" s="26"/>
      <c r="C786" s="11">
        <v>1984</v>
      </c>
      <c r="D786" s="32">
        <f>SPFI_CLB14!$D$7</f>
        <v>0.92793599999999998</v>
      </c>
      <c r="E786" s="32"/>
      <c r="F786" s="32"/>
      <c r="G786" s="32"/>
      <c r="H786" s="32"/>
      <c r="I786" s="32"/>
      <c r="J786" s="28">
        <f t="shared" si="605"/>
        <v>0</v>
      </c>
      <c r="K786" s="29"/>
      <c r="L786" s="29"/>
      <c r="M786" s="29"/>
      <c r="N786" s="29"/>
      <c r="O786" s="29"/>
      <c r="P786" s="30">
        <f t="shared" si="607"/>
        <v>0</v>
      </c>
      <c r="Q786" s="31">
        <f t="shared" si="606"/>
        <v>0</v>
      </c>
    </row>
    <row r="787" spans="1:17" x14ac:dyDescent="0.2">
      <c r="A787" s="10"/>
      <c r="B787" s="26"/>
      <c r="C787" s="11">
        <v>1985</v>
      </c>
      <c r="D787" s="32">
        <f>SPFI_CLB14!$D$8</f>
        <v>0.90386500000000003</v>
      </c>
      <c r="E787" s="32"/>
      <c r="F787" s="32"/>
      <c r="G787" s="32"/>
      <c r="H787" s="32"/>
      <c r="I787" s="32"/>
      <c r="J787" s="28">
        <f t="shared" si="605"/>
        <v>0</v>
      </c>
      <c r="K787" s="29"/>
      <c r="L787" s="29"/>
      <c r="M787" s="29"/>
      <c r="N787" s="29"/>
      <c r="O787" s="29"/>
      <c r="P787" s="30">
        <f t="shared" si="607"/>
        <v>0</v>
      </c>
      <c r="Q787" s="31">
        <f t="shared" si="606"/>
        <v>0</v>
      </c>
    </row>
    <row r="788" spans="1:17" x14ac:dyDescent="0.2">
      <c r="A788" s="10"/>
      <c r="B788" s="26"/>
      <c r="C788" s="11">
        <v>1986</v>
      </c>
      <c r="D788" s="32">
        <f>SPFI_CLB14!$D$9</f>
        <v>0.73087500000000005</v>
      </c>
      <c r="E788" s="32"/>
      <c r="F788" s="32"/>
      <c r="G788" s="32"/>
      <c r="H788" s="32"/>
      <c r="I788" s="32"/>
      <c r="J788" s="28">
        <f t="shared" si="605"/>
        <v>0</v>
      </c>
      <c r="K788" s="29"/>
      <c r="L788" s="29"/>
      <c r="M788" s="29"/>
      <c r="N788" s="29"/>
      <c r="O788" s="29"/>
      <c r="P788" s="30">
        <f t="shared" si="607"/>
        <v>0</v>
      </c>
      <c r="Q788" s="31">
        <f t="shared" si="606"/>
        <v>0</v>
      </c>
    </row>
    <row r="789" spans="1:17" x14ac:dyDescent="0.2">
      <c r="A789" s="10"/>
      <c r="B789" s="26"/>
      <c r="C789" s="11">
        <v>1987</v>
      </c>
      <c r="D789" s="32">
        <f>SPFI_CLB14!$D$10</f>
        <v>0.71733499999999994</v>
      </c>
      <c r="E789" s="32"/>
      <c r="F789" s="32"/>
      <c r="G789" s="32"/>
      <c r="H789" s="32"/>
      <c r="I789" s="32"/>
      <c r="J789" s="28">
        <f t="shared" si="605"/>
        <v>0</v>
      </c>
      <c r="K789" s="29"/>
      <c r="L789" s="29"/>
      <c r="M789" s="29"/>
      <c r="N789" s="29"/>
      <c r="O789" s="29"/>
      <c r="P789" s="30">
        <f t="shared" si="607"/>
        <v>0</v>
      </c>
      <c r="Q789" s="31">
        <f t="shared" si="606"/>
        <v>0</v>
      </c>
    </row>
    <row r="790" spans="1:17" x14ac:dyDescent="0.2">
      <c r="A790" s="10"/>
      <c r="B790" s="26"/>
      <c r="C790" s="11">
        <v>1988</v>
      </c>
      <c r="D790" s="32">
        <f>SPFI_CLB14!$D$11</f>
        <v>0.64558800000000005</v>
      </c>
      <c r="E790" s="32"/>
      <c r="F790" s="32"/>
      <c r="G790" s="32"/>
      <c r="H790" s="32"/>
      <c r="I790" s="32"/>
      <c r="J790" s="28">
        <f t="shared" si="605"/>
        <v>0</v>
      </c>
      <c r="K790" s="29"/>
      <c r="L790" s="29"/>
      <c r="M790" s="29"/>
      <c r="N790" s="29"/>
      <c r="O790" s="29"/>
      <c r="P790" s="30">
        <f t="shared" si="607"/>
        <v>0</v>
      </c>
      <c r="Q790" s="31">
        <f t="shared" si="606"/>
        <v>0</v>
      </c>
    </row>
    <row r="791" spans="1:17" x14ac:dyDescent="0.2">
      <c r="A791" s="10"/>
      <c r="B791" s="26"/>
      <c r="C791" s="11">
        <v>1989</v>
      </c>
      <c r="D791" s="32">
        <f>SPFI_CLB14!$D$12</f>
        <v>0.65287700000000004</v>
      </c>
      <c r="E791" s="32"/>
      <c r="F791" s="32"/>
      <c r="G791" s="32"/>
      <c r="H791" s="32"/>
      <c r="I791" s="32"/>
      <c r="J791" s="28">
        <f t="shared" si="605"/>
        <v>0</v>
      </c>
      <c r="K791" s="29"/>
      <c r="L791" s="29"/>
      <c r="M791" s="29"/>
      <c r="N791" s="29"/>
      <c r="O791" s="29"/>
      <c r="P791" s="30">
        <f t="shared" si="607"/>
        <v>0</v>
      </c>
      <c r="Q791" s="31">
        <f t="shared" si="606"/>
        <v>0</v>
      </c>
    </row>
    <row r="792" spans="1:17" x14ac:dyDescent="0.2">
      <c r="A792" s="10"/>
      <c r="B792" s="26"/>
      <c r="C792" s="11">
        <v>1990</v>
      </c>
      <c r="D792" s="32">
        <f>SPFI_CLB14!$D$13</f>
        <v>0.56965100000000002</v>
      </c>
      <c r="E792" s="32"/>
      <c r="F792" s="32"/>
      <c r="G792" s="32"/>
      <c r="H792" s="32"/>
      <c r="I792" s="32"/>
      <c r="J792" s="28">
        <f t="shared" si="605"/>
        <v>0</v>
      </c>
      <c r="K792" s="29"/>
      <c r="L792" s="29"/>
      <c r="M792" s="29"/>
      <c r="N792" s="29"/>
      <c r="O792" s="29"/>
      <c r="P792" s="30">
        <f t="shared" si="607"/>
        <v>0</v>
      </c>
      <c r="Q792" s="31">
        <f t="shared" si="606"/>
        <v>0</v>
      </c>
    </row>
    <row r="793" spans="1:17" x14ac:dyDescent="0.2">
      <c r="A793" s="10"/>
      <c r="B793" s="26"/>
      <c r="C793" s="11">
        <v>1991</v>
      </c>
      <c r="D793" s="32">
        <f>SPFI_CLB14!$D$14</f>
        <v>0.62776900000000002</v>
      </c>
      <c r="E793" s="32"/>
      <c r="F793" s="32"/>
      <c r="G793" s="32"/>
      <c r="H793" s="32"/>
      <c r="I793" s="32"/>
      <c r="J793" s="28">
        <f t="shared" si="605"/>
        <v>0</v>
      </c>
      <c r="K793" s="29"/>
      <c r="L793" s="29"/>
      <c r="M793" s="29"/>
      <c r="N793" s="29"/>
      <c r="O793" s="29"/>
      <c r="P793" s="30">
        <f t="shared" si="607"/>
        <v>0</v>
      </c>
      <c r="Q793" s="31">
        <f t="shared" si="606"/>
        <v>0</v>
      </c>
    </row>
    <row r="794" spans="1:17" x14ac:dyDescent="0.2">
      <c r="A794" s="10"/>
      <c r="B794" s="26"/>
      <c r="C794" s="11">
        <v>1992</v>
      </c>
      <c r="D794" s="32">
        <f>SPFI_CLB14!$D$15</f>
        <v>0.43504100000000001</v>
      </c>
      <c r="E794" s="32"/>
      <c r="F794" s="32"/>
      <c r="G794" s="32"/>
      <c r="H794" s="32"/>
      <c r="I794" s="32"/>
      <c r="J794" s="28">
        <f t="shared" si="605"/>
        <v>0</v>
      </c>
      <c r="K794" s="29"/>
      <c r="L794" s="29"/>
      <c r="M794" s="29"/>
      <c r="N794" s="29"/>
      <c r="O794" s="29"/>
      <c r="P794" s="30">
        <f t="shared" si="607"/>
        <v>0</v>
      </c>
      <c r="Q794" s="31">
        <f t="shared" si="606"/>
        <v>0</v>
      </c>
    </row>
    <row r="795" spans="1:17" x14ac:dyDescent="0.2">
      <c r="A795" s="10"/>
      <c r="B795" s="26"/>
      <c r="C795" s="11">
        <v>1993</v>
      </c>
      <c r="D795" s="32">
        <f>SPFI_CLB14!$D$16</f>
        <v>0.499164</v>
      </c>
      <c r="E795" s="32"/>
      <c r="F795" s="32"/>
      <c r="G795" s="32"/>
      <c r="H795" s="32"/>
      <c r="I795" s="32"/>
      <c r="J795" s="28">
        <f t="shared" si="605"/>
        <v>0</v>
      </c>
      <c r="K795" s="29"/>
      <c r="L795" s="29"/>
      <c r="M795" s="29"/>
      <c r="N795" s="29"/>
      <c r="O795" s="29"/>
      <c r="P795" s="30">
        <f t="shared" si="607"/>
        <v>0</v>
      </c>
      <c r="Q795" s="31">
        <f t="shared" si="606"/>
        <v>0</v>
      </c>
    </row>
    <row r="796" spans="1:17" x14ac:dyDescent="0.2">
      <c r="A796" s="10"/>
      <c r="B796" s="26"/>
      <c r="C796" s="11">
        <v>1994</v>
      </c>
      <c r="D796" s="32">
        <f>SPFI_CLB14!$D$17</f>
        <v>0.59591300000000003</v>
      </c>
      <c r="E796" s="32"/>
      <c r="F796" s="32"/>
      <c r="G796" s="32"/>
      <c r="H796" s="32"/>
      <c r="I796" s="32"/>
      <c r="J796" s="28">
        <f t="shared" si="605"/>
        <v>0</v>
      </c>
      <c r="K796" s="29"/>
      <c r="L796" s="29"/>
      <c r="M796" s="29"/>
      <c r="N796" s="29"/>
      <c r="O796" s="29"/>
      <c r="P796" s="30">
        <f t="shared" si="607"/>
        <v>0</v>
      </c>
      <c r="Q796" s="31">
        <f t="shared" si="606"/>
        <v>0</v>
      </c>
    </row>
    <row r="797" spans="1:17" x14ac:dyDescent="0.2">
      <c r="A797" s="10"/>
      <c r="B797" s="26"/>
      <c r="C797" s="11">
        <v>1995</v>
      </c>
      <c r="D797" s="32">
        <f>SPFI_CLB14!$D$18</f>
        <v>0.25400800000000001</v>
      </c>
      <c r="E797" s="32"/>
      <c r="F797" s="32"/>
      <c r="G797" s="32"/>
      <c r="H797" s="32"/>
      <c r="I797" s="32"/>
      <c r="J797" s="28">
        <f t="shared" ref="J797" si="608">D797*J$25</f>
        <v>0</v>
      </c>
      <c r="K797" s="29"/>
      <c r="L797" s="29"/>
      <c r="M797" s="29"/>
      <c r="N797" s="29"/>
      <c r="O797" s="29"/>
      <c r="P797" s="30">
        <f>SUM(J797:O797)</f>
        <v>0</v>
      </c>
      <c r="Q797" s="31">
        <f t="shared" si="606"/>
        <v>0</v>
      </c>
    </row>
    <row r="798" spans="1:17" x14ac:dyDescent="0.2">
      <c r="A798" s="10"/>
      <c r="B798" s="26"/>
      <c r="C798" s="11">
        <v>1996</v>
      </c>
      <c r="D798" s="32">
        <f>SPFI_CLB14!$D$19</f>
        <v>0</v>
      </c>
      <c r="E798" s="32"/>
      <c r="F798" s="32"/>
      <c r="G798" s="32"/>
      <c r="H798" s="32"/>
      <c r="I798" s="32"/>
      <c r="J798" s="28">
        <f t="shared" ref="J798" si="609">D798*J$25</f>
        <v>0</v>
      </c>
      <c r="K798" s="29"/>
      <c r="L798" s="29"/>
      <c r="M798" s="29"/>
      <c r="N798" s="29"/>
      <c r="O798" s="29"/>
      <c r="P798" s="30">
        <f>SUM(J798:O798)</f>
        <v>0</v>
      </c>
      <c r="Q798" s="31">
        <f t="shared" si="606"/>
        <v>0</v>
      </c>
    </row>
    <row r="799" spans="1:17" x14ac:dyDescent="0.2">
      <c r="A799" s="10"/>
      <c r="B799" s="26"/>
      <c r="C799" s="11">
        <v>1997</v>
      </c>
      <c r="D799" s="32">
        <f>SPFI_CLB14!$D$20</f>
        <v>0.201487</v>
      </c>
      <c r="E799" s="32"/>
      <c r="F799" s="32"/>
      <c r="G799" s="32"/>
      <c r="H799" s="32"/>
      <c r="I799" s="32"/>
      <c r="J799" s="28">
        <f t="shared" ref="J799" si="610">D799*J$25</f>
        <v>0</v>
      </c>
      <c r="K799" s="29"/>
      <c r="L799" s="29"/>
      <c r="M799" s="29"/>
      <c r="N799" s="29"/>
      <c r="O799" s="29"/>
      <c r="P799" s="30">
        <f>SUM(J799:O799)</f>
        <v>0</v>
      </c>
      <c r="Q799" s="31">
        <f t="shared" si="606"/>
        <v>0</v>
      </c>
    </row>
    <row r="800" spans="1:17" x14ac:dyDescent="0.2">
      <c r="A800" s="10"/>
      <c r="B800" s="26"/>
      <c r="C800" s="11">
        <v>1998</v>
      </c>
      <c r="D800" s="32">
        <f>SPFI_CLB14!$D$21</f>
        <v>0.37506400000000001</v>
      </c>
      <c r="E800" s="32"/>
      <c r="F800" s="32"/>
      <c r="G800" s="32"/>
      <c r="H800" s="32"/>
      <c r="I800" s="32"/>
      <c r="J800" s="28">
        <f t="shared" ref="J800" si="611">D800*J$25</f>
        <v>0</v>
      </c>
      <c r="K800" s="29"/>
      <c r="L800" s="29"/>
      <c r="M800" s="29"/>
      <c r="N800" s="29"/>
      <c r="O800" s="29"/>
      <c r="P800" s="30">
        <f>SUM(J800:O800)</f>
        <v>0</v>
      </c>
      <c r="Q800" s="31">
        <f t="shared" si="606"/>
        <v>0</v>
      </c>
    </row>
    <row r="801" spans="1:17" x14ac:dyDescent="0.2">
      <c r="A801" s="10"/>
      <c r="B801" s="26"/>
      <c r="C801" s="11">
        <v>1999</v>
      </c>
      <c r="D801" s="32">
        <f>SPFI_CLB14!$D$22</f>
        <v>0.29823699999999997</v>
      </c>
      <c r="E801" s="32"/>
      <c r="F801" s="32"/>
      <c r="G801" s="32"/>
      <c r="H801" s="32"/>
      <c r="I801" s="32"/>
      <c r="J801" s="28">
        <f t="shared" ref="J801" si="612">D801*J$25</f>
        <v>0</v>
      </c>
      <c r="K801" s="29"/>
      <c r="L801" s="29"/>
      <c r="M801" s="29"/>
      <c r="N801" s="29"/>
      <c r="O801" s="29"/>
      <c r="P801" s="30">
        <f>SUM(J801:O801)</f>
        <v>0</v>
      </c>
      <c r="Q801" s="31">
        <f t="shared" ref="Q801:Q806" si="613">IF(C$25&gt;0,P801/C$25,0)</f>
        <v>0</v>
      </c>
    </row>
    <row r="802" spans="1:17" x14ac:dyDescent="0.2">
      <c r="A802" s="10"/>
      <c r="B802" s="26"/>
      <c r="C802" s="11">
        <v>2000</v>
      </c>
      <c r="D802" s="32">
        <f>SPFI_CLB14!$D$23</f>
        <v>8.4414000000000003E-2</v>
      </c>
      <c r="E802" s="32"/>
      <c r="F802" s="32"/>
      <c r="G802" s="32"/>
      <c r="H802" s="32"/>
      <c r="I802" s="32"/>
      <c r="J802" s="28">
        <f t="shared" ref="J802" si="614">D802*J$25</f>
        <v>0</v>
      </c>
      <c r="K802" s="29"/>
      <c r="L802" s="29"/>
      <c r="M802" s="29"/>
      <c r="N802" s="29"/>
      <c r="O802" s="29"/>
      <c r="P802" s="30">
        <f t="shared" ref="P802:P807" si="615">SUM(J802:O802)</f>
        <v>0</v>
      </c>
      <c r="Q802" s="31">
        <f t="shared" si="613"/>
        <v>0</v>
      </c>
    </row>
    <row r="803" spans="1:17" x14ac:dyDescent="0.2">
      <c r="A803" s="10"/>
      <c r="B803" s="26"/>
      <c r="C803" s="11">
        <v>2001</v>
      </c>
      <c r="D803" s="32">
        <f>SPFI_CLB14!$D$24</f>
        <v>7.8909000000000007E-2</v>
      </c>
      <c r="E803" s="32"/>
      <c r="F803" s="32"/>
      <c r="G803" s="32"/>
      <c r="H803" s="32"/>
      <c r="I803" s="32"/>
      <c r="J803" s="28">
        <f t="shared" ref="J803" si="616">D803*J$25</f>
        <v>0</v>
      </c>
      <c r="K803" s="29"/>
      <c r="L803" s="29"/>
      <c r="M803" s="29"/>
      <c r="N803" s="29"/>
      <c r="O803" s="29"/>
      <c r="P803" s="30">
        <f t="shared" si="615"/>
        <v>0</v>
      </c>
      <c r="Q803" s="31">
        <f t="shared" si="613"/>
        <v>0</v>
      </c>
    </row>
    <row r="804" spans="1:17" x14ac:dyDescent="0.2">
      <c r="A804" s="10"/>
      <c r="B804" s="26"/>
      <c r="C804" s="11">
        <v>2002</v>
      </c>
      <c r="D804" s="32">
        <f>SPFI_CLB14!$D$25</f>
        <v>0.29974699999999999</v>
      </c>
      <c r="E804" s="32"/>
      <c r="F804" s="32"/>
      <c r="G804" s="32"/>
      <c r="H804" s="32"/>
      <c r="I804" s="32"/>
      <c r="J804" s="28">
        <f t="shared" ref="J804" si="617">D804*J$25</f>
        <v>0</v>
      </c>
      <c r="K804" s="29"/>
      <c r="L804" s="29"/>
      <c r="M804" s="29"/>
      <c r="N804" s="29"/>
      <c r="O804" s="29"/>
      <c r="P804" s="30">
        <f t="shared" si="615"/>
        <v>0</v>
      </c>
      <c r="Q804" s="31">
        <f t="shared" si="613"/>
        <v>0</v>
      </c>
    </row>
    <row r="805" spans="1:17" x14ac:dyDescent="0.2">
      <c r="A805" s="10"/>
      <c r="B805" s="26"/>
      <c r="C805" s="11">
        <v>2003</v>
      </c>
      <c r="D805" s="32">
        <f>SPFI_CLB14!$D$26</f>
        <v>0.20691100000000001</v>
      </c>
      <c r="E805" s="32"/>
      <c r="F805" s="32"/>
      <c r="G805" s="32"/>
      <c r="H805" s="32"/>
      <c r="I805" s="32"/>
      <c r="J805" s="28">
        <f t="shared" ref="J805" si="618">D805*J$25</f>
        <v>0</v>
      </c>
      <c r="K805" s="29"/>
      <c r="L805" s="29"/>
      <c r="M805" s="29"/>
      <c r="N805" s="29"/>
      <c r="O805" s="29"/>
      <c r="P805" s="30">
        <f t="shared" si="615"/>
        <v>0</v>
      </c>
      <c r="Q805" s="31">
        <f t="shared" si="613"/>
        <v>0</v>
      </c>
    </row>
    <row r="806" spans="1:17" x14ac:dyDescent="0.2">
      <c r="A806" s="10"/>
      <c r="B806" s="26"/>
      <c r="C806" s="11">
        <v>2004</v>
      </c>
      <c r="D806" s="32">
        <f>SPFI_CLB14!$D$27</f>
        <v>0.269237</v>
      </c>
      <c r="E806" s="32"/>
      <c r="F806" s="32"/>
      <c r="G806" s="32"/>
      <c r="H806" s="32"/>
      <c r="I806" s="32"/>
      <c r="J806" s="28">
        <f t="shared" ref="J806" si="619">D806*J$25</f>
        <v>0</v>
      </c>
      <c r="K806" s="29"/>
      <c r="L806" s="29"/>
      <c r="M806" s="29"/>
      <c r="N806" s="29"/>
      <c r="O806" s="29"/>
      <c r="P806" s="30">
        <f t="shared" si="615"/>
        <v>0</v>
      </c>
      <c r="Q806" s="31">
        <f t="shared" si="613"/>
        <v>0</v>
      </c>
    </row>
    <row r="807" spans="1:17" x14ac:dyDescent="0.2">
      <c r="A807" s="10"/>
      <c r="B807" s="26"/>
      <c r="C807" s="11">
        <v>2005</v>
      </c>
      <c r="D807" s="32">
        <f>SPFI_CLB14!$D$28</f>
        <v>0.37848700000000002</v>
      </c>
      <c r="E807" s="32"/>
      <c r="F807" s="32"/>
      <c r="G807" s="32"/>
      <c r="H807" s="32"/>
      <c r="I807" s="32"/>
      <c r="J807" s="28">
        <f t="shared" ref="J807" si="620">D807*J$25</f>
        <v>0</v>
      </c>
      <c r="K807" s="29"/>
      <c r="L807" s="29"/>
      <c r="M807" s="29"/>
      <c r="N807" s="29"/>
      <c r="O807" s="29"/>
      <c r="P807" s="30">
        <f t="shared" si="615"/>
        <v>0</v>
      </c>
      <c r="Q807" s="31">
        <f t="shared" ref="Q807:Q812" si="621">IF(C$25&gt;0,P807/C$25,0)</f>
        <v>0</v>
      </c>
    </row>
    <row r="808" spans="1:17" x14ac:dyDescent="0.2">
      <c r="A808" s="10"/>
      <c r="B808" s="26"/>
      <c r="C808" s="11">
        <v>2006</v>
      </c>
      <c r="D808" s="32">
        <f>SPFI_CLB14!$D$29</f>
        <v>0.381023</v>
      </c>
      <c r="E808" s="32"/>
      <c r="F808" s="32"/>
      <c r="G808" s="32"/>
      <c r="H808" s="32"/>
      <c r="I808" s="32"/>
      <c r="J808" s="28">
        <f t="shared" ref="J808" si="622">D808*J$25</f>
        <v>0</v>
      </c>
      <c r="K808" s="29"/>
      <c r="L808" s="29"/>
      <c r="M808" s="29"/>
      <c r="N808" s="29"/>
      <c r="O808" s="29"/>
      <c r="P808" s="30">
        <f t="shared" ref="P808:P815" si="623">SUM(J808:O808)</f>
        <v>0</v>
      </c>
      <c r="Q808" s="31">
        <f t="shared" si="621"/>
        <v>0</v>
      </c>
    </row>
    <row r="809" spans="1:17" x14ac:dyDescent="0.2">
      <c r="A809" s="10"/>
      <c r="B809" s="26"/>
      <c r="C809" s="11">
        <v>2007</v>
      </c>
      <c r="D809" s="32">
        <f>SPFI_CLB14!$D$30</f>
        <v>0.356512</v>
      </c>
      <c r="E809" s="32"/>
      <c r="F809" s="32"/>
      <c r="G809" s="32"/>
      <c r="H809" s="32"/>
      <c r="I809" s="32"/>
      <c r="J809" s="28">
        <f t="shared" ref="J809" si="624">D809*J$25</f>
        <v>0</v>
      </c>
      <c r="K809" s="29"/>
      <c r="L809" s="29"/>
      <c r="M809" s="29"/>
      <c r="N809" s="29"/>
      <c r="O809" s="29"/>
      <c r="P809" s="30">
        <f t="shared" si="623"/>
        <v>0</v>
      </c>
      <c r="Q809" s="31">
        <f t="shared" si="621"/>
        <v>0</v>
      </c>
    </row>
    <row r="810" spans="1:17" x14ac:dyDescent="0.2">
      <c r="A810" s="10"/>
      <c r="B810" s="26"/>
      <c r="C810" s="11">
        <v>2008</v>
      </c>
      <c r="D810" s="32">
        <f>SPFI_CLB14!$D$31</f>
        <v>0.25494499999999998</v>
      </c>
      <c r="E810" s="32"/>
      <c r="F810" s="32"/>
      <c r="G810" s="32"/>
      <c r="H810" s="32"/>
      <c r="I810" s="32"/>
      <c r="J810" s="28">
        <f t="shared" ref="J810" si="625">D810*J$25</f>
        <v>0</v>
      </c>
      <c r="K810" s="29"/>
      <c r="L810" s="29"/>
      <c r="M810" s="29"/>
      <c r="N810" s="29"/>
      <c r="O810" s="29"/>
      <c r="P810" s="30">
        <f t="shared" si="623"/>
        <v>0</v>
      </c>
      <c r="Q810" s="31">
        <f t="shared" si="621"/>
        <v>0</v>
      </c>
    </row>
    <row r="811" spans="1:17" x14ac:dyDescent="0.2">
      <c r="A811" s="10"/>
      <c r="B811" s="26"/>
      <c r="C811" s="11">
        <v>2009</v>
      </c>
      <c r="D811" s="32">
        <f>SPFI_CLB14!$D$32</f>
        <v>0.52383000000000002</v>
      </c>
      <c r="E811" s="32"/>
      <c r="F811" s="32"/>
      <c r="G811" s="32"/>
      <c r="H811" s="32"/>
      <c r="I811" s="32"/>
      <c r="J811" s="28">
        <f t="shared" ref="J811" si="626">D811*J$25</f>
        <v>0</v>
      </c>
      <c r="K811" s="29"/>
      <c r="L811" s="29"/>
      <c r="M811" s="29"/>
      <c r="N811" s="29"/>
      <c r="O811" s="29"/>
      <c r="P811" s="30">
        <f t="shared" si="623"/>
        <v>0</v>
      </c>
      <c r="Q811" s="31">
        <f t="shared" si="621"/>
        <v>0</v>
      </c>
    </row>
    <row r="812" spans="1:17" x14ac:dyDescent="0.2">
      <c r="A812" s="10"/>
      <c r="B812" s="26"/>
      <c r="C812" s="11">
        <v>2010</v>
      </c>
      <c r="D812" s="32">
        <f>SPFI_CLB14!$D$33</f>
        <v>0.31394</v>
      </c>
      <c r="E812" s="32"/>
      <c r="F812" s="32"/>
      <c r="G812" s="32"/>
      <c r="H812" s="32"/>
      <c r="I812" s="32"/>
      <c r="J812" s="28">
        <f t="shared" ref="J812" si="627">D812*J$25</f>
        <v>0</v>
      </c>
      <c r="K812" s="29"/>
      <c r="L812" s="29"/>
      <c r="M812" s="29"/>
      <c r="N812" s="29"/>
      <c r="O812" s="29"/>
      <c r="P812" s="30">
        <f t="shared" si="623"/>
        <v>0</v>
      </c>
      <c r="Q812" s="31">
        <f t="shared" si="621"/>
        <v>0</v>
      </c>
    </row>
    <row r="813" spans="1:17" x14ac:dyDescent="0.2">
      <c r="A813" s="10"/>
      <c r="B813" s="26"/>
      <c r="C813" s="11">
        <v>2011</v>
      </c>
      <c r="D813" s="32">
        <f>SPFI_CLB14!$D$34</f>
        <v>0.294348</v>
      </c>
      <c r="E813" s="32"/>
      <c r="F813" s="32"/>
      <c r="G813" s="32"/>
      <c r="H813" s="32"/>
      <c r="I813" s="32"/>
      <c r="J813" s="28">
        <f t="shared" ref="J813" si="628">D813*J$25</f>
        <v>0</v>
      </c>
      <c r="K813" s="29"/>
      <c r="L813" s="29"/>
      <c r="M813" s="29"/>
      <c r="N813" s="29"/>
      <c r="O813" s="29"/>
      <c r="P813" s="30">
        <f t="shared" ref="P813" si="629">SUM(J813:O813)</f>
        <v>0</v>
      </c>
      <c r="Q813" s="31">
        <f t="shared" ref="Q813" si="630">IF(C$25&gt;0,P813/C$25,0)</f>
        <v>0</v>
      </c>
    </row>
    <row r="814" spans="1:17" x14ac:dyDescent="0.2">
      <c r="A814" s="10"/>
      <c r="B814" s="26"/>
      <c r="C814" s="11">
        <v>2012</v>
      </c>
      <c r="D814" s="32">
        <f>SPFI_CLB14!$D$35</f>
        <v>0.34784100000000001</v>
      </c>
      <c r="E814" s="32"/>
      <c r="F814" s="32"/>
      <c r="G814" s="32"/>
      <c r="H814" s="32"/>
      <c r="I814" s="32"/>
      <c r="J814" s="28">
        <f t="shared" ref="J814" si="631">D814*J$25</f>
        <v>0</v>
      </c>
      <c r="K814" s="29"/>
      <c r="L814" s="29"/>
      <c r="M814" s="29"/>
      <c r="N814" s="29"/>
      <c r="O814" s="29"/>
      <c r="P814" s="30">
        <f t="shared" ref="P814" si="632">SUM(J814:O814)</f>
        <v>0</v>
      </c>
      <c r="Q814" s="31">
        <f t="shared" ref="Q814" si="633">IF(C$25&gt;0,P814/C$25,0)</f>
        <v>0</v>
      </c>
    </row>
    <row r="815" spans="1:17" x14ac:dyDescent="0.2">
      <c r="A815" s="5" t="s">
        <v>11</v>
      </c>
      <c r="B815" s="21">
        <v>4</v>
      </c>
      <c r="C815" s="6">
        <v>1982</v>
      </c>
      <c r="D815" s="27">
        <f>SPFI_CLB14!$D$5</f>
        <v>0.98153299999999999</v>
      </c>
      <c r="E815" s="27"/>
      <c r="F815" s="27"/>
      <c r="G815" s="27"/>
      <c r="H815" s="27"/>
      <c r="I815" s="27"/>
      <c r="J815" s="33">
        <f t="shared" ref="J815:J827" si="634">D815*J$26</f>
        <v>0</v>
      </c>
      <c r="K815" s="27"/>
      <c r="L815" s="27"/>
      <c r="M815" s="27"/>
      <c r="N815" s="27"/>
      <c r="O815" s="27"/>
      <c r="P815" s="34">
        <f t="shared" si="623"/>
        <v>0</v>
      </c>
      <c r="Q815" s="35">
        <f t="shared" ref="Q815:Q831" si="635">IF(C$26&gt;0,P815/C$26,0)</f>
        <v>0</v>
      </c>
    </row>
    <row r="816" spans="1:17" x14ac:dyDescent="0.2">
      <c r="A816" s="10"/>
      <c r="B816" s="26"/>
      <c r="C816" s="11">
        <v>1983</v>
      </c>
      <c r="D816" s="32">
        <f>SPFI_CLB14!$D$6</f>
        <v>0.93659899999999996</v>
      </c>
      <c r="E816" s="32"/>
      <c r="F816" s="32"/>
      <c r="G816" s="32"/>
      <c r="H816" s="32"/>
      <c r="I816" s="32"/>
      <c r="J816" s="28">
        <f t="shared" si="634"/>
        <v>0</v>
      </c>
      <c r="K816" s="29"/>
      <c r="L816" s="29"/>
      <c r="M816" s="29"/>
      <c r="N816" s="29"/>
      <c r="O816" s="29"/>
      <c r="P816" s="30">
        <f t="shared" ref="P816:P827" si="636">SUM(J816:O816)</f>
        <v>0</v>
      </c>
      <c r="Q816" s="31">
        <f t="shared" si="635"/>
        <v>0</v>
      </c>
    </row>
    <row r="817" spans="1:17" x14ac:dyDescent="0.2">
      <c r="A817" s="10"/>
      <c r="B817" s="26"/>
      <c r="C817" s="11">
        <v>1984</v>
      </c>
      <c r="D817" s="32">
        <f>SPFI_CLB14!$D$7</f>
        <v>0.92793599999999998</v>
      </c>
      <c r="E817" s="32"/>
      <c r="F817" s="32"/>
      <c r="G817" s="32"/>
      <c r="H817" s="32"/>
      <c r="I817" s="32"/>
      <c r="J817" s="28">
        <f t="shared" si="634"/>
        <v>0</v>
      </c>
      <c r="K817" s="29"/>
      <c r="L817" s="29"/>
      <c r="M817" s="29"/>
      <c r="N817" s="29"/>
      <c r="O817" s="29"/>
      <c r="P817" s="30">
        <f t="shared" si="636"/>
        <v>0</v>
      </c>
      <c r="Q817" s="31">
        <f t="shared" si="635"/>
        <v>0</v>
      </c>
    </row>
    <row r="818" spans="1:17" x14ac:dyDescent="0.2">
      <c r="A818" s="10"/>
      <c r="B818" s="26"/>
      <c r="C818" s="11">
        <v>1985</v>
      </c>
      <c r="D818" s="32">
        <f>SPFI_CLB14!$D$8</f>
        <v>0.90386500000000003</v>
      </c>
      <c r="E818" s="32"/>
      <c r="F818" s="32"/>
      <c r="G818" s="32"/>
      <c r="H818" s="32"/>
      <c r="I818" s="32"/>
      <c r="J818" s="28">
        <f t="shared" si="634"/>
        <v>0</v>
      </c>
      <c r="K818" s="29"/>
      <c r="L818" s="29"/>
      <c r="M818" s="29"/>
      <c r="N818" s="29"/>
      <c r="O818" s="29"/>
      <c r="P818" s="30">
        <f t="shared" si="636"/>
        <v>0</v>
      </c>
      <c r="Q818" s="31">
        <f t="shared" si="635"/>
        <v>0</v>
      </c>
    </row>
    <row r="819" spans="1:17" x14ac:dyDescent="0.2">
      <c r="A819" s="10"/>
      <c r="B819" s="26"/>
      <c r="C819" s="11">
        <v>1986</v>
      </c>
      <c r="D819" s="32">
        <f>SPFI_CLB14!$D$9</f>
        <v>0.73087500000000005</v>
      </c>
      <c r="E819" s="32"/>
      <c r="F819" s="32"/>
      <c r="G819" s="32"/>
      <c r="H819" s="32"/>
      <c r="I819" s="32"/>
      <c r="J819" s="28">
        <f t="shared" si="634"/>
        <v>0</v>
      </c>
      <c r="K819" s="29"/>
      <c r="L819" s="29"/>
      <c r="M819" s="29"/>
      <c r="N819" s="29"/>
      <c r="O819" s="29"/>
      <c r="P819" s="30">
        <f t="shared" si="636"/>
        <v>0</v>
      </c>
      <c r="Q819" s="31">
        <f t="shared" si="635"/>
        <v>0</v>
      </c>
    </row>
    <row r="820" spans="1:17" x14ac:dyDescent="0.2">
      <c r="A820" s="10"/>
      <c r="B820" s="26"/>
      <c r="C820" s="11">
        <v>1987</v>
      </c>
      <c r="D820" s="32">
        <f>SPFI_CLB14!$D$10</f>
        <v>0.71733499999999994</v>
      </c>
      <c r="E820" s="32"/>
      <c r="F820" s="32"/>
      <c r="G820" s="32"/>
      <c r="H820" s="32"/>
      <c r="I820" s="32"/>
      <c r="J820" s="28">
        <f t="shared" si="634"/>
        <v>0</v>
      </c>
      <c r="K820" s="29"/>
      <c r="L820" s="29"/>
      <c r="M820" s="29"/>
      <c r="N820" s="29"/>
      <c r="O820" s="29"/>
      <c r="P820" s="30">
        <f t="shared" si="636"/>
        <v>0</v>
      </c>
      <c r="Q820" s="31">
        <f t="shared" si="635"/>
        <v>0</v>
      </c>
    </row>
    <row r="821" spans="1:17" x14ac:dyDescent="0.2">
      <c r="A821" s="10"/>
      <c r="B821" s="26"/>
      <c r="C821" s="11">
        <v>1988</v>
      </c>
      <c r="D821" s="32">
        <f>SPFI_CLB14!$D$11</f>
        <v>0.64558800000000005</v>
      </c>
      <c r="E821" s="32"/>
      <c r="F821" s="32"/>
      <c r="G821" s="32"/>
      <c r="H821" s="32"/>
      <c r="I821" s="32"/>
      <c r="J821" s="28">
        <f t="shared" si="634"/>
        <v>0</v>
      </c>
      <c r="K821" s="29"/>
      <c r="L821" s="29"/>
      <c r="M821" s="29"/>
      <c r="N821" s="29"/>
      <c r="O821" s="29"/>
      <c r="P821" s="30">
        <f t="shared" si="636"/>
        <v>0</v>
      </c>
      <c r="Q821" s="31">
        <f t="shared" si="635"/>
        <v>0</v>
      </c>
    </row>
    <row r="822" spans="1:17" x14ac:dyDescent="0.2">
      <c r="A822" s="10"/>
      <c r="B822" s="26"/>
      <c r="C822" s="11">
        <v>1989</v>
      </c>
      <c r="D822" s="32">
        <f>SPFI_CLB14!$D$12</f>
        <v>0.65287700000000004</v>
      </c>
      <c r="E822" s="32"/>
      <c r="F822" s="32"/>
      <c r="G822" s="32"/>
      <c r="H822" s="32"/>
      <c r="I822" s="32"/>
      <c r="J822" s="28">
        <f t="shared" si="634"/>
        <v>0</v>
      </c>
      <c r="K822" s="29"/>
      <c r="L822" s="29"/>
      <c r="M822" s="29"/>
      <c r="N822" s="29"/>
      <c r="O822" s="29"/>
      <c r="P822" s="30">
        <f t="shared" si="636"/>
        <v>0</v>
      </c>
      <c r="Q822" s="31">
        <f t="shared" si="635"/>
        <v>0</v>
      </c>
    </row>
    <row r="823" spans="1:17" x14ac:dyDescent="0.2">
      <c r="A823" s="10"/>
      <c r="B823" s="26"/>
      <c r="C823" s="11">
        <v>1990</v>
      </c>
      <c r="D823" s="32">
        <f>SPFI_CLB14!$D$13</f>
        <v>0.56965100000000002</v>
      </c>
      <c r="E823" s="32"/>
      <c r="F823" s="32"/>
      <c r="G823" s="32"/>
      <c r="H823" s="32"/>
      <c r="I823" s="32"/>
      <c r="J823" s="28">
        <f t="shared" si="634"/>
        <v>0</v>
      </c>
      <c r="K823" s="29"/>
      <c r="L823" s="29"/>
      <c r="M823" s="29"/>
      <c r="N823" s="29"/>
      <c r="O823" s="29"/>
      <c r="P823" s="30">
        <f t="shared" si="636"/>
        <v>0</v>
      </c>
      <c r="Q823" s="31">
        <f t="shared" si="635"/>
        <v>0</v>
      </c>
    </row>
    <row r="824" spans="1:17" x14ac:dyDescent="0.2">
      <c r="A824" s="10"/>
      <c r="B824" s="26"/>
      <c r="C824" s="11">
        <v>1991</v>
      </c>
      <c r="D824" s="32">
        <f>SPFI_CLB14!$D$14</f>
        <v>0.62776900000000002</v>
      </c>
      <c r="E824" s="32"/>
      <c r="F824" s="32"/>
      <c r="G824" s="32"/>
      <c r="H824" s="32"/>
      <c r="I824" s="32"/>
      <c r="J824" s="28">
        <f t="shared" si="634"/>
        <v>0</v>
      </c>
      <c r="K824" s="29"/>
      <c r="L824" s="29"/>
      <c r="M824" s="29"/>
      <c r="N824" s="29"/>
      <c r="O824" s="29"/>
      <c r="P824" s="30">
        <f t="shared" si="636"/>
        <v>0</v>
      </c>
      <c r="Q824" s="31">
        <f t="shared" si="635"/>
        <v>0</v>
      </c>
    </row>
    <row r="825" spans="1:17" x14ac:dyDescent="0.2">
      <c r="A825" s="10"/>
      <c r="B825" s="26"/>
      <c r="C825" s="11">
        <v>1992</v>
      </c>
      <c r="D825" s="32">
        <f>SPFI_CLB14!$D$15</f>
        <v>0.43504100000000001</v>
      </c>
      <c r="E825" s="32"/>
      <c r="F825" s="32"/>
      <c r="G825" s="32"/>
      <c r="H825" s="32"/>
      <c r="I825" s="32"/>
      <c r="J825" s="28">
        <f t="shared" si="634"/>
        <v>0</v>
      </c>
      <c r="K825" s="29"/>
      <c r="L825" s="29"/>
      <c r="M825" s="29"/>
      <c r="N825" s="29"/>
      <c r="O825" s="29"/>
      <c r="P825" s="30">
        <f t="shared" si="636"/>
        <v>0</v>
      </c>
      <c r="Q825" s="31">
        <f t="shared" si="635"/>
        <v>0</v>
      </c>
    </row>
    <row r="826" spans="1:17" x14ac:dyDescent="0.2">
      <c r="A826" s="10"/>
      <c r="B826" s="26"/>
      <c r="C826" s="11">
        <v>1993</v>
      </c>
      <c r="D826" s="32">
        <f>SPFI_CLB14!$D$16</f>
        <v>0.499164</v>
      </c>
      <c r="E826" s="32"/>
      <c r="F826" s="32"/>
      <c r="G826" s="32"/>
      <c r="H826" s="32"/>
      <c r="I826" s="32"/>
      <c r="J826" s="28">
        <f t="shared" si="634"/>
        <v>0</v>
      </c>
      <c r="K826" s="29"/>
      <c r="L826" s="29"/>
      <c r="M826" s="29"/>
      <c r="N826" s="29"/>
      <c r="O826" s="29"/>
      <c r="P826" s="30">
        <f t="shared" si="636"/>
        <v>0</v>
      </c>
      <c r="Q826" s="31">
        <f t="shared" si="635"/>
        <v>0</v>
      </c>
    </row>
    <row r="827" spans="1:17" x14ac:dyDescent="0.2">
      <c r="A827" s="10"/>
      <c r="B827" s="26"/>
      <c r="C827" s="11">
        <v>1994</v>
      </c>
      <c r="D827" s="32">
        <f>SPFI_CLB14!$D$17</f>
        <v>0.59591300000000003</v>
      </c>
      <c r="E827" s="32"/>
      <c r="F827" s="32"/>
      <c r="G827" s="32"/>
      <c r="H827" s="32"/>
      <c r="I827" s="32"/>
      <c r="J827" s="28">
        <f t="shared" si="634"/>
        <v>0</v>
      </c>
      <c r="K827" s="29"/>
      <c r="L827" s="29"/>
      <c r="M827" s="29"/>
      <c r="N827" s="29"/>
      <c r="O827" s="29"/>
      <c r="P827" s="30">
        <f t="shared" si="636"/>
        <v>0</v>
      </c>
      <c r="Q827" s="31">
        <f t="shared" si="635"/>
        <v>0</v>
      </c>
    </row>
    <row r="828" spans="1:17" x14ac:dyDescent="0.2">
      <c r="A828" s="10"/>
      <c r="B828" s="26"/>
      <c r="C828" s="11">
        <v>1995</v>
      </c>
      <c r="D828" s="32">
        <f>SPFI_CLB14!$D$18</f>
        <v>0.25400800000000001</v>
      </c>
      <c r="E828" s="32"/>
      <c r="F828" s="32"/>
      <c r="G828" s="32"/>
      <c r="H828" s="32"/>
      <c r="I828" s="32"/>
      <c r="J828" s="28">
        <f t="shared" ref="J828" si="637">D828*J$26</f>
        <v>0</v>
      </c>
      <c r="K828" s="29"/>
      <c r="L828" s="29"/>
      <c r="M828" s="29"/>
      <c r="N828" s="29"/>
      <c r="O828" s="29"/>
      <c r="P828" s="30">
        <f>SUM(J828:O828)</f>
        <v>0</v>
      </c>
      <c r="Q828" s="31">
        <f t="shared" si="635"/>
        <v>0</v>
      </c>
    </row>
    <row r="829" spans="1:17" x14ac:dyDescent="0.2">
      <c r="A829" s="10"/>
      <c r="B829" s="26"/>
      <c r="C829" s="11">
        <v>1996</v>
      </c>
      <c r="D829" s="32">
        <f>SPFI_CLB14!$D$19</f>
        <v>0</v>
      </c>
      <c r="E829" s="32"/>
      <c r="F829" s="32"/>
      <c r="G829" s="32"/>
      <c r="H829" s="32"/>
      <c r="I829" s="32"/>
      <c r="J829" s="28">
        <f t="shared" ref="J829" si="638">D829*J$26</f>
        <v>0</v>
      </c>
      <c r="K829" s="29"/>
      <c r="L829" s="29"/>
      <c r="M829" s="29"/>
      <c r="N829" s="29"/>
      <c r="O829" s="29"/>
      <c r="P829" s="30">
        <f>SUM(J829:O829)</f>
        <v>0</v>
      </c>
      <c r="Q829" s="31">
        <f t="shared" si="635"/>
        <v>0</v>
      </c>
    </row>
    <row r="830" spans="1:17" x14ac:dyDescent="0.2">
      <c r="A830" s="10"/>
      <c r="B830" s="26"/>
      <c r="C830" s="11">
        <v>1997</v>
      </c>
      <c r="D830" s="32">
        <f>SPFI_CLB14!$D$20</f>
        <v>0.201487</v>
      </c>
      <c r="E830" s="32"/>
      <c r="F830" s="32"/>
      <c r="G830" s="32"/>
      <c r="H830" s="32"/>
      <c r="I830" s="32"/>
      <c r="J830" s="28">
        <f t="shared" ref="J830" si="639">D830*J$26</f>
        <v>0</v>
      </c>
      <c r="K830" s="29"/>
      <c r="L830" s="29"/>
      <c r="M830" s="29"/>
      <c r="N830" s="29"/>
      <c r="O830" s="29"/>
      <c r="P830" s="30">
        <f>SUM(J830:O830)</f>
        <v>0</v>
      </c>
      <c r="Q830" s="31">
        <f t="shared" si="635"/>
        <v>0</v>
      </c>
    </row>
    <row r="831" spans="1:17" x14ac:dyDescent="0.2">
      <c r="A831" s="10"/>
      <c r="B831" s="26"/>
      <c r="C831" s="11">
        <v>1998</v>
      </c>
      <c r="D831" s="32">
        <f>SPFI_CLB14!$D$21</f>
        <v>0.37506400000000001</v>
      </c>
      <c r="E831" s="32"/>
      <c r="F831" s="32"/>
      <c r="G831" s="32"/>
      <c r="H831" s="32"/>
      <c r="I831" s="32"/>
      <c r="J831" s="28">
        <f t="shared" ref="J831" si="640">D831*J$26</f>
        <v>0</v>
      </c>
      <c r="K831" s="29"/>
      <c r="L831" s="29"/>
      <c r="M831" s="29"/>
      <c r="N831" s="29"/>
      <c r="O831" s="29"/>
      <c r="P831" s="30">
        <f>SUM(J831:O831)</f>
        <v>0</v>
      </c>
      <c r="Q831" s="31">
        <f t="shared" si="635"/>
        <v>0</v>
      </c>
    </row>
    <row r="832" spans="1:17" x14ac:dyDescent="0.2">
      <c r="A832" s="10"/>
      <c r="B832" s="26"/>
      <c r="C832" s="11">
        <v>1999</v>
      </c>
      <c r="D832" s="32">
        <f>SPFI_CLB14!$D$22</f>
        <v>0.29823699999999997</v>
      </c>
      <c r="E832" s="32"/>
      <c r="F832" s="32"/>
      <c r="G832" s="32"/>
      <c r="H832" s="32"/>
      <c r="I832" s="32"/>
      <c r="J832" s="28">
        <f t="shared" ref="J832" si="641">D832*J$26</f>
        <v>0</v>
      </c>
      <c r="K832" s="29"/>
      <c r="L832" s="29"/>
      <c r="M832" s="29"/>
      <c r="N832" s="29"/>
      <c r="O832" s="29"/>
      <c r="P832" s="30">
        <f>SUM(J832:O832)</f>
        <v>0</v>
      </c>
      <c r="Q832" s="31">
        <f t="shared" ref="Q832:Q837" si="642">IF(C$26&gt;0,P832/C$26,0)</f>
        <v>0</v>
      </c>
    </row>
    <row r="833" spans="1:17" x14ac:dyDescent="0.2">
      <c r="A833" s="10"/>
      <c r="B833" s="26"/>
      <c r="C833" s="11">
        <v>2000</v>
      </c>
      <c r="D833" s="32">
        <f>SPFI_CLB14!$D$23</f>
        <v>8.4414000000000003E-2</v>
      </c>
      <c r="E833" s="32"/>
      <c r="F833" s="32"/>
      <c r="G833" s="32"/>
      <c r="H833" s="32"/>
      <c r="I833" s="32"/>
      <c r="J833" s="28">
        <f t="shared" ref="J833" si="643">D833*J$26</f>
        <v>0</v>
      </c>
      <c r="K833" s="29"/>
      <c r="L833" s="29"/>
      <c r="M833" s="29"/>
      <c r="N833" s="29"/>
      <c r="O833" s="29"/>
      <c r="P833" s="30">
        <f t="shared" ref="P833:P838" si="644">SUM(J833:O833)</f>
        <v>0</v>
      </c>
      <c r="Q833" s="31">
        <f t="shared" si="642"/>
        <v>0</v>
      </c>
    </row>
    <row r="834" spans="1:17" x14ac:dyDescent="0.2">
      <c r="A834" s="10"/>
      <c r="B834" s="26"/>
      <c r="C834" s="11">
        <v>2001</v>
      </c>
      <c r="D834" s="32">
        <f>SPFI_CLB14!$D$24</f>
        <v>7.8909000000000007E-2</v>
      </c>
      <c r="E834" s="32"/>
      <c r="F834" s="32"/>
      <c r="G834" s="32"/>
      <c r="H834" s="32"/>
      <c r="I834" s="32"/>
      <c r="J834" s="28">
        <f t="shared" ref="J834" si="645">D834*J$26</f>
        <v>0</v>
      </c>
      <c r="K834" s="29"/>
      <c r="L834" s="29"/>
      <c r="M834" s="29"/>
      <c r="N834" s="29"/>
      <c r="O834" s="29"/>
      <c r="P834" s="30">
        <f t="shared" si="644"/>
        <v>0</v>
      </c>
      <c r="Q834" s="31">
        <f t="shared" si="642"/>
        <v>0</v>
      </c>
    </row>
    <row r="835" spans="1:17" x14ac:dyDescent="0.2">
      <c r="A835" s="10"/>
      <c r="B835" s="26"/>
      <c r="C835" s="11">
        <v>2002</v>
      </c>
      <c r="D835" s="32">
        <f>SPFI_CLB14!$D$25</f>
        <v>0.29974699999999999</v>
      </c>
      <c r="E835" s="32"/>
      <c r="F835" s="32"/>
      <c r="G835" s="32"/>
      <c r="H835" s="32"/>
      <c r="I835" s="32"/>
      <c r="J835" s="28">
        <f t="shared" ref="J835" si="646">D835*J$26</f>
        <v>0</v>
      </c>
      <c r="K835" s="29"/>
      <c r="L835" s="29"/>
      <c r="M835" s="29"/>
      <c r="N835" s="29"/>
      <c r="O835" s="29"/>
      <c r="P835" s="30">
        <f t="shared" si="644"/>
        <v>0</v>
      </c>
      <c r="Q835" s="31">
        <f t="shared" si="642"/>
        <v>0</v>
      </c>
    </row>
    <row r="836" spans="1:17" x14ac:dyDescent="0.2">
      <c r="A836" s="10"/>
      <c r="B836" s="26"/>
      <c r="C836" s="11">
        <v>2003</v>
      </c>
      <c r="D836" s="32">
        <f>SPFI_CLB14!$D$26</f>
        <v>0.20691100000000001</v>
      </c>
      <c r="E836" s="32"/>
      <c r="F836" s="32"/>
      <c r="G836" s="32"/>
      <c r="H836" s="32"/>
      <c r="I836" s="32"/>
      <c r="J836" s="28">
        <f t="shared" ref="J836" si="647">D836*J$26</f>
        <v>0</v>
      </c>
      <c r="K836" s="29"/>
      <c r="L836" s="29"/>
      <c r="M836" s="29"/>
      <c r="N836" s="29"/>
      <c r="O836" s="29"/>
      <c r="P836" s="30">
        <f t="shared" si="644"/>
        <v>0</v>
      </c>
      <c r="Q836" s="31">
        <f t="shared" si="642"/>
        <v>0</v>
      </c>
    </row>
    <row r="837" spans="1:17" x14ac:dyDescent="0.2">
      <c r="A837" s="10"/>
      <c r="B837" s="26"/>
      <c r="C837" s="11">
        <v>2004</v>
      </c>
      <c r="D837" s="32">
        <f>SPFI_CLB14!$D$27</f>
        <v>0.269237</v>
      </c>
      <c r="E837" s="32"/>
      <c r="F837" s="32"/>
      <c r="G837" s="32"/>
      <c r="H837" s="32"/>
      <c r="I837" s="32"/>
      <c r="J837" s="28">
        <f t="shared" ref="J837" si="648">D837*J$26</f>
        <v>0</v>
      </c>
      <c r="K837" s="29"/>
      <c r="L837" s="29"/>
      <c r="M837" s="29"/>
      <c r="N837" s="29"/>
      <c r="O837" s="29"/>
      <c r="P837" s="30">
        <f t="shared" si="644"/>
        <v>0</v>
      </c>
      <c r="Q837" s="31">
        <f t="shared" si="642"/>
        <v>0</v>
      </c>
    </row>
    <row r="838" spans="1:17" x14ac:dyDescent="0.2">
      <c r="A838" s="10"/>
      <c r="B838" s="26"/>
      <c r="C838" s="11">
        <v>2005</v>
      </c>
      <c r="D838" s="32">
        <f>SPFI_CLB14!$D$28</f>
        <v>0.37848700000000002</v>
      </c>
      <c r="E838" s="32"/>
      <c r="F838" s="32"/>
      <c r="G838" s="32"/>
      <c r="H838" s="32"/>
      <c r="I838" s="32"/>
      <c r="J838" s="28">
        <f t="shared" ref="J838" si="649">D838*J$26</f>
        <v>0</v>
      </c>
      <c r="K838" s="29"/>
      <c r="L838" s="29"/>
      <c r="M838" s="29"/>
      <c r="N838" s="29"/>
      <c r="O838" s="29"/>
      <c r="P838" s="30">
        <f t="shared" si="644"/>
        <v>0</v>
      </c>
      <c r="Q838" s="31">
        <f t="shared" ref="Q838:Q843" si="650">IF(C$26&gt;0,P838/C$26,0)</f>
        <v>0</v>
      </c>
    </row>
    <row r="839" spans="1:17" x14ac:dyDescent="0.2">
      <c r="A839" s="10"/>
      <c r="B839" s="26"/>
      <c r="C839" s="11">
        <v>2006</v>
      </c>
      <c r="D839" s="32">
        <f>SPFI_CLB14!$D$29</f>
        <v>0.381023</v>
      </c>
      <c r="E839" s="32"/>
      <c r="F839" s="32"/>
      <c r="G839" s="32"/>
      <c r="H839" s="32"/>
      <c r="I839" s="32"/>
      <c r="J839" s="28">
        <f t="shared" ref="J839" si="651">D839*J$26</f>
        <v>0</v>
      </c>
      <c r="K839" s="29"/>
      <c r="L839" s="29"/>
      <c r="M839" s="29"/>
      <c r="N839" s="29"/>
      <c r="O839" s="29"/>
      <c r="P839" s="30">
        <f t="shared" ref="P839:P846" si="652">SUM(J839:O839)</f>
        <v>0</v>
      </c>
      <c r="Q839" s="31">
        <f t="shared" si="650"/>
        <v>0</v>
      </c>
    </row>
    <row r="840" spans="1:17" x14ac:dyDescent="0.2">
      <c r="A840" s="10"/>
      <c r="B840" s="26"/>
      <c r="C840" s="11">
        <v>2007</v>
      </c>
      <c r="D840" s="32">
        <f>SPFI_CLB14!$D$30</f>
        <v>0.356512</v>
      </c>
      <c r="E840" s="32"/>
      <c r="F840" s="32"/>
      <c r="G840" s="32"/>
      <c r="H840" s="32"/>
      <c r="I840" s="32"/>
      <c r="J840" s="28">
        <f t="shared" ref="J840" si="653">D840*J$26</f>
        <v>0</v>
      </c>
      <c r="K840" s="29"/>
      <c r="L840" s="29"/>
      <c r="M840" s="29"/>
      <c r="N840" s="29"/>
      <c r="O840" s="29"/>
      <c r="P840" s="30">
        <f t="shared" si="652"/>
        <v>0</v>
      </c>
      <c r="Q840" s="31">
        <f t="shared" si="650"/>
        <v>0</v>
      </c>
    </row>
    <row r="841" spans="1:17" x14ac:dyDescent="0.2">
      <c r="A841" s="10"/>
      <c r="B841" s="26"/>
      <c r="C841" s="11">
        <v>2008</v>
      </c>
      <c r="D841" s="32">
        <f>SPFI_CLB14!$D$31</f>
        <v>0.25494499999999998</v>
      </c>
      <c r="E841" s="32"/>
      <c r="F841" s="32"/>
      <c r="G841" s="32"/>
      <c r="H841" s="32"/>
      <c r="I841" s="32"/>
      <c r="J841" s="28">
        <f t="shared" ref="J841" si="654">D841*J$26</f>
        <v>0</v>
      </c>
      <c r="K841" s="29"/>
      <c r="L841" s="29"/>
      <c r="M841" s="29"/>
      <c r="N841" s="29"/>
      <c r="O841" s="29"/>
      <c r="P841" s="30">
        <f t="shared" si="652"/>
        <v>0</v>
      </c>
      <c r="Q841" s="31">
        <f t="shared" si="650"/>
        <v>0</v>
      </c>
    </row>
    <row r="842" spans="1:17" x14ac:dyDescent="0.2">
      <c r="A842" s="10"/>
      <c r="B842" s="26"/>
      <c r="C842" s="11">
        <v>2009</v>
      </c>
      <c r="D842" s="32">
        <f>SPFI_CLB14!$D$32</f>
        <v>0.52383000000000002</v>
      </c>
      <c r="E842" s="32"/>
      <c r="F842" s="32"/>
      <c r="G842" s="32"/>
      <c r="H842" s="32"/>
      <c r="I842" s="32"/>
      <c r="J842" s="28">
        <f t="shared" ref="J842" si="655">D842*J$26</f>
        <v>0</v>
      </c>
      <c r="K842" s="29"/>
      <c r="L842" s="29"/>
      <c r="M842" s="29"/>
      <c r="N842" s="29"/>
      <c r="O842" s="29"/>
      <c r="P842" s="30">
        <f t="shared" si="652"/>
        <v>0</v>
      </c>
      <c r="Q842" s="31">
        <f t="shared" si="650"/>
        <v>0</v>
      </c>
    </row>
    <row r="843" spans="1:17" x14ac:dyDescent="0.2">
      <c r="A843" s="10"/>
      <c r="B843" s="26"/>
      <c r="C843" s="11">
        <v>2010</v>
      </c>
      <c r="D843" s="32">
        <f>SPFI_CLB14!$D$33</f>
        <v>0.31394</v>
      </c>
      <c r="E843" s="32"/>
      <c r="F843" s="32"/>
      <c r="G843" s="32"/>
      <c r="H843" s="32"/>
      <c r="I843" s="32"/>
      <c r="J843" s="28">
        <f t="shared" ref="J843" si="656">D843*J$26</f>
        <v>0</v>
      </c>
      <c r="K843" s="29"/>
      <c r="L843" s="29"/>
      <c r="M843" s="29"/>
      <c r="N843" s="29"/>
      <c r="O843" s="29"/>
      <c r="P843" s="30">
        <f t="shared" si="652"/>
        <v>0</v>
      </c>
      <c r="Q843" s="31">
        <f t="shared" si="650"/>
        <v>0</v>
      </c>
    </row>
    <row r="844" spans="1:17" x14ac:dyDescent="0.2">
      <c r="A844" s="10"/>
      <c r="B844" s="26"/>
      <c r="C844" s="11">
        <v>2011</v>
      </c>
      <c r="D844" s="32">
        <f>SPFI_CLB14!$D$34</f>
        <v>0.294348</v>
      </c>
      <c r="E844" s="32"/>
      <c r="F844" s="32"/>
      <c r="G844" s="32"/>
      <c r="H844" s="32"/>
      <c r="I844" s="32"/>
      <c r="J844" s="28">
        <f t="shared" ref="J844" si="657">D844*J$26</f>
        <v>0</v>
      </c>
      <c r="K844" s="29"/>
      <c r="L844" s="29"/>
      <c r="M844" s="29"/>
      <c r="N844" s="29"/>
      <c r="O844" s="29"/>
      <c r="P844" s="30">
        <f t="shared" ref="P844" si="658">SUM(J844:O844)</f>
        <v>0</v>
      </c>
      <c r="Q844" s="31">
        <f t="shared" ref="Q844" si="659">IF(C$26&gt;0,P844/C$26,0)</f>
        <v>0</v>
      </c>
    </row>
    <row r="845" spans="1:17" x14ac:dyDescent="0.2">
      <c r="A845" s="10"/>
      <c r="B845" s="26"/>
      <c r="C845" s="11">
        <v>2012</v>
      </c>
      <c r="D845" s="32">
        <f>SPFI_CLB14!$D$35</f>
        <v>0.34784100000000001</v>
      </c>
      <c r="E845" s="32"/>
      <c r="F845" s="32"/>
      <c r="G845" s="32"/>
      <c r="H845" s="32"/>
      <c r="I845" s="32"/>
      <c r="J845" s="28">
        <f t="shared" ref="J845" si="660">D845*J$26</f>
        <v>0</v>
      </c>
      <c r="K845" s="29"/>
      <c r="L845" s="29"/>
      <c r="M845" s="29"/>
      <c r="N845" s="29"/>
      <c r="O845" s="29"/>
      <c r="P845" s="30">
        <f t="shared" ref="P845" si="661">SUM(J845:O845)</f>
        <v>0</v>
      </c>
      <c r="Q845" s="31">
        <f t="shared" ref="Q845" si="662">IF(C$26&gt;0,P845/C$26,0)</f>
        <v>0</v>
      </c>
    </row>
    <row r="846" spans="1:17" x14ac:dyDescent="0.2">
      <c r="A846" s="5" t="s">
        <v>11</v>
      </c>
      <c r="B846" s="21">
        <v>5</v>
      </c>
      <c r="C846" s="6">
        <v>1982</v>
      </c>
      <c r="D846" s="27">
        <f>SPFI_CLB14!$D$5</f>
        <v>0.98153299999999999</v>
      </c>
      <c r="E846" s="27"/>
      <c r="F846" s="27"/>
      <c r="G846" s="27"/>
      <c r="H846" s="27"/>
      <c r="I846" s="27"/>
      <c r="J846" s="33">
        <f t="shared" ref="J846:J858" si="663">D846*J$27</f>
        <v>0</v>
      </c>
      <c r="K846" s="27"/>
      <c r="L846" s="27"/>
      <c r="M846" s="27"/>
      <c r="N846" s="27"/>
      <c r="O846" s="27"/>
      <c r="P846" s="34">
        <f t="shared" si="652"/>
        <v>0</v>
      </c>
      <c r="Q846" s="35">
        <f t="shared" ref="Q846:Q862" si="664">IF(C$27&gt;0,P846/C$27,0)</f>
        <v>0</v>
      </c>
    </row>
    <row r="847" spans="1:17" x14ac:dyDescent="0.2">
      <c r="A847" s="10"/>
      <c r="B847" s="26"/>
      <c r="C847" s="11">
        <v>1983</v>
      </c>
      <c r="D847" s="32">
        <f>SPFI_CLB14!$D$6</f>
        <v>0.93659899999999996</v>
      </c>
      <c r="E847" s="32"/>
      <c r="F847" s="32"/>
      <c r="G847" s="32"/>
      <c r="H847" s="32"/>
      <c r="I847" s="32"/>
      <c r="J847" s="28">
        <f t="shared" si="663"/>
        <v>0</v>
      </c>
      <c r="K847" s="29"/>
      <c r="L847" s="29"/>
      <c r="M847" s="29"/>
      <c r="N847" s="29"/>
      <c r="O847" s="29"/>
      <c r="P847" s="30">
        <f t="shared" ref="P847:P858" si="665">SUM(J847:O847)</f>
        <v>0</v>
      </c>
      <c r="Q847" s="31">
        <f t="shared" si="664"/>
        <v>0</v>
      </c>
    </row>
    <row r="848" spans="1:17" x14ac:dyDescent="0.2">
      <c r="A848" s="10"/>
      <c r="B848" s="26"/>
      <c r="C848" s="11">
        <v>1984</v>
      </c>
      <c r="D848" s="32">
        <f>SPFI_CLB14!$D$7</f>
        <v>0.92793599999999998</v>
      </c>
      <c r="E848" s="32"/>
      <c r="F848" s="32"/>
      <c r="G848" s="32"/>
      <c r="H848" s="32"/>
      <c r="I848" s="32"/>
      <c r="J848" s="28">
        <f t="shared" si="663"/>
        <v>0</v>
      </c>
      <c r="K848" s="29"/>
      <c r="L848" s="29"/>
      <c r="M848" s="29"/>
      <c r="N848" s="29"/>
      <c r="O848" s="29"/>
      <c r="P848" s="30">
        <f t="shared" si="665"/>
        <v>0</v>
      </c>
      <c r="Q848" s="31">
        <f t="shared" si="664"/>
        <v>0</v>
      </c>
    </row>
    <row r="849" spans="1:17" x14ac:dyDescent="0.2">
      <c r="A849" s="10"/>
      <c r="B849" s="26"/>
      <c r="C849" s="11">
        <v>1985</v>
      </c>
      <c r="D849" s="32">
        <f>SPFI_CLB14!$D$8</f>
        <v>0.90386500000000003</v>
      </c>
      <c r="E849" s="32"/>
      <c r="F849" s="32"/>
      <c r="G849" s="32"/>
      <c r="H849" s="32"/>
      <c r="I849" s="32"/>
      <c r="J849" s="28">
        <f t="shared" si="663"/>
        <v>0</v>
      </c>
      <c r="K849" s="29"/>
      <c r="L849" s="29"/>
      <c r="M849" s="29"/>
      <c r="N849" s="29"/>
      <c r="O849" s="29"/>
      <c r="P849" s="30">
        <f t="shared" si="665"/>
        <v>0</v>
      </c>
      <c r="Q849" s="31">
        <f t="shared" si="664"/>
        <v>0</v>
      </c>
    </row>
    <row r="850" spans="1:17" x14ac:dyDescent="0.2">
      <c r="A850" s="10"/>
      <c r="B850" s="26"/>
      <c r="C850" s="11">
        <v>1986</v>
      </c>
      <c r="D850" s="32">
        <f>SPFI_CLB14!$D$9</f>
        <v>0.73087500000000005</v>
      </c>
      <c r="E850" s="32"/>
      <c r="F850" s="32"/>
      <c r="G850" s="32"/>
      <c r="H850" s="32"/>
      <c r="I850" s="32"/>
      <c r="J850" s="28">
        <f t="shared" si="663"/>
        <v>0</v>
      </c>
      <c r="K850" s="29"/>
      <c r="L850" s="29"/>
      <c r="M850" s="29"/>
      <c r="N850" s="29"/>
      <c r="O850" s="29"/>
      <c r="P850" s="30">
        <f t="shared" si="665"/>
        <v>0</v>
      </c>
      <c r="Q850" s="31">
        <f t="shared" si="664"/>
        <v>0</v>
      </c>
    </row>
    <row r="851" spans="1:17" x14ac:dyDescent="0.2">
      <c r="A851" s="10"/>
      <c r="B851" s="26"/>
      <c r="C851" s="11">
        <v>1987</v>
      </c>
      <c r="D851" s="32">
        <f>SPFI_CLB14!$D$10</f>
        <v>0.71733499999999994</v>
      </c>
      <c r="E851" s="32"/>
      <c r="F851" s="32"/>
      <c r="G851" s="32"/>
      <c r="H851" s="32"/>
      <c r="I851" s="32"/>
      <c r="J851" s="28">
        <f t="shared" si="663"/>
        <v>0</v>
      </c>
      <c r="K851" s="29"/>
      <c r="L851" s="29"/>
      <c r="M851" s="29"/>
      <c r="N851" s="29"/>
      <c r="O851" s="29"/>
      <c r="P851" s="30">
        <f t="shared" si="665"/>
        <v>0</v>
      </c>
      <c r="Q851" s="31">
        <f t="shared" si="664"/>
        <v>0</v>
      </c>
    </row>
    <row r="852" spans="1:17" x14ac:dyDescent="0.2">
      <c r="A852" s="10"/>
      <c r="B852" s="26"/>
      <c r="C852" s="11">
        <v>1988</v>
      </c>
      <c r="D852" s="32">
        <f>SPFI_CLB14!$D$11</f>
        <v>0.64558800000000005</v>
      </c>
      <c r="E852" s="32"/>
      <c r="F852" s="32"/>
      <c r="G852" s="32"/>
      <c r="H852" s="32"/>
      <c r="I852" s="32"/>
      <c r="J852" s="28">
        <f t="shared" si="663"/>
        <v>0</v>
      </c>
      <c r="K852" s="29"/>
      <c r="L852" s="29"/>
      <c r="M852" s="29"/>
      <c r="N852" s="29"/>
      <c r="O852" s="29"/>
      <c r="P852" s="30">
        <f t="shared" si="665"/>
        <v>0</v>
      </c>
      <c r="Q852" s="31">
        <f t="shared" si="664"/>
        <v>0</v>
      </c>
    </row>
    <row r="853" spans="1:17" x14ac:dyDescent="0.2">
      <c r="A853" s="10"/>
      <c r="B853" s="26"/>
      <c r="C853" s="11">
        <v>1989</v>
      </c>
      <c r="D853" s="32">
        <f>SPFI_CLB14!$D$12</f>
        <v>0.65287700000000004</v>
      </c>
      <c r="E853" s="32"/>
      <c r="F853" s="32"/>
      <c r="G853" s="32"/>
      <c r="H853" s="32"/>
      <c r="I853" s="32"/>
      <c r="J853" s="28">
        <f t="shared" si="663"/>
        <v>0</v>
      </c>
      <c r="K853" s="29"/>
      <c r="L853" s="29"/>
      <c r="M853" s="29"/>
      <c r="N853" s="29"/>
      <c r="O853" s="29"/>
      <c r="P853" s="30">
        <f t="shared" si="665"/>
        <v>0</v>
      </c>
      <c r="Q853" s="31">
        <f t="shared" si="664"/>
        <v>0</v>
      </c>
    </row>
    <row r="854" spans="1:17" x14ac:dyDescent="0.2">
      <c r="A854" s="10"/>
      <c r="B854" s="26"/>
      <c r="C854" s="11">
        <v>1990</v>
      </c>
      <c r="D854" s="32">
        <f>SPFI_CLB14!$D$13</f>
        <v>0.56965100000000002</v>
      </c>
      <c r="E854" s="32"/>
      <c r="F854" s="32"/>
      <c r="G854" s="32"/>
      <c r="H854" s="32"/>
      <c r="I854" s="32"/>
      <c r="J854" s="28">
        <f t="shared" si="663"/>
        <v>0</v>
      </c>
      <c r="K854" s="29"/>
      <c r="L854" s="29"/>
      <c r="M854" s="29"/>
      <c r="N854" s="29"/>
      <c r="O854" s="29"/>
      <c r="P854" s="30">
        <f t="shared" si="665"/>
        <v>0</v>
      </c>
      <c r="Q854" s="31">
        <f t="shared" si="664"/>
        <v>0</v>
      </c>
    </row>
    <row r="855" spans="1:17" x14ac:dyDescent="0.2">
      <c r="A855" s="10"/>
      <c r="B855" s="26"/>
      <c r="C855" s="11">
        <v>1991</v>
      </c>
      <c r="D855" s="32">
        <f>SPFI_CLB14!$D$14</f>
        <v>0.62776900000000002</v>
      </c>
      <c r="E855" s="32"/>
      <c r="F855" s="32"/>
      <c r="G855" s="32"/>
      <c r="H855" s="32"/>
      <c r="I855" s="32"/>
      <c r="J855" s="28">
        <f t="shared" si="663"/>
        <v>0</v>
      </c>
      <c r="K855" s="29"/>
      <c r="L855" s="29"/>
      <c r="M855" s="29"/>
      <c r="N855" s="29"/>
      <c r="O855" s="29"/>
      <c r="P855" s="30">
        <f t="shared" si="665"/>
        <v>0</v>
      </c>
      <c r="Q855" s="31">
        <f t="shared" si="664"/>
        <v>0</v>
      </c>
    </row>
    <row r="856" spans="1:17" x14ac:dyDescent="0.2">
      <c r="A856" s="10"/>
      <c r="B856" s="26"/>
      <c r="C856" s="11">
        <v>1992</v>
      </c>
      <c r="D856" s="32">
        <f>SPFI_CLB14!$D$15</f>
        <v>0.43504100000000001</v>
      </c>
      <c r="E856" s="32"/>
      <c r="F856" s="32"/>
      <c r="G856" s="32"/>
      <c r="H856" s="32"/>
      <c r="I856" s="32"/>
      <c r="J856" s="28">
        <f t="shared" si="663"/>
        <v>0</v>
      </c>
      <c r="K856" s="29"/>
      <c r="L856" s="29"/>
      <c r="M856" s="29"/>
      <c r="N856" s="29"/>
      <c r="O856" s="29"/>
      <c r="P856" s="30">
        <f t="shared" si="665"/>
        <v>0</v>
      </c>
      <c r="Q856" s="31">
        <f t="shared" si="664"/>
        <v>0</v>
      </c>
    </row>
    <row r="857" spans="1:17" x14ac:dyDescent="0.2">
      <c r="A857" s="10"/>
      <c r="B857" s="26"/>
      <c r="C857" s="11">
        <v>1993</v>
      </c>
      <c r="D857" s="32">
        <f>SPFI_CLB14!$D$16</f>
        <v>0.499164</v>
      </c>
      <c r="E857" s="32"/>
      <c r="F857" s="32"/>
      <c r="G857" s="32"/>
      <c r="H857" s="32"/>
      <c r="I857" s="32"/>
      <c r="J857" s="28">
        <f t="shared" si="663"/>
        <v>0</v>
      </c>
      <c r="K857" s="29"/>
      <c r="L857" s="29"/>
      <c r="M857" s="29"/>
      <c r="N857" s="29"/>
      <c r="O857" s="29"/>
      <c r="P857" s="30">
        <f t="shared" si="665"/>
        <v>0</v>
      </c>
      <c r="Q857" s="31">
        <f t="shared" si="664"/>
        <v>0</v>
      </c>
    </row>
    <row r="858" spans="1:17" x14ac:dyDescent="0.2">
      <c r="A858" s="10"/>
      <c r="B858" s="26"/>
      <c r="C858" s="11">
        <v>1994</v>
      </c>
      <c r="D858" s="32">
        <f>SPFI_CLB14!$D$17</f>
        <v>0.59591300000000003</v>
      </c>
      <c r="E858" s="32"/>
      <c r="F858" s="32"/>
      <c r="G858" s="32"/>
      <c r="H858" s="32"/>
      <c r="I858" s="32"/>
      <c r="J858" s="28">
        <f t="shared" si="663"/>
        <v>0</v>
      </c>
      <c r="K858" s="29"/>
      <c r="L858" s="29"/>
      <c r="M858" s="29"/>
      <c r="N858" s="29"/>
      <c r="O858" s="29"/>
      <c r="P858" s="30">
        <f t="shared" si="665"/>
        <v>0</v>
      </c>
      <c r="Q858" s="31">
        <f t="shared" si="664"/>
        <v>0</v>
      </c>
    </row>
    <row r="859" spans="1:17" x14ac:dyDescent="0.2">
      <c r="A859" s="10"/>
      <c r="B859" s="26"/>
      <c r="C859" s="11">
        <v>1995</v>
      </c>
      <c r="D859" s="32">
        <f>SPFI_CLB14!$D$18</f>
        <v>0.25400800000000001</v>
      </c>
      <c r="E859" s="32"/>
      <c r="F859" s="32"/>
      <c r="G859" s="32"/>
      <c r="H859" s="32"/>
      <c r="I859" s="32"/>
      <c r="J859" s="28">
        <f t="shared" ref="J859" si="666">D859*J$27</f>
        <v>0</v>
      </c>
      <c r="K859" s="29"/>
      <c r="L859" s="29"/>
      <c r="M859" s="29"/>
      <c r="N859" s="29"/>
      <c r="O859" s="29"/>
      <c r="P859" s="30">
        <f>SUM(J859:O859)</f>
        <v>0</v>
      </c>
      <c r="Q859" s="31">
        <f t="shared" si="664"/>
        <v>0</v>
      </c>
    </row>
    <row r="860" spans="1:17" x14ac:dyDescent="0.2">
      <c r="A860" s="10"/>
      <c r="B860" s="26"/>
      <c r="C860" s="11">
        <v>1996</v>
      </c>
      <c r="D860" s="32">
        <f>SPFI_CLB14!$D$19</f>
        <v>0</v>
      </c>
      <c r="E860" s="32"/>
      <c r="F860" s="32"/>
      <c r="G860" s="32"/>
      <c r="H860" s="32"/>
      <c r="I860" s="32"/>
      <c r="J860" s="28">
        <f t="shared" ref="J860" si="667">D860*J$27</f>
        <v>0</v>
      </c>
      <c r="K860" s="29"/>
      <c r="L860" s="29"/>
      <c r="M860" s="29"/>
      <c r="N860" s="29"/>
      <c r="O860" s="29"/>
      <c r="P860" s="30">
        <f>SUM(J860:O860)</f>
        <v>0</v>
      </c>
      <c r="Q860" s="31">
        <f t="shared" si="664"/>
        <v>0</v>
      </c>
    </row>
    <row r="861" spans="1:17" x14ac:dyDescent="0.2">
      <c r="A861" s="10"/>
      <c r="B861" s="26"/>
      <c r="C861" s="11">
        <v>1997</v>
      </c>
      <c r="D861" s="32">
        <f>SPFI_CLB14!$D$20</f>
        <v>0.201487</v>
      </c>
      <c r="E861" s="32"/>
      <c r="F861" s="32"/>
      <c r="G861" s="32"/>
      <c r="H861" s="32"/>
      <c r="I861" s="32"/>
      <c r="J861" s="28">
        <f t="shared" ref="J861" si="668">D861*J$27</f>
        <v>0</v>
      </c>
      <c r="K861" s="29"/>
      <c r="L861" s="29"/>
      <c r="M861" s="29"/>
      <c r="N861" s="29"/>
      <c r="O861" s="29"/>
      <c r="P861" s="30">
        <f>SUM(J861:O861)</f>
        <v>0</v>
      </c>
      <c r="Q861" s="31">
        <f t="shared" si="664"/>
        <v>0</v>
      </c>
    </row>
    <row r="862" spans="1:17" x14ac:dyDescent="0.2">
      <c r="A862" s="10"/>
      <c r="B862" s="26"/>
      <c r="C862" s="11">
        <v>1998</v>
      </c>
      <c r="D862" s="32">
        <f>SPFI_CLB14!$D$21</f>
        <v>0.37506400000000001</v>
      </c>
      <c r="E862" s="32"/>
      <c r="F862" s="32"/>
      <c r="G862" s="32"/>
      <c r="H862" s="32"/>
      <c r="I862" s="32"/>
      <c r="J862" s="28">
        <f t="shared" ref="J862" si="669">D862*J$27</f>
        <v>0</v>
      </c>
      <c r="K862" s="29"/>
      <c r="L862" s="29"/>
      <c r="M862" s="29"/>
      <c r="N862" s="29"/>
      <c r="O862" s="29"/>
      <c r="P862" s="30">
        <f>SUM(J862:O862)</f>
        <v>0</v>
      </c>
      <c r="Q862" s="31">
        <f t="shared" si="664"/>
        <v>0</v>
      </c>
    </row>
    <row r="863" spans="1:17" x14ac:dyDescent="0.2">
      <c r="A863" s="10"/>
      <c r="B863" s="26"/>
      <c r="C863" s="11">
        <v>1999</v>
      </c>
      <c r="D863" s="32">
        <f>SPFI_CLB14!$D$22</f>
        <v>0.29823699999999997</v>
      </c>
      <c r="E863" s="32"/>
      <c r="F863" s="32"/>
      <c r="G863" s="32"/>
      <c r="H863" s="32"/>
      <c r="I863" s="32"/>
      <c r="J863" s="28">
        <f t="shared" ref="J863" si="670">D863*J$27</f>
        <v>0</v>
      </c>
      <c r="K863" s="29"/>
      <c r="L863" s="29"/>
      <c r="M863" s="29"/>
      <c r="N863" s="29"/>
      <c r="O863" s="29"/>
      <c r="P863" s="30">
        <f>SUM(J863:O863)</f>
        <v>0</v>
      </c>
      <c r="Q863" s="31">
        <f t="shared" ref="Q863:Q868" si="671">IF(C$27&gt;0,P863/C$27,0)</f>
        <v>0</v>
      </c>
    </row>
    <row r="864" spans="1:17" x14ac:dyDescent="0.2">
      <c r="A864" s="10"/>
      <c r="B864" s="26"/>
      <c r="C864" s="11">
        <v>2000</v>
      </c>
      <c r="D864" s="32">
        <f>SPFI_CLB14!$D$23</f>
        <v>8.4414000000000003E-2</v>
      </c>
      <c r="E864" s="32"/>
      <c r="F864" s="32"/>
      <c r="G864" s="32"/>
      <c r="H864" s="32"/>
      <c r="I864" s="32"/>
      <c r="J864" s="28">
        <f t="shared" ref="J864" si="672">D864*J$27</f>
        <v>0</v>
      </c>
      <c r="K864" s="29"/>
      <c r="L864" s="29"/>
      <c r="M864" s="29"/>
      <c r="N864" s="29"/>
      <c r="O864" s="29"/>
      <c r="P864" s="30">
        <f t="shared" ref="P864:P869" si="673">SUM(J864:O864)</f>
        <v>0</v>
      </c>
      <c r="Q864" s="31">
        <f t="shared" si="671"/>
        <v>0</v>
      </c>
    </row>
    <row r="865" spans="1:17" x14ac:dyDescent="0.2">
      <c r="A865" s="10"/>
      <c r="B865" s="26"/>
      <c r="C865" s="11">
        <v>2001</v>
      </c>
      <c r="D865" s="32">
        <f>SPFI_CLB14!$D$24</f>
        <v>7.8909000000000007E-2</v>
      </c>
      <c r="E865" s="32"/>
      <c r="F865" s="32"/>
      <c r="G865" s="32"/>
      <c r="H865" s="32"/>
      <c r="I865" s="32"/>
      <c r="J865" s="28">
        <f t="shared" ref="J865" si="674">D865*J$27</f>
        <v>0</v>
      </c>
      <c r="K865" s="29"/>
      <c r="L865" s="29"/>
      <c r="M865" s="29"/>
      <c r="N865" s="29"/>
      <c r="O865" s="29"/>
      <c r="P865" s="30">
        <f t="shared" si="673"/>
        <v>0</v>
      </c>
      <c r="Q865" s="31">
        <f t="shared" si="671"/>
        <v>0</v>
      </c>
    </row>
    <row r="866" spans="1:17" x14ac:dyDescent="0.2">
      <c r="A866" s="10"/>
      <c r="B866" s="26"/>
      <c r="C866" s="11">
        <v>2002</v>
      </c>
      <c r="D866" s="32">
        <f>SPFI_CLB14!$D$25</f>
        <v>0.29974699999999999</v>
      </c>
      <c r="E866" s="32"/>
      <c r="F866" s="32"/>
      <c r="G866" s="32"/>
      <c r="H866" s="32"/>
      <c r="I866" s="32"/>
      <c r="J866" s="28">
        <f t="shared" ref="J866" si="675">D866*J$27</f>
        <v>0</v>
      </c>
      <c r="K866" s="29"/>
      <c r="L866" s="29"/>
      <c r="M866" s="29"/>
      <c r="N866" s="29"/>
      <c r="O866" s="29"/>
      <c r="P866" s="30">
        <f t="shared" si="673"/>
        <v>0</v>
      </c>
      <c r="Q866" s="31">
        <f t="shared" si="671"/>
        <v>0</v>
      </c>
    </row>
    <row r="867" spans="1:17" x14ac:dyDescent="0.2">
      <c r="A867" s="10"/>
      <c r="B867" s="26"/>
      <c r="C867" s="11">
        <v>2003</v>
      </c>
      <c r="D867" s="32">
        <f>SPFI_CLB14!$D$26</f>
        <v>0.20691100000000001</v>
      </c>
      <c r="E867" s="32"/>
      <c r="F867" s="32"/>
      <c r="G867" s="32"/>
      <c r="H867" s="32"/>
      <c r="I867" s="32"/>
      <c r="J867" s="28">
        <f t="shared" ref="J867" si="676">D867*J$27</f>
        <v>0</v>
      </c>
      <c r="K867" s="29"/>
      <c r="L867" s="29"/>
      <c r="M867" s="29"/>
      <c r="N867" s="29"/>
      <c r="O867" s="29"/>
      <c r="P867" s="30">
        <f t="shared" si="673"/>
        <v>0</v>
      </c>
      <c r="Q867" s="31">
        <f t="shared" si="671"/>
        <v>0</v>
      </c>
    </row>
    <row r="868" spans="1:17" x14ac:dyDescent="0.2">
      <c r="A868" s="10"/>
      <c r="B868" s="26"/>
      <c r="C868" s="11">
        <v>2004</v>
      </c>
      <c r="D868" s="32">
        <f>SPFI_CLB14!$D$27</f>
        <v>0.269237</v>
      </c>
      <c r="E868" s="32"/>
      <c r="F868" s="32"/>
      <c r="G868" s="32"/>
      <c r="H868" s="32"/>
      <c r="I868" s="32"/>
      <c r="J868" s="28">
        <f t="shared" ref="J868" si="677">D868*J$27</f>
        <v>0</v>
      </c>
      <c r="K868" s="29"/>
      <c r="L868" s="29"/>
      <c r="M868" s="29"/>
      <c r="N868" s="29"/>
      <c r="O868" s="29"/>
      <c r="P868" s="30">
        <f t="shared" si="673"/>
        <v>0</v>
      </c>
      <c r="Q868" s="31">
        <f t="shared" si="671"/>
        <v>0</v>
      </c>
    </row>
    <row r="869" spans="1:17" x14ac:dyDescent="0.2">
      <c r="A869" s="10"/>
      <c r="B869" s="26"/>
      <c r="C869" s="11">
        <v>2005</v>
      </c>
      <c r="D869" s="32">
        <f>SPFI_CLB14!$D$28</f>
        <v>0.37848700000000002</v>
      </c>
      <c r="E869" s="32"/>
      <c r="F869" s="32"/>
      <c r="G869" s="32"/>
      <c r="H869" s="32"/>
      <c r="I869" s="32"/>
      <c r="J869" s="28">
        <f t="shared" ref="J869" si="678">D869*J$27</f>
        <v>0</v>
      </c>
      <c r="K869" s="29"/>
      <c r="L869" s="29"/>
      <c r="M869" s="29"/>
      <c r="N869" s="29"/>
      <c r="O869" s="29"/>
      <c r="P869" s="30">
        <f t="shared" si="673"/>
        <v>0</v>
      </c>
      <c r="Q869" s="31">
        <f t="shared" ref="Q869:Q874" si="679">IF(C$27&gt;0,P869/C$27,0)</f>
        <v>0</v>
      </c>
    </row>
    <row r="870" spans="1:17" x14ac:dyDescent="0.2">
      <c r="A870" s="10"/>
      <c r="B870" s="26"/>
      <c r="C870" s="11">
        <v>2006</v>
      </c>
      <c r="D870" s="32">
        <f>SPFI_CLB14!$D$29</f>
        <v>0.381023</v>
      </c>
      <c r="E870" s="32"/>
      <c r="F870" s="32"/>
      <c r="G870" s="32"/>
      <c r="H870" s="32"/>
      <c r="I870" s="32"/>
      <c r="J870" s="28">
        <f t="shared" ref="J870" si="680">D870*J$27</f>
        <v>0</v>
      </c>
      <c r="K870" s="29"/>
      <c r="L870" s="29"/>
      <c r="M870" s="29"/>
      <c r="N870" s="29"/>
      <c r="O870" s="29"/>
      <c r="P870" s="30">
        <f t="shared" ref="P870:P877" si="681">SUM(J870:O870)</f>
        <v>0</v>
      </c>
      <c r="Q870" s="31">
        <f t="shared" si="679"/>
        <v>0</v>
      </c>
    </row>
    <row r="871" spans="1:17" x14ac:dyDescent="0.2">
      <c r="A871" s="10"/>
      <c r="B871" s="26"/>
      <c r="C871" s="11">
        <v>2007</v>
      </c>
      <c r="D871" s="32">
        <f>SPFI_CLB14!$D$30</f>
        <v>0.356512</v>
      </c>
      <c r="E871" s="32"/>
      <c r="F871" s="32"/>
      <c r="G871" s="32"/>
      <c r="H871" s="32"/>
      <c r="I871" s="32"/>
      <c r="J871" s="28">
        <f t="shared" ref="J871" si="682">D871*J$27</f>
        <v>0</v>
      </c>
      <c r="K871" s="29"/>
      <c r="L871" s="29"/>
      <c r="M871" s="29"/>
      <c r="N871" s="29"/>
      <c r="O871" s="29"/>
      <c r="P871" s="30">
        <f t="shared" si="681"/>
        <v>0</v>
      </c>
      <c r="Q871" s="31">
        <f t="shared" si="679"/>
        <v>0</v>
      </c>
    </row>
    <row r="872" spans="1:17" x14ac:dyDescent="0.2">
      <c r="A872" s="10"/>
      <c r="B872" s="26"/>
      <c r="C872" s="11">
        <v>2008</v>
      </c>
      <c r="D872" s="32">
        <f>SPFI_CLB14!$D$31</f>
        <v>0.25494499999999998</v>
      </c>
      <c r="E872" s="32"/>
      <c r="F872" s="32"/>
      <c r="G872" s="32"/>
      <c r="H872" s="32"/>
      <c r="I872" s="32"/>
      <c r="J872" s="28">
        <f t="shared" ref="J872" si="683">D872*J$27</f>
        <v>0</v>
      </c>
      <c r="K872" s="29"/>
      <c r="L872" s="29"/>
      <c r="M872" s="29"/>
      <c r="N872" s="29"/>
      <c r="O872" s="29"/>
      <c r="P872" s="30">
        <f t="shared" si="681"/>
        <v>0</v>
      </c>
      <c r="Q872" s="31">
        <f t="shared" si="679"/>
        <v>0</v>
      </c>
    </row>
    <row r="873" spans="1:17" x14ac:dyDescent="0.2">
      <c r="A873" s="10"/>
      <c r="B873" s="26"/>
      <c r="C873" s="11">
        <v>2009</v>
      </c>
      <c r="D873" s="32">
        <f>SPFI_CLB14!$D$32</f>
        <v>0.52383000000000002</v>
      </c>
      <c r="E873" s="32"/>
      <c r="F873" s="32"/>
      <c r="G873" s="32"/>
      <c r="H873" s="32"/>
      <c r="I873" s="32"/>
      <c r="J873" s="28">
        <f t="shared" ref="J873" si="684">D873*J$27</f>
        <v>0</v>
      </c>
      <c r="K873" s="29"/>
      <c r="L873" s="29"/>
      <c r="M873" s="29"/>
      <c r="N873" s="29"/>
      <c r="O873" s="29"/>
      <c r="P873" s="30">
        <f t="shared" si="681"/>
        <v>0</v>
      </c>
      <c r="Q873" s="31">
        <f t="shared" si="679"/>
        <v>0</v>
      </c>
    </row>
    <row r="874" spans="1:17" x14ac:dyDescent="0.2">
      <c r="A874" s="10"/>
      <c r="B874" s="26"/>
      <c r="C874" s="11">
        <v>2010</v>
      </c>
      <c r="D874" s="32">
        <f>SPFI_CLB14!$D$33</f>
        <v>0.31394</v>
      </c>
      <c r="E874" s="32"/>
      <c r="F874" s="32"/>
      <c r="G874" s="32"/>
      <c r="H874" s="32"/>
      <c r="I874" s="32"/>
      <c r="J874" s="28">
        <f t="shared" ref="J874" si="685">D874*J$27</f>
        <v>0</v>
      </c>
      <c r="K874" s="29"/>
      <c r="L874" s="29"/>
      <c r="M874" s="29"/>
      <c r="N874" s="29"/>
      <c r="O874" s="29"/>
      <c r="P874" s="30">
        <f t="shared" si="681"/>
        <v>0</v>
      </c>
      <c r="Q874" s="31">
        <f t="shared" si="679"/>
        <v>0</v>
      </c>
    </row>
    <row r="875" spans="1:17" x14ac:dyDescent="0.2">
      <c r="A875" s="10"/>
      <c r="B875" s="26"/>
      <c r="C875" s="11">
        <v>2011</v>
      </c>
      <c r="D875" s="32">
        <f>SPFI_CLB14!$D$34</f>
        <v>0.294348</v>
      </c>
      <c r="E875" s="32"/>
      <c r="F875" s="32"/>
      <c r="G875" s="32"/>
      <c r="H875" s="32"/>
      <c r="I875" s="32"/>
      <c r="J875" s="28">
        <f t="shared" ref="J875" si="686">D875*J$27</f>
        <v>0</v>
      </c>
      <c r="K875" s="29"/>
      <c r="L875" s="29"/>
      <c r="M875" s="29"/>
      <c r="N875" s="29"/>
      <c r="O875" s="29"/>
      <c r="P875" s="30">
        <f t="shared" ref="P875" si="687">SUM(J875:O875)</f>
        <v>0</v>
      </c>
      <c r="Q875" s="31">
        <f t="shared" ref="Q875" si="688">IF(C$27&gt;0,P875/C$27,0)</f>
        <v>0</v>
      </c>
    </row>
    <row r="876" spans="1:17" x14ac:dyDescent="0.2">
      <c r="A876" s="10"/>
      <c r="B876" s="26"/>
      <c r="C876" s="11">
        <v>2012</v>
      </c>
      <c r="D876" s="32">
        <f>SPFI_CLB14!$D$35</f>
        <v>0.34784100000000001</v>
      </c>
      <c r="E876" s="32"/>
      <c r="F876" s="32"/>
      <c r="G876" s="32"/>
      <c r="H876" s="32"/>
      <c r="I876" s="32"/>
      <c r="J876" s="28">
        <f t="shared" ref="J876" si="689">D876*J$27</f>
        <v>0</v>
      </c>
      <c r="K876" s="29"/>
      <c r="L876" s="29"/>
      <c r="M876" s="29"/>
      <c r="N876" s="29"/>
      <c r="O876" s="29"/>
      <c r="P876" s="30">
        <f t="shared" ref="P876" si="690">SUM(J876:O876)</f>
        <v>0</v>
      </c>
      <c r="Q876" s="31">
        <f t="shared" ref="Q876" si="691">IF(C$27&gt;0,P876/C$27,0)</f>
        <v>0</v>
      </c>
    </row>
    <row r="877" spans="1:17" x14ac:dyDescent="0.2">
      <c r="A877" s="5" t="s">
        <v>12</v>
      </c>
      <c r="B877" s="21">
        <v>2</v>
      </c>
      <c r="C877" s="6">
        <v>1982</v>
      </c>
      <c r="D877" s="27">
        <f>SPFI_CLB14!$D$5</f>
        <v>0.98153299999999999</v>
      </c>
      <c r="E877" s="27"/>
      <c r="F877" s="27"/>
      <c r="G877" s="27"/>
      <c r="H877" s="27"/>
      <c r="I877" s="27"/>
      <c r="J877" s="33">
        <f t="shared" ref="J877:J889" si="692">D877*J$28</f>
        <v>0</v>
      </c>
      <c r="K877" s="27"/>
      <c r="L877" s="27"/>
      <c r="M877" s="27"/>
      <c r="N877" s="27"/>
      <c r="O877" s="27"/>
      <c r="P877" s="34">
        <f t="shared" si="681"/>
        <v>0</v>
      </c>
      <c r="Q877" s="35">
        <f t="shared" ref="Q877:Q893" si="693">IF(C$28&gt;0,P877/C$28,0)</f>
        <v>0</v>
      </c>
    </row>
    <row r="878" spans="1:17" x14ac:dyDescent="0.2">
      <c r="A878" s="10"/>
      <c r="B878" s="26"/>
      <c r="C878" s="11">
        <v>1983</v>
      </c>
      <c r="D878" s="32">
        <f>SPFI_CLB14!$D$6</f>
        <v>0.93659899999999996</v>
      </c>
      <c r="E878" s="32"/>
      <c r="F878" s="32"/>
      <c r="G878" s="32"/>
      <c r="H878" s="32"/>
      <c r="I878" s="32"/>
      <c r="J878" s="28">
        <f t="shared" si="692"/>
        <v>0</v>
      </c>
      <c r="K878" s="29"/>
      <c r="L878" s="29"/>
      <c r="M878" s="29"/>
      <c r="N878" s="29"/>
      <c r="O878" s="29"/>
      <c r="P878" s="30">
        <f t="shared" ref="P878:P889" si="694">SUM(J878:O878)</f>
        <v>0</v>
      </c>
      <c r="Q878" s="31">
        <f t="shared" si="693"/>
        <v>0</v>
      </c>
    </row>
    <row r="879" spans="1:17" x14ac:dyDescent="0.2">
      <c r="A879" s="10"/>
      <c r="B879" s="26"/>
      <c r="C879" s="11">
        <v>1984</v>
      </c>
      <c r="D879" s="32">
        <f>SPFI_CLB14!$D$7</f>
        <v>0.92793599999999998</v>
      </c>
      <c r="E879" s="32"/>
      <c r="F879" s="32"/>
      <c r="G879" s="32"/>
      <c r="H879" s="32"/>
      <c r="I879" s="32"/>
      <c r="J879" s="28">
        <f t="shared" si="692"/>
        <v>0</v>
      </c>
      <c r="K879" s="29"/>
      <c r="L879" s="29"/>
      <c r="M879" s="29"/>
      <c r="N879" s="29"/>
      <c r="O879" s="29"/>
      <c r="P879" s="30">
        <f t="shared" si="694"/>
        <v>0</v>
      </c>
      <c r="Q879" s="31">
        <f t="shared" si="693"/>
        <v>0</v>
      </c>
    </row>
    <row r="880" spans="1:17" x14ac:dyDescent="0.2">
      <c r="A880" s="10"/>
      <c r="B880" s="26"/>
      <c r="C880" s="11">
        <v>1985</v>
      </c>
      <c r="D880" s="32">
        <f>SPFI_CLB14!$D$8</f>
        <v>0.90386500000000003</v>
      </c>
      <c r="E880" s="32"/>
      <c r="F880" s="32"/>
      <c r="G880" s="32"/>
      <c r="H880" s="32"/>
      <c r="I880" s="32"/>
      <c r="J880" s="28">
        <f t="shared" si="692"/>
        <v>0</v>
      </c>
      <c r="K880" s="29"/>
      <c r="L880" s="29"/>
      <c r="M880" s="29"/>
      <c r="N880" s="29"/>
      <c r="O880" s="29"/>
      <c r="P880" s="30">
        <f t="shared" si="694"/>
        <v>0</v>
      </c>
      <c r="Q880" s="31">
        <f t="shared" si="693"/>
        <v>0</v>
      </c>
    </row>
    <row r="881" spans="1:17" x14ac:dyDescent="0.2">
      <c r="A881" s="10"/>
      <c r="B881" s="26"/>
      <c r="C881" s="11">
        <v>1986</v>
      </c>
      <c r="D881" s="32">
        <f>SPFI_CLB14!$D$9</f>
        <v>0.73087500000000005</v>
      </c>
      <c r="E881" s="32"/>
      <c r="F881" s="32"/>
      <c r="G881" s="32"/>
      <c r="H881" s="32"/>
      <c r="I881" s="32"/>
      <c r="J881" s="28">
        <f t="shared" si="692"/>
        <v>0</v>
      </c>
      <c r="K881" s="29"/>
      <c r="L881" s="29"/>
      <c r="M881" s="29"/>
      <c r="N881" s="29"/>
      <c r="O881" s="29"/>
      <c r="P881" s="30">
        <f t="shared" si="694"/>
        <v>0</v>
      </c>
      <c r="Q881" s="31">
        <f t="shared" si="693"/>
        <v>0</v>
      </c>
    </row>
    <row r="882" spans="1:17" x14ac:dyDescent="0.2">
      <c r="A882" s="10"/>
      <c r="B882" s="26"/>
      <c r="C882" s="11">
        <v>1987</v>
      </c>
      <c r="D882" s="32">
        <f>SPFI_CLB14!$D$10</f>
        <v>0.71733499999999994</v>
      </c>
      <c r="E882" s="32"/>
      <c r="F882" s="32"/>
      <c r="G882" s="32"/>
      <c r="H882" s="32"/>
      <c r="I882" s="32"/>
      <c r="J882" s="28">
        <f t="shared" si="692"/>
        <v>0</v>
      </c>
      <c r="K882" s="29"/>
      <c r="L882" s="29"/>
      <c r="M882" s="29"/>
      <c r="N882" s="29"/>
      <c r="O882" s="29"/>
      <c r="P882" s="30">
        <f t="shared" si="694"/>
        <v>0</v>
      </c>
      <c r="Q882" s="31">
        <f t="shared" si="693"/>
        <v>0</v>
      </c>
    </row>
    <row r="883" spans="1:17" x14ac:dyDescent="0.2">
      <c r="A883" s="10"/>
      <c r="B883" s="26"/>
      <c r="C883" s="11">
        <v>1988</v>
      </c>
      <c r="D883" s="32">
        <f>SPFI_CLB14!$D$11</f>
        <v>0.64558800000000005</v>
      </c>
      <c r="E883" s="32"/>
      <c r="F883" s="32"/>
      <c r="G883" s="32"/>
      <c r="H883" s="32"/>
      <c r="I883" s="32"/>
      <c r="J883" s="28">
        <f t="shared" si="692"/>
        <v>0</v>
      </c>
      <c r="K883" s="29"/>
      <c r="L883" s="29"/>
      <c r="M883" s="29"/>
      <c r="N883" s="29"/>
      <c r="O883" s="29"/>
      <c r="P883" s="30">
        <f t="shared" si="694"/>
        <v>0</v>
      </c>
      <c r="Q883" s="31">
        <f t="shared" si="693"/>
        <v>0</v>
      </c>
    </row>
    <row r="884" spans="1:17" x14ac:dyDescent="0.2">
      <c r="A884" s="10"/>
      <c r="B884" s="26"/>
      <c r="C884" s="11">
        <v>1989</v>
      </c>
      <c r="D884" s="32">
        <f>SPFI_CLB14!$D$12</f>
        <v>0.65287700000000004</v>
      </c>
      <c r="E884" s="32"/>
      <c r="F884" s="32"/>
      <c r="G884" s="32"/>
      <c r="H884" s="32"/>
      <c r="I884" s="32"/>
      <c r="J884" s="28">
        <f t="shared" si="692"/>
        <v>0</v>
      </c>
      <c r="K884" s="29"/>
      <c r="L884" s="29"/>
      <c r="M884" s="29"/>
      <c r="N884" s="29"/>
      <c r="O884" s="29"/>
      <c r="P884" s="30">
        <f t="shared" si="694"/>
        <v>0</v>
      </c>
      <c r="Q884" s="31">
        <f t="shared" si="693"/>
        <v>0</v>
      </c>
    </row>
    <row r="885" spans="1:17" x14ac:dyDescent="0.2">
      <c r="A885" s="10"/>
      <c r="B885" s="26"/>
      <c r="C885" s="11">
        <v>1990</v>
      </c>
      <c r="D885" s="32">
        <f>SPFI_CLB14!$D$13</f>
        <v>0.56965100000000002</v>
      </c>
      <c r="E885" s="32"/>
      <c r="F885" s="32"/>
      <c r="G885" s="32"/>
      <c r="H885" s="32"/>
      <c r="I885" s="32"/>
      <c r="J885" s="28">
        <f t="shared" si="692"/>
        <v>0</v>
      </c>
      <c r="K885" s="29"/>
      <c r="L885" s="29"/>
      <c r="M885" s="29"/>
      <c r="N885" s="29"/>
      <c r="O885" s="29"/>
      <c r="P885" s="30">
        <f t="shared" si="694"/>
        <v>0</v>
      </c>
      <c r="Q885" s="31">
        <f t="shared" si="693"/>
        <v>0</v>
      </c>
    </row>
    <row r="886" spans="1:17" x14ac:dyDescent="0.2">
      <c r="A886" s="10"/>
      <c r="B886" s="26"/>
      <c r="C886" s="11">
        <v>1991</v>
      </c>
      <c r="D886" s="32">
        <f>SPFI_CLB14!$D$14</f>
        <v>0.62776900000000002</v>
      </c>
      <c r="E886" s="32"/>
      <c r="F886" s="32"/>
      <c r="G886" s="32"/>
      <c r="H886" s="32"/>
      <c r="I886" s="32"/>
      <c r="J886" s="28">
        <f t="shared" si="692"/>
        <v>0</v>
      </c>
      <c r="K886" s="29"/>
      <c r="L886" s="29"/>
      <c r="M886" s="29"/>
      <c r="N886" s="29"/>
      <c r="O886" s="29"/>
      <c r="P886" s="30">
        <f t="shared" si="694"/>
        <v>0</v>
      </c>
      <c r="Q886" s="31">
        <f t="shared" si="693"/>
        <v>0</v>
      </c>
    </row>
    <row r="887" spans="1:17" x14ac:dyDescent="0.2">
      <c r="A887" s="10"/>
      <c r="B887" s="26"/>
      <c r="C887" s="11">
        <v>1992</v>
      </c>
      <c r="D887" s="32">
        <f>SPFI_CLB14!$D$15</f>
        <v>0.43504100000000001</v>
      </c>
      <c r="E887" s="32"/>
      <c r="F887" s="32"/>
      <c r="G887" s="32"/>
      <c r="H887" s="32"/>
      <c r="I887" s="32"/>
      <c r="J887" s="28">
        <f t="shared" si="692"/>
        <v>0</v>
      </c>
      <c r="K887" s="29"/>
      <c r="L887" s="29"/>
      <c r="M887" s="29"/>
      <c r="N887" s="29"/>
      <c r="O887" s="29"/>
      <c r="P887" s="30">
        <f t="shared" si="694"/>
        <v>0</v>
      </c>
      <c r="Q887" s="31">
        <f t="shared" si="693"/>
        <v>0</v>
      </c>
    </row>
    <row r="888" spans="1:17" x14ac:dyDescent="0.2">
      <c r="A888" s="10"/>
      <c r="B888" s="26"/>
      <c r="C888" s="11">
        <v>1993</v>
      </c>
      <c r="D888" s="32">
        <f>SPFI_CLB14!$D$16</f>
        <v>0.499164</v>
      </c>
      <c r="E888" s="32"/>
      <c r="F888" s="32"/>
      <c r="G888" s="32"/>
      <c r="H888" s="32"/>
      <c r="I888" s="32"/>
      <c r="J888" s="28">
        <f t="shared" si="692"/>
        <v>0</v>
      </c>
      <c r="K888" s="29"/>
      <c r="L888" s="29"/>
      <c r="M888" s="29"/>
      <c r="N888" s="29"/>
      <c r="O888" s="29"/>
      <c r="P888" s="30">
        <f t="shared" si="694"/>
        <v>0</v>
      </c>
      <c r="Q888" s="31">
        <f t="shared" si="693"/>
        <v>0</v>
      </c>
    </row>
    <row r="889" spans="1:17" x14ac:dyDescent="0.2">
      <c r="A889" s="10"/>
      <c r="B889" s="26"/>
      <c r="C889" s="11">
        <v>1994</v>
      </c>
      <c r="D889" s="32">
        <f>SPFI_CLB14!$D$17</f>
        <v>0.59591300000000003</v>
      </c>
      <c r="E889" s="32"/>
      <c r="F889" s="32"/>
      <c r="G889" s="32"/>
      <c r="H889" s="32"/>
      <c r="I889" s="32"/>
      <c r="J889" s="28">
        <f t="shared" si="692"/>
        <v>0</v>
      </c>
      <c r="K889" s="29"/>
      <c r="L889" s="29"/>
      <c r="M889" s="29"/>
      <c r="N889" s="29"/>
      <c r="O889" s="29"/>
      <c r="P889" s="30">
        <f t="shared" si="694"/>
        <v>0</v>
      </c>
      <c r="Q889" s="31">
        <f t="shared" si="693"/>
        <v>0</v>
      </c>
    </row>
    <row r="890" spans="1:17" x14ac:dyDescent="0.2">
      <c r="A890" s="10"/>
      <c r="B890" s="26"/>
      <c r="C890" s="11">
        <v>1995</v>
      </c>
      <c r="D890" s="32">
        <f>SPFI_CLB14!$D$18</f>
        <v>0.25400800000000001</v>
      </c>
      <c r="E890" s="32"/>
      <c r="F890" s="32"/>
      <c r="G890" s="32"/>
      <c r="H890" s="32"/>
      <c r="I890" s="32"/>
      <c r="J890" s="28">
        <f t="shared" ref="J890" si="695">D890*J$28</f>
        <v>0</v>
      </c>
      <c r="K890" s="29"/>
      <c r="L890" s="29"/>
      <c r="M890" s="29"/>
      <c r="N890" s="29"/>
      <c r="O890" s="29"/>
      <c r="P890" s="30">
        <f>SUM(J890:O890)</f>
        <v>0</v>
      </c>
      <c r="Q890" s="31">
        <f t="shared" si="693"/>
        <v>0</v>
      </c>
    </row>
    <row r="891" spans="1:17" x14ac:dyDescent="0.2">
      <c r="A891" s="10"/>
      <c r="B891" s="26"/>
      <c r="C891" s="11">
        <v>1996</v>
      </c>
      <c r="D891" s="32">
        <f>SPFI_CLB14!$D$19</f>
        <v>0</v>
      </c>
      <c r="E891" s="32"/>
      <c r="F891" s="32"/>
      <c r="G891" s="32"/>
      <c r="H891" s="32"/>
      <c r="I891" s="32"/>
      <c r="J891" s="28">
        <f t="shared" ref="J891" si="696">D891*J$28</f>
        <v>0</v>
      </c>
      <c r="K891" s="29"/>
      <c r="L891" s="29"/>
      <c r="M891" s="29"/>
      <c r="N891" s="29"/>
      <c r="O891" s="29"/>
      <c r="P891" s="30">
        <f>SUM(J891:O891)</f>
        <v>0</v>
      </c>
      <c r="Q891" s="31">
        <f t="shared" si="693"/>
        <v>0</v>
      </c>
    </row>
    <row r="892" spans="1:17" x14ac:dyDescent="0.2">
      <c r="A892" s="10"/>
      <c r="B892" s="26"/>
      <c r="C892" s="11">
        <v>1997</v>
      </c>
      <c r="D892" s="32">
        <f>SPFI_CLB14!$D$20</f>
        <v>0.201487</v>
      </c>
      <c r="E892" s="32"/>
      <c r="F892" s="32"/>
      <c r="G892" s="32"/>
      <c r="H892" s="32"/>
      <c r="I892" s="32"/>
      <c r="J892" s="28">
        <f t="shared" ref="J892" si="697">D892*J$28</f>
        <v>0</v>
      </c>
      <c r="K892" s="29"/>
      <c r="L892" s="29"/>
      <c r="M892" s="29"/>
      <c r="N892" s="29"/>
      <c r="O892" s="29"/>
      <c r="P892" s="30">
        <f>SUM(J892:O892)</f>
        <v>0</v>
      </c>
      <c r="Q892" s="31">
        <f t="shared" si="693"/>
        <v>0</v>
      </c>
    </row>
    <row r="893" spans="1:17" x14ac:dyDescent="0.2">
      <c r="A893" s="10"/>
      <c r="B893" s="26"/>
      <c r="C893" s="11">
        <v>1998</v>
      </c>
      <c r="D893" s="32">
        <f>SPFI_CLB14!$D$21</f>
        <v>0.37506400000000001</v>
      </c>
      <c r="E893" s="32"/>
      <c r="F893" s="32"/>
      <c r="G893" s="32"/>
      <c r="H893" s="32"/>
      <c r="I893" s="32"/>
      <c r="J893" s="28">
        <f t="shared" ref="J893" si="698">D893*J$28</f>
        <v>0</v>
      </c>
      <c r="K893" s="29"/>
      <c r="L893" s="29"/>
      <c r="M893" s="29"/>
      <c r="N893" s="29"/>
      <c r="O893" s="29"/>
      <c r="P893" s="30">
        <f>SUM(J893:O893)</f>
        <v>0</v>
      </c>
      <c r="Q893" s="31">
        <f t="shared" si="693"/>
        <v>0</v>
      </c>
    </row>
    <row r="894" spans="1:17" x14ac:dyDescent="0.2">
      <c r="A894" s="10"/>
      <c r="B894" s="26"/>
      <c r="C894" s="11">
        <v>1999</v>
      </c>
      <c r="D894" s="32">
        <f>SPFI_CLB14!$D$22</f>
        <v>0.29823699999999997</v>
      </c>
      <c r="E894" s="32"/>
      <c r="F894" s="32"/>
      <c r="G894" s="32"/>
      <c r="H894" s="32"/>
      <c r="I894" s="32"/>
      <c r="J894" s="28">
        <f t="shared" ref="J894" si="699">D894*J$28</f>
        <v>0</v>
      </c>
      <c r="K894" s="29"/>
      <c r="L894" s="29"/>
      <c r="M894" s="29"/>
      <c r="N894" s="29"/>
      <c r="O894" s="29"/>
      <c r="P894" s="30">
        <f>SUM(J894:O894)</f>
        <v>0</v>
      </c>
      <c r="Q894" s="31">
        <f t="shared" ref="Q894:Q899" si="700">IF(C$28&gt;0,P894/C$28,0)</f>
        <v>0</v>
      </c>
    </row>
    <row r="895" spans="1:17" x14ac:dyDescent="0.2">
      <c r="A895" s="10"/>
      <c r="B895" s="26"/>
      <c r="C895" s="11">
        <v>2000</v>
      </c>
      <c r="D895" s="32">
        <f>SPFI_CLB14!$D$23</f>
        <v>8.4414000000000003E-2</v>
      </c>
      <c r="E895" s="32"/>
      <c r="F895" s="32"/>
      <c r="G895" s="32"/>
      <c r="H895" s="32"/>
      <c r="I895" s="32"/>
      <c r="J895" s="28">
        <f t="shared" ref="J895" si="701">D895*J$28</f>
        <v>0</v>
      </c>
      <c r="K895" s="29"/>
      <c r="L895" s="29"/>
      <c r="M895" s="29"/>
      <c r="N895" s="29"/>
      <c r="O895" s="29"/>
      <c r="P895" s="30">
        <f t="shared" ref="P895:P900" si="702">SUM(J895:O895)</f>
        <v>0</v>
      </c>
      <c r="Q895" s="31">
        <f t="shared" si="700"/>
        <v>0</v>
      </c>
    </row>
    <row r="896" spans="1:17" x14ac:dyDescent="0.2">
      <c r="A896" s="10"/>
      <c r="B896" s="26"/>
      <c r="C896" s="11">
        <v>2001</v>
      </c>
      <c r="D896" s="32">
        <f>SPFI_CLB14!$D$24</f>
        <v>7.8909000000000007E-2</v>
      </c>
      <c r="E896" s="32"/>
      <c r="F896" s="32"/>
      <c r="G896" s="32"/>
      <c r="H896" s="32"/>
      <c r="I896" s="32"/>
      <c r="J896" s="28">
        <f t="shared" ref="J896" si="703">D896*J$28</f>
        <v>0</v>
      </c>
      <c r="K896" s="29"/>
      <c r="L896" s="29"/>
      <c r="M896" s="29"/>
      <c r="N896" s="29"/>
      <c r="O896" s="29"/>
      <c r="P896" s="30">
        <f t="shared" si="702"/>
        <v>0</v>
      </c>
      <c r="Q896" s="31">
        <f t="shared" si="700"/>
        <v>0</v>
      </c>
    </row>
    <row r="897" spans="1:17" x14ac:dyDescent="0.2">
      <c r="A897" s="10"/>
      <c r="B897" s="26"/>
      <c r="C897" s="11">
        <v>2002</v>
      </c>
      <c r="D897" s="32">
        <f>SPFI_CLB14!$D$25</f>
        <v>0.29974699999999999</v>
      </c>
      <c r="E897" s="32"/>
      <c r="F897" s="32"/>
      <c r="G897" s="32"/>
      <c r="H897" s="32"/>
      <c r="I897" s="32"/>
      <c r="J897" s="28">
        <f t="shared" ref="J897" si="704">D897*J$28</f>
        <v>0</v>
      </c>
      <c r="K897" s="29"/>
      <c r="L897" s="29"/>
      <c r="M897" s="29"/>
      <c r="N897" s="29"/>
      <c r="O897" s="29"/>
      <c r="P897" s="30">
        <f t="shared" si="702"/>
        <v>0</v>
      </c>
      <c r="Q897" s="31">
        <f t="shared" si="700"/>
        <v>0</v>
      </c>
    </row>
    <row r="898" spans="1:17" x14ac:dyDescent="0.2">
      <c r="A898" s="10"/>
      <c r="B898" s="26"/>
      <c r="C898" s="11">
        <v>2003</v>
      </c>
      <c r="D898" s="32">
        <f>SPFI_CLB14!$D$26</f>
        <v>0.20691100000000001</v>
      </c>
      <c r="E898" s="32"/>
      <c r="F898" s="32"/>
      <c r="G898" s="32"/>
      <c r="H898" s="32"/>
      <c r="I898" s="32"/>
      <c r="J898" s="28">
        <f t="shared" ref="J898" si="705">D898*J$28</f>
        <v>0</v>
      </c>
      <c r="K898" s="29"/>
      <c r="L898" s="29"/>
      <c r="M898" s="29"/>
      <c r="N898" s="29"/>
      <c r="O898" s="29"/>
      <c r="P898" s="30">
        <f t="shared" si="702"/>
        <v>0</v>
      </c>
      <c r="Q898" s="31">
        <f t="shared" si="700"/>
        <v>0</v>
      </c>
    </row>
    <row r="899" spans="1:17" x14ac:dyDescent="0.2">
      <c r="A899" s="10"/>
      <c r="B899" s="26"/>
      <c r="C899" s="11">
        <v>2004</v>
      </c>
      <c r="D899" s="32">
        <f>SPFI_CLB14!$D$27</f>
        <v>0.269237</v>
      </c>
      <c r="E899" s="32"/>
      <c r="F899" s="32"/>
      <c r="G899" s="32"/>
      <c r="H899" s="32"/>
      <c r="I899" s="32"/>
      <c r="J899" s="28">
        <f t="shared" ref="J899" si="706">D899*J$28</f>
        <v>0</v>
      </c>
      <c r="K899" s="29"/>
      <c r="L899" s="29"/>
      <c r="M899" s="29"/>
      <c r="N899" s="29"/>
      <c r="O899" s="29"/>
      <c r="P899" s="30">
        <f t="shared" si="702"/>
        <v>0</v>
      </c>
      <c r="Q899" s="31">
        <f t="shared" si="700"/>
        <v>0</v>
      </c>
    </row>
    <row r="900" spans="1:17" x14ac:dyDescent="0.2">
      <c r="A900" s="10"/>
      <c r="B900" s="26"/>
      <c r="C900" s="11">
        <v>2005</v>
      </c>
      <c r="D900" s="32">
        <f>SPFI_CLB14!$D$28</f>
        <v>0.37848700000000002</v>
      </c>
      <c r="E900" s="32"/>
      <c r="F900" s="32"/>
      <c r="G900" s="32"/>
      <c r="H900" s="32"/>
      <c r="I900" s="32"/>
      <c r="J900" s="28">
        <f t="shared" ref="J900" si="707">D900*J$28</f>
        <v>0</v>
      </c>
      <c r="K900" s="29"/>
      <c r="L900" s="29"/>
      <c r="M900" s="29"/>
      <c r="N900" s="29"/>
      <c r="O900" s="29"/>
      <c r="P900" s="30">
        <f t="shared" si="702"/>
        <v>0</v>
      </c>
      <c r="Q900" s="31">
        <f t="shared" ref="Q900:Q905" si="708">IF(C$28&gt;0,P900/C$28,0)</f>
        <v>0</v>
      </c>
    </row>
    <row r="901" spans="1:17" x14ac:dyDescent="0.2">
      <c r="A901" s="10"/>
      <c r="B901" s="26"/>
      <c r="C901" s="11">
        <v>2006</v>
      </c>
      <c r="D901" s="32">
        <f>SPFI_CLB14!$D$29</f>
        <v>0.381023</v>
      </c>
      <c r="E901" s="32"/>
      <c r="F901" s="32"/>
      <c r="G901" s="32"/>
      <c r="H901" s="32"/>
      <c r="I901" s="32"/>
      <c r="J901" s="28">
        <f t="shared" ref="J901" si="709">D901*J$28</f>
        <v>0</v>
      </c>
      <c r="K901" s="29"/>
      <c r="L901" s="29"/>
      <c r="M901" s="29"/>
      <c r="N901" s="29"/>
      <c r="O901" s="29"/>
      <c r="P901" s="30">
        <f t="shared" ref="P901:P908" si="710">SUM(J901:O901)</f>
        <v>0</v>
      </c>
      <c r="Q901" s="31">
        <f t="shared" si="708"/>
        <v>0</v>
      </c>
    </row>
    <row r="902" spans="1:17" x14ac:dyDescent="0.2">
      <c r="A902" s="10"/>
      <c r="B902" s="26"/>
      <c r="C902" s="11">
        <v>2007</v>
      </c>
      <c r="D902" s="32">
        <f>SPFI_CLB14!$D$30</f>
        <v>0.356512</v>
      </c>
      <c r="E902" s="32"/>
      <c r="F902" s="32"/>
      <c r="G902" s="32"/>
      <c r="H902" s="32"/>
      <c r="I902" s="32"/>
      <c r="J902" s="28">
        <f t="shared" ref="J902" si="711">D902*J$28</f>
        <v>0</v>
      </c>
      <c r="K902" s="29"/>
      <c r="L902" s="29"/>
      <c r="M902" s="29"/>
      <c r="N902" s="29"/>
      <c r="O902" s="29"/>
      <c r="P902" s="30">
        <f t="shared" si="710"/>
        <v>0</v>
      </c>
      <c r="Q902" s="31">
        <f t="shared" si="708"/>
        <v>0</v>
      </c>
    </row>
    <row r="903" spans="1:17" x14ac:dyDescent="0.2">
      <c r="A903" s="10"/>
      <c r="B903" s="26"/>
      <c r="C903" s="11">
        <v>2008</v>
      </c>
      <c r="D903" s="32">
        <f>SPFI_CLB14!$D$31</f>
        <v>0.25494499999999998</v>
      </c>
      <c r="E903" s="32"/>
      <c r="F903" s="32"/>
      <c r="G903" s="32"/>
      <c r="H903" s="32"/>
      <c r="I903" s="32"/>
      <c r="J903" s="28">
        <f t="shared" ref="J903" si="712">D903*J$28</f>
        <v>0</v>
      </c>
      <c r="K903" s="29"/>
      <c r="L903" s="29"/>
      <c r="M903" s="29"/>
      <c r="N903" s="29"/>
      <c r="O903" s="29"/>
      <c r="P903" s="30">
        <f t="shared" si="710"/>
        <v>0</v>
      </c>
      <c r="Q903" s="31">
        <f t="shared" si="708"/>
        <v>0</v>
      </c>
    </row>
    <row r="904" spans="1:17" x14ac:dyDescent="0.2">
      <c r="A904" s="10"/>
      <c r="B904" s="26"/>
      <c r="C904" s="11">
        <v>2009</v>
      </c>
      <c r="D904" s="32">
        <f>SPFI_CLB14!$D$32</f>
        <v>0.52383000000000002</v>
      </c>
      <c r="E904" s="32"/>
      <c r="F904" s="32"/>
      <c r="G904" s="32"/>
      <c r="H904" s="32"/>
      <c r="I904" s="32"/>
      <c r="J904" s="28">
        <f t="shared" ref="J904" si="713">D904*J$28</f>
        <v>0</v>
      </c>
      <c r="K904" s="29"/>
      <c r="L904" s="29"/>
      <c r="M904" s="29"/>
      <c r="N904" s="29"/>
      <c r="O904" s="29"/>
      <c r="P904" s="30">
        <f t="shared" si="710"/>
        <v>0</v>
      </c>
      <c r="Q904" s="31">
        <f t="shared" si="708"/>
        <v>0</v>
      </c>
    </row>
    <row r="905" spans="1:17" x14ac:dyDescent="0.2">
      <c r="A905" s="10"/>
      <c r="B905" s="26"/>
      <c r="C905" s="11">
        <v>2010</v>
      </c>
      <c r="D905" s="32">
        <f>SPFI_CLB14!$D$33</f>
        <v>0.31394</v>
      </c>
      <c r="E905" s="32"/>
      <c r="F905" s="32"/>
      <c r="G905" s="32"/>
      <c r="H905" s="32"/>
      <c r="I905" s="32"/>
      <c r="J905" s="28">
        <f t="shared" ref="J905" si="714">D905*J$28</f>
        <v>0</v>
      </c>
      <c r="K905" s="29"/>
      <c r="L905" s="29"/>
      <c r="M905" s="29"/>
      <c r="N905" s="29"/>
      <c r="O905" s="29"/>
      <c r="P905" s="30">
        <f t="shared" si="710"/>
        <v>0</v>
      </c>
      <c r="Q905" s="31">
        <f t="shared" si="708"/>
        <v>0</v>
      </c>
    </row>
    <row r="906" spans="1:17" x14ac:dyDescent="0.2">
      <c r="A906" s="10"/>
      <c r="B906" s="26"/>
      <c r="C906" s="11">
        <v>2011</v>
      </c>
      <c r="D906" s="32">
        <f>SPFI_CLB14!$D$34</f>
        <v>0.294348</v>
      </c>
      <c r="E906" s="32"/>
      <c r="F906" s="32"/>
      <c r="G906" s="32"/>
      <c r="H906" s="32"/>
      <c r="I906" s="32"/>
      <c r="J906" s="28">
        <f t="shared" ref="J906" si="715">D906*J$28</f>
        <v>0</v>
      </c>
      <c r="K906" s="29"/>
      <c r="L906" s="29"/>
      <c r="M906" s="29"/>
      <c r="N906" s="29"/>
      <c r="O906" s="29"/>
      <c r="P906" s="30">
        <f t="shared" ref="P906" si="716">SUM(J906:O906)</f>
        <v>0</v>
      </c>
      <c r="Q906" s="31">
        <f t="shared" ref="Q906" si="717">IF(C$28&gt;0,P906/C$28,0)</f>
        <v>0</v>
      </c>
    </row>
    <row r="907" spans="1:17" x14ac:dyDescent="0.2">
      <c r="A907" s="10"/>
      <c r="B907" s="26"/>
      <c r="C907" s="11">
        <v>2012</v>
      </c>
      <c r="D907" s="32">
        <f>SPFI_CLB14!$D$35</f>
        <v>0.34784100000000001</v>
      </c>
      <c r="E907" s="32"/>
      <c r="F907" s="32"/>
      <c r="G907" s="32"/>
      <c r="H907" s="32"/>
      <c r="I907" s="32"/>
      <c r="J907" s="28">
        <f t="shared" ref="J907" si="718">D907*J$28</f>
        <v>0</v>
      </c>
      <c r="K907" s="29"/>
      <c r="L907" s="29"/>
      <c r="M907" s="29"/>
      <c r="N907" s="29"/>
      <c r="O907" s="29"/>
      <c r="P907" s="30">
        <f t="shared" ref="P907" si="719">SUM(J907:O907)</f>
        <v>0</v>
      </c>
      <c r="Q907" s="31">
        <f t="shared" ref="Q907" si="720">IF(C$28&gt;0,P907/C$28,0)</f>
        <v>0</v>
      </c>
    </row>
    <row r="908" spans="1:17" x14ac:dyDescent="0.2">
      <c r="A908" s="5" t="s">
        <v>12</v>
      </c>
      <c r="B908" s="21">
        <v>3</v>
      </c>
      <c r="C908" s="6">
        <v>1982</v>
      </c>
      <c r="D908" s="27">
        <f>SPFI_CLB14!$D$5</f>
        <v>0.98153299999999999</v>
      </c>
      <c r="E908" s="27"/>
      <c r="F908" s="27"/>
      <c r="G908" s="27"/>
      <c r="H908" s="27"/>
      <c r="I908" s="27"/>
      <c r="J908" s="33">
        <f t="shared" ref="J908:J920" si="721">D908*J$29</f>
        <v>0</v>
      </c>
      <c r="K908" s="27"/>
      <c r="L908" s="27"/>
      <c r="M908" s="27"/>
      <c r="N908" s="27"/>
      <c r="O908" s="27"/>
      <c r="P908" s="34">
        <f t="shared" si="710"/>
        <v>0</v>
      </c>
      <c r="Q908" s="35">
        <f t="shared" ref="Q908:Q924" si="722">IF(C$29&gt;0,P908/C$29,0)</f>
        <v>0</v>
      </c>
    </row>
    <row r="909" spans="1:17" x14ac:dyDescent="0.2">
      <c r="A909" s="10"/>
      <c r="B909" s="26"/>
      <c r="C909" s="11">
        <v>1983</v>
      </c>
      <c r="D909" s="32">
        <f>SPFI_CLB14!$D$6</f>
        <v>0.93659899999999996</v>
      </c>
      <c r="E909" s="32"/>
      <c r="F909" s="32"/>
      <c r="G909" s="32"/>
      <c r="H909" s="32"/>
      <c r="I909" s="32"/>
      <c r="J909" s="28">
        <f t="shared" si="721"/>
        <v>0</v>
      </c>
      <c r="K909" s="29"/>
      <c r="L909" s="29"/>
      <c r="M909" s="29"/>
      <c r="N909" s="29"/>
      <c r="O909" s="29"/>
      <c r="P909" s="30">
        <f t="shared" ref="P909:P920" si="723">SUM(J909:O909)</f>
        <v>0</v>
      </c>
      <c r="Q909" s="31">
        <f t="shared" si="722"/>
        <v>0</v>
      </c>
    </row>
    <row r="910" spans="1:17" x14ac:dyDescent="0.2">
      <c r="A910" s="10"/>
      <c r="B910" s="26"/>
      <c r="C910" s="11">
        <v>1984</v>
      </c>
      <c r="D910" s="32">
        <f>SPFI_CLB14!$D$7</f>
        <v>0.92793599999999998</v>
      </c>
      <c r="E910" s="32"/>
      <c r="F910" s="32"/>
      <c r="G910" s="32"/>
      <c r="H910" s="32"/>
      <c r="I910" s="32"/>
      <c r="J910" s="28">
        <f t="shared" si="721"/>
        <v>0</v>
      </c>
      <c r="K910" s="29"/>
      <c r="L910" s="29"/>
      <c r="M910" s="29"/>
      <c r="N910" s="29"/>
      <c r="O910" s="29"/>
      <c r="P910" s="30">
        <f t="shared" si="723"/>
        <v>0</v>
      </c>
      <c r="Q910" s="31">
        <f t="shared" si="722"/>
        <v>0</v>
      </c>
    </row>
    <row r="911" spans="1:17" x14ac:dyDescent="0.2">
      <c r="A911" s="10"/>
      <c r="B911" s="26"/>
      <c r="C911" s="11">
        <v>1985</v>
      </c>
      <c r="D911" s="32">
        <f>SPFI_CLB14!$D$8</f>
        <v>0.90386500000000003</v>
      </c>
      <c r="E911" s="32"/>
      <c r="F911" s="32"/>
      <c r="G911" s="32"/>
      <c r="H911" s="32"/>
      <c r="I911" s="32"/>
      <c r="J911" s="28">
        <f t="shared" si="721"/>
        <v>0</v>
      </c>
      <c r="K911" s="29"/>
      <c r="L911" s="29"/>
      <c r="M911" s="29"/>
      <c r="N911" s="29"/>
      <c r="O911" s="29"/>
      <c r="P911" s="30">
        <f t="shared" si="723"/>
        <v>0</v>
      </c>
      <c r="Q911" s="31">
        <f t="shared" si="722"/>
        <v>0</v>
      </c>
    </row>
    <row r="912" spans="1:17" x14ac:dyDescent="0.2">
      <c r="A912" s="10"/>
      <c r="B912" s="26"/>
      <c r="C912" s="11">
        <v>1986</v>
      </c>
      <c r="D912" s="32">
        <f>SPFI_CLB14!$D$9</f>
        <v>0.73087500000000005</v>
      </c>
      <c r="E912" s="32"/>
      <c r="F912" s="32"/>
      <c r="G912" s="32"/>
      <c r="H912" s="32"/>
      <c r="I912" s="32"/>
      <c r="J912" s="28">
        <f t="shared" si="721"/>
        <v>0</v>
      </c>
      <c r="K912" s="29"/>
      <c r="L912" s="29"/>
      <c r="M912" s="29"/>
      <c r="N912" s="29"/>
      <c r="O912" s="29"/>
      <c r="P912" s="30">
        <f t="shared" si="723"/>
        <v>0</v>
      </c>
      <c r="Q912" s="31">
        <f t="shared" si="722"/>
        <v>0</v>
      </c>
    </row>
    <row r="913" spans="1:17" x14ac:dyDescent="0.2">
      <c r="A913" s="10"/>
      <c r="B913" s="26"/>
      <c r="C913" s="11">
        <v>1987</v>
      </c>
      <c r="D913" s="32">
        <f>SPFI_CLB14!$D$10</f>
        <v>0.71733499999999994</v>
      </c>
      <c r="E913" s="32"/>
      <c r="F913" s="32"/>
      <c r="G913" s="32"/>
      <c r="H913" s="32"/>
      <c r="I913" s="32"/>
      <c r="J913" s="28">
        <f t="shared" si="721"/>
        <v>0</v>
      </c>
      <c r="K913" s="29"/>
      <c r="L913" s="29"/>
      <c r="M913" s="29"/>
      <c r="N913" s="29"/>
      <c r="O913" s="29"/>
      <c r="P913" s="30">
        <f t="shared" si="723"/>
        <v>0</v>
      </c>
      <c r="Q913" s="31">
        <f t="shared" si="722"/>
        <v>0</v>
      </c>
    </row>
    <row r="914" spans="1:17" x14ac:dyDescent="0.2">
      <c r="A914" s="10"/>
      <c r="B914" s="26"/>
      <c r="C914" s="11">
        <v>1988</v>
      </c>
      <c r="D914" s="32">
        <f>SPFI_CLB14!$D$11</f>
        <v>0.64558800000000005</v>
      </c>
      <c r="E914" s="32"/>
      <c r="F914" s="32"/>
      <c r="G914" s="32"/>
      <c r="H914" s="32"/>
      <c r="I914" s="32"/>
      <c r="J914" s="28">
        <f t="shared" si="721"/>
        <v>0</v>
      </c>
      <c r="K914" s="29"/>
      <c r="L914" s="29"/>
      <c r="M914" s="29"/>
      <c r="N914" s="29"/>
      <c r="O914" s="29"/>
      <c r="P914" s="30">
        <f t="shared" si="723"/>
        <v>0</v>
      </c>
      <c r="Q914" s="31">
        <f t="shared" si="722"/>
        <v>0</v>
      </c>
    </row>
    <row r="915" spans="1:17" x14ac:dyDescent="0.2">
      <c r="A915" s="10"/>
      <c r="B915" s="26"/>
      <c r="C915" s="11">
        <v>1989</v>
      </c>
      <c r="D915" s="32">
        <f>SPFI_CLB14!$D$12</f>
        <v>0.65287700000000004</v>
      </c>
      <c r="E915" s="32"/>
      <c r="F915" s="32"/>
      <c r="G915" s="32"/>
      <c r="H915" s="32"/>
      <c r="I915" s="32"/>
      <c r="J915" s="28">
        <f t="shared" si="721"/>
        <v>0</v>
      </c>
      <c r="K915" s="29"/>
      <c r="L915" s="29"/>
      <c r="M915" s="29"/>
      <c r="N915" s="29"/>
      <c r="O915" s="29"/>
      <c r="P915" s="30">
        <f t="shared" si="723"/>
        <v>0</v>
      </c>
      <c r="Q915" s="31">
        <f t="shared" si="722"/>
        <v>0</v>
      </c>
    </row>
    <row r="916" spans="1:17" x14ac:dyDescent="0.2">
      <c r="A916" s="10"/>
      <c r="B916" s="26"/>
      <c r="C916" s="11">
        <v>1990</v>
      </c>
      <c r="D916" s="32">
        <f>SPFI_CLB14!$D$13</f>
        <v>0.56965100000000002</v>
      </c>
      <c r="E916" s="32"/>
      <c r="F916" s="32"/>
      <c r="G916" s="32"/>
      <c r="H916" s="32"/>
      <c r="I916" s="32"/>
      <c r="J916" s="28">
        <f t="shared" si="721"/>
        <v>0</v>
      </c>
      <c r="K916" s="29"/>
      <c r="L916" s="29"/>
      <c r="M916" s="29"/>
      <c r="N916" s="29"/>
      <c r="O916" s="29"/>
      <c r="P916" s="30">
        <f t="shared" si="723"/>
        <v>0</v>
      </c>
      <c r="Q916" s="31">
        <f t="shared" si="722"/>
        <v>0</v>
      </c>
    </row>
    <row r="917" spans="1:17" x14ac:dyDescent="0.2">
      <c r="A917" s="10"/>
      <c r="B917" s="26"/>
      <c r="C917" s="11">
        <v>1991</v>
      </c>
      <c r="D917" s="32">
        <f>SPFI_CLB14!$D$14</f>
        <v>0.62776900000000002</v>
      </c>
      <c r="E917" s="32"/>
      <c r="F917" s="32"/>
      <c r="G917" s="32"/>
      <c r="H917" s="32"/>
      <c r="I917" s="32"/>
      <c r="J917" s="28">
        <f t="shared" si="721"/>
        <v>0</v>
      </c>
      <c r="K917" s="29"/>
      <c r="L917" s="29"/>
      <c r="M917" s="29"/>
      <c r="N917" s="29"/>
      <c r="O917" s="29"/>
      <c r="P917" s="30">
        <f t="shared" si="723"/>
        <v>0</v>
      </c>
      <c r="Q917" s="31">
        <f t="shared" si="722"/>
        <v>0</v>
      </c>
    </row>
    <row r="918" spans="1:17" x14ac:dyDescent="0.2">
      <c r="A918" s="10"/>
      <c r="B918" s="26"/>
      <c r="C918" s="11">
        <v>1992</v>
      </c>
      <c r="D918" s="32">
        <f>SPFI_CLB14!$D$15</f>
        <v>0.43504100000000001</v>
      </c>
      <c r="E918" s="32"/>
      <c r="F918" s="32"/>
      <c r="G918" s="32"/>
      <c r="H918" s="32"/>
      <c r="I918" s="32"/>
      <c r="J918" s="28">
        <f t="shared" si="721"/>
        <v>0</v>
      </c>
      <c r="K918" s="29"/>
      <c r="L918" s="29"/>
      <c r="M918" s="29"/>
      <c r="N918" s="29"/>
      <c r="O918" s="29"/>
      <c r="P918" s="30">
        <f t="shared" si="723"/>
        <v>0</v>
      </c>
      <c r="Q918" s="31">
        <f t="shared" si="722"/>
        <v>0</v>
      </c>
    </row>
    <row r="919" spans="1:17" x14ac:dyDescent="0.2">
      <c r="A919" s="10"/>
      <c r="B919" s="26"/>
      <c r="C919" s="11">
        <v>1993</v>
      </c>
      <c r="D919" s="32">
        <f>SPFI_CLB14!$D$16</f>
        <v>0.499164</v>
      </c>
      <c r="E919" s="32"/>
      <c r="F919" s="32"/>
      <c r="G919" s="32"/>
      <c r="H919" s="32"/>
      <c r="I919" s="32"/>
      <c r="J919" s="28">
        <f t="shared" si="721"/>
        <v>0</v>
      </c>
      <c r="K919" s="29"/>
      <c r="L919" s="29"/>
      <c r="M919" s="29"/>
      <c r="N919" s="29"/>
      <c r="O919" s="29"/>
      <c r="P919" s="30">
        <f t="shared" si="723"/>
        <v>0</v>
      </c>
      <c r="Q919" s="31">
        <f t="shared" si="722"/>
        <v>0</v>
      </c>
    </row>
    <row r="920" spans="1:17" x14ac:dyDescent="0.2">
      <c r="A920" s="10"/>
      <c r="B920" s="26"/>
      <c r="C920" s="11">
        <v>1994</v>
      </c>
      <c r="D920" s="32">
        <f>SPFI_CLB14!$D$17</f>
        <v>0.59591300000000003</v>
      </c>
      <c r="E920" s="32"/>
      <c r="F920" s="32"/>
      <c r="G920" s="32"/>
      <c r="H920" s="32"/>
      <c r="I920" s="32"/>
      <c r="J920" s="28">
        <f t="shared" si="721"/>
        <v>0</v>
      </c>
      <c r="K920" s="29"/>
      <c r="L920" s="29"/>
      <c r="M920" s="29"/>
      <c r="N920" s="29"/>
      <c r="O920" s="29"/>
      <c r="P920" s="30">
        <f t="shared" si="723"/>
        <v>0</v>
      </c>
      <c r="Q920" s="31">
        <f t="shared" si="722"/>
        <v>0</v>
      </c>
    </row>
    <row r="921" spans="1:17" x14ac:dyDescent="0.2">
      <c r="A921" s="10"/>
      <c r="B921" s="26"/>
      <c r="C921" s="11">
        <v>1995</v>
      </c>
      <c r="D921" s="32">
        <f>SPFI_CLB14!$D$18</f>
        <v>0.25400800000000001</v>
      </c>
      <c r="E921" s="32"/>
      <c r="F921" s="32"/>
      <c r="G921" s="32"/>
      <c r="H921" s="32"/>
      <c r="I921" s="32"/>
      <c r="J921" s="28">
        <f t="shared" ref="J921" si="724">D921*J$29</f>
        <v>0</v>
      </c>
      <c r="K921" s="29"/>
      <c r="L921" s="29"/>
      <c r="M921" s="29"/>
      <c r="N921" s="29"/>
      <c r="O921" s="29"/>
      <c r="P921" s="30">
        <f>SUM(J921:O921)</f>
        <v>0</v>
      </c>
      <c r="Q921" s="31">
        <f t="shared" si="722"/>
        <v>0</v>
      </c>
    </row>
    <row r="922" spans="1:17" x14ac:dyDescent="0.2">
      <c r="A922" s="10"/>
      <c r="B922" s="26"/>
      <c r="C922" s="11">
        <v>1996</v>
      </c>
      <c r="D922" s="32">
        <f>SPFI_CLB14!$D$19</f>
        <v>0</v>
      </c>
      <c r="E922" s="32"/>
      <c r="F922" s="32"/>
      <c r="G922" s="32"/>
      <c r="H922" s="32"/>
      <c r="I922" s="32"/>
      <c r="J922" s="28">
        <f t="shared" ref="J922" si="725">D922*J$29</f>
        <v>0</v>
      </c>
      <c r="K922" s="29"/>
      <c r="L922" s="29"/>
      <c r="M922" s="29"/>
      <c r="N922" s="29"/>
      <c r="O922" s="29"/>
      <c r="P922" s="30">
        <f>SUM(J922:O922)</f>
        <v>0</v>
      </c>
      <c r="Q922" s="31">
        <f t="shared" si="722"/>
        <v>0</v>
      </c>
    </row>
    <row r="923" spans="1:17" x14ac:dyDescent="0.2">
      <c r="A923" s="10"/>
      <c r="B923" s="26"/>
      <c r="C923" s="11">
        <v>1997</v>
      </c>
      <c r="D923" s="32">
        <f>SPFI_CLB14!$D$20</f>
        <v>0.201487</v>
      </c>
      <c r="E923" s="32"/>
      <c r="F923" s="32"/>
      <c r="G923" s="32"/>
      <c r="H923" s="32"/>
      <c r="I923" s="32"/>
      <c r="J923" s="28">
        <f t="shared" ref="J923" si="726">D923*J$29</f>
        <v>0</v>
      </c>
      <c r="K923" s="29"/>
      <c r="L923" s="29"/>
      <c r="M923" s="29"/>
      <c r="N923" s="29"/>
      <c r="O923" s="29"/>
      <c r="P923" s="30">
        <f>SUM(J923:O923)</f>
        <v>0</v>
      </c>
      <c r="Q923" s="31">
        <f t="shared" si="722"/>
        <v>0</v>
      </c>
    </row>
    <row r="924" spans="1:17" x14ac:dyDescent="0.2">
      <c r="A924" s="10"/>
      <c r="B924" s="26"/>
      <c r="C924" s="11">
        <v>1998</v>
      </c>
      <c r="D924" s="32">
        <f>SPFI_CLB14!$D$21</f>
        <v>0.37506400000000001</v>
      </c>
      <c r="E924" s="32"/>
      <c r="F924" s="32"/>
      <c r="G924" s="32"/>
      <c r="H924" s="32"/>
      <c r="I924" s="32"/>
      <c r="J924" s="28">
        <f t="shared" ref="J924" si="727">D924*J$29</f>
        <v>0</v>
      </c>
      <c r="K924" s="29"/>
      <c r="L924" s="29"/>
      <c r="M924" s="29"/>
      <c r="N924" s="29"/>
      <c r="O924" s="29"/>
      <c r="P924" s="30">
        <f>SUM(J924:O924)</f>
        <v>0</v>
      </c>
      <c r="Q924" s="31">
        <f t="shared" si="722"/>
        <v>0</v>
      </c>
    </row>
    <row r="925" spans="1:17" x14ac:dyDescent="0.2">
      <c r="A925" s="10"/>
      <c r="B925" s="26"/>
      <c r="C925" s="11">
        <v>1999</v>
      </c>
      <c r="D925" s="32">
        <f>SPFI_CLB14!$D$22</f>
        <v>0.29823699999999997</v>
      </c>
      <c r="E925" s="32"/>
      <c r="F925" s="32"/>
      <c r="G925" s="32"/>
      <c r="H925" s="32"/>
      <c r="I925" s="32"/>
      <c r="J925" s="28">
        <f t="shared" ref="J925" si="728">D925*J$29</f>
        <v>0</v>
      </c>
      <c r="K925" s="29"/>
      <c r="L925" s="29"/>
      <c r="M925" s="29"/>
      <c r="N925" s="29"/>
      <c r="O925" s="29"/>
      <c r="P925" s="30">
        <f>SUM(J925:O925)</f>
        <v>0</v>
      </c>
      <c r="Q925" s="31">
        <f t="shared" ref="Q925:Q930" si="729">IF(C$29&gt;0,P925/C$29,0)</f>
        <v>0</v>
      </c>
    </row>
    <row r="926" spans="1:17" x14ac:dyDescent="0.2">
      <c r="A926" s="10"/>
      <c r="B926" s="26"/>
      <c r="C926" s="11">
        <v>2000</v>
      </c>
      <c r="D926" s="32">
        <f>SPFI_CLB14!$D$23</f>
        <v>8.4414000000000003E-2</v>
      </c>
      <c r="E926" s="32"/>
      <c r="F926" s="32"/>
      <c r="G926" s="32"/>
      <c r="H926" s="32"/>
      <c r="I926" s="32"/>
      <c r="J926" s="28">
        <f t="shared" ref="J926" si="730">D926*J$29</f>
        <v>0</v>
      </c>
      <c r="K926" s="29"/>
      <c r="L926" s="29"/>
      <c r="M926" s="29"/>
      <c r="N926" s="29"/>
      <c r="O926" s="29"/>
      <c r="P926" s="30">
        <f t="shared" ref="P926:P931" si="731">SUM(J926:O926)</f>
        <v>0</v>
      </c>
      <c r="Q926" s="31">
        <f t="shared" si="729"/>
        <v>0</v>
      </c>
    </row>
    <row r="927" spans="1:17" x14ac:dyDescent="0.2">
      <c r="A927" s="10"/>
      <c r="B927" s="26"/>
      <c r="C927" s="11">
        <v>2001</v>
      </c>
      <c r="D927" s="32">
        <f>SPFI_CLB14!$D$24</f>
        <v>7.8909000000000007E-2</v>
      </c>
      <c r="E927" s="32"/>
      <c r="F927" s="32"/>
      <c r="G927" s="32"/>
      <c r="H927" s="32"/>
      <c r="I927" s="32"/>
      <c r="J927" s="28">
        <f t="shared" ref="J927" si="732">D927*J$29</f>
        <v>0</v>
      </c>
      <c r="K927" s="29"/>
      <c r="L927" s="29"/>
      <c r="M927" s="29"/>
      <c r="N927" s="29"/>
      <c r="O927" s="29"/>
      <c r="P927" s="30">
        <f t="shared" si="731"/>
        <v>0</v>
      </c>
      <c r="Q927" s="31">
        <f t="shared" si="729"/>
        <v>0</v>
      </c>
    </row>
    <row r="928" spans="1:17" x14ac:dyDescent="0.2">
      <c r="A928" s="10"/>
      <c r="B928" s="26"/>
      <c r="C928" s="11">
        <v>2002</v>
      </c>
      <c r="D928" s="32">
        <f>SPFI_CLB14!$D$25</f>
        <v>0.29974699999999999</v>
      </c>
      <c r="E928" s="32"/>
      <c r="F928" s="32"/>
      <c r="G928" s="32"/>
      <c r="H928" s="32"/>
      <c r="I928" s="32"/>
      <c r="J928" s="28">
        <f t="shared" ref="J928" si="733">D928*J$29</f>
        <v>0</v>
      </c>
      <c r="K928" s="29"/>
      <c r="L928" s="29"/>
      <c r="M928" s="29"/>
      <c r="N928" s="29"/>
      <c r="O928" s="29"/>
      <c r="P928" s="30">
        <f t="shared" si="731"/>
        <v>0</v>
      </c>
      <c r="Q928" s="31">
        <f t="shared" si="729"/>
        <v>0</v>
      </c>
    </row>
    <row r="929" spans="1:17" x14ac:dyDescent="0.2">
      <c r="A929" s="10"/>
      <c r="B929" s="26"/>
      <c r="C929" s="11">
        <v>2003</v>
      </c>
      <c r="D929" s="32">
        <f>SPFI_CLB14!$D$26</f>
        <v>0.20691100000000001</v>
      </c>
      <c r="E929" s="32"/>
      <c r="F929" s="32"/>
      <c r="G929" s="32"/>
      <c r="H929" s="32"/>
      <c r="I929" s="32"/>
      <c r="J929" s="28">
        <f t="shared" ref="J929" si="734">D929*J$29</f>
        <v>0</v>
      </c>
      <c r="K929" s="29"/>
      <c r="L929" s="29"/>
      <c r="M929" s="29"/>
      <c r="N929" s="29"/>
      <c r="O929" s="29"/>
      <c r="P929" s="30">
        <f t="shared" si="731"/>
        <v>0</v>
      </c>
      <c r="Q929" s="31">
        <f t="shared" si="729"/>
        <v>0</v>
      </c>
    </row>
    <row r="930" spans="1:17" x14ac:dyDescent="0.2">
      <c r="A930" s="10"/>
      <c r="B930" s="26"/>
      <c r="C930" s="11">
        <v>2004</v>
      </c>
      <c r="D930" s="32">
        <f>SPFI_CLB14!$D$27</f>
        <v>0.269237</v>
      </c>
      <c r="E930" s="32"/>
      <c r="F930" s="32"/>
      <c r="G930" s="32"/>
      <c r="H930" s="32"/>
      <c r="I930" s="32"/>
      <c r="J930" s="28">
        <f t="shared" ref="J930" si="735">D930*J$29</f>
        <v>0</v>
      </c>
      <c r="K930" s="29"/>
      <c r="L930" s="29"/>
      <c r="M930" s="29"/>
      <c r="N930" s="29"/>
      <c r="O930" s="29"/>
      <c r="P930" s="30">
        <f t="shared" si="731"/>
        <v>0</v>
      </c>
      <c r="Q930" s="31">
        <f t="shared" si="729"/>
        <v>0</v>
      </c>
    </row>
    <row r="931" spans="1:17" x14ac:dyDescent="0.2">
      <c r="A931" s="10"/>
      <c r="B931" s="26"/>
      <c r="C931" s="11">
        <v>2005</v>
      </c>
      <c r="D931" s="32">
        <f>SPFI_CLB14!$D$28</f>
        <v>0.37848700000000002</v>
      </c>
      <c r="E931" s="32"/>
      <c r="F931" s="32"/>
      <c r="G931" s="32"/>
      <c r="H931" s="32"/>
      <c r="I931" s="32"/>
      <c r="J931" s="28">
        <f t="shared" ref="J931" si="736">D931*J$29</f>
        <v>0</v>
      </c>
      <c r="K931" s="29"/>
      <c r="L931" s="29"/>
      <c r="M931" s="29"/>
      <c r="N931" s="29"/>
      <c r="O931" s="29"/>
      <c r="P931" s="30">
        <f t="shared" si="731"/>
        <v>0</v>
      </c>
      <c r="Q931" s="31">
        <f t="shared" ref="Q931:Q936" si="737">IF(C$29&gt;0,P931/C$29,0)</f>
        <v>0</v>
      </c>
    </row>
    <row r="932" spans="1:17" x14ac:dyDescent="0.2">
      <c r="A932" s="10"/>
      <c r="B932" s="26"/>
      <c r="C932" s="11">
        <v>2006</v>
      </c>
      <c r="D932" s="32">
        <f>SPFI_CLB14!$D$29</f>
        <v>0.381023</v>
      </c>
      <c r="E932" s="32"/>
      <c r="F932" s="32"/>
      <c r="G932" s="32"/>
      <c r="H932" s="32"/>
      <c r="I932" s="32"/>
      <c r="J932" s="28">
        <f t="shared" ref="J932" si="738">D932*J$29</f>
        <v>0</v>
      </c>
      <c r="K932" s="29"/>
      <c r="L932" s="29"/>
      <c r="M932" s="29"/>
      <c r="N932" s="29"/>
      <c r="O932" s="29"/>
      <c r="P932" s="30">
        <f t="shared" ref="P932:P939" si="739">SUM(J932:O932)</f>
        <v>0</v>
      </c>
      <c r="Q932" s="31">
        <f t="shared" si="737"/>
        <v>0</v>
      </c>
    </row>
    <row r="933" spans="1:17" x14ac:dyDescent="0.2">
      <c r="A933" s="10"/>
      <c r="B933" s="26"/>
      <c r="C933" s="11">
        <v>2007</v>
      </c>
      <c r="D933" s="32">
        <f>SPFI_CLB14!$D$30</f>
        <v>0.356512</v>
      </c>
      <c r="E933" s="32"/>
      <c r="F933" s="32"/>
      <c r="G933" s="32"/>
      <c r="H933" s="32"/>
      <c r="I933" s="32"/>
      <c r="J933" s="28">
        <f t="shared" ref="J933" si="740">D933*J$29</f>
        <v>0</v>
      </c>
      <c r="K933" s="29"/>
      <c r="L933" s="29"/>
      <c r="M933" s="29"/>
      <c r="N933" s="29"/>
      <c r="O933" s="29"/>
      <c r="P933" s="30">
        <f t="shared" si="739"/>
        <v>0</v>
      </c>
      <c r="Q933" s="31">
        <f t="shared" si="737"/>
        <v>0</v>
      </c>
    </row>
    <row r="934" spans="1:17" x14ac:dyDescent="0.2">
      <c r="A934" s="10"/>
      <c r="B934" s="26"/>
      <c r="C934" s="11">
        <v>2008</v>
      </c>
      <c r="D934" s="32">
        <f>SPFI_CLB14!$D$31</f>
        <v>0.25494499999999998</v>
      </c>
      <c r="E934" s="32"/>
      <c r="F934" s="32"/>
      <c r="G934" s="32"/>
      <c r="H934" s="32"/>
      <c r="I934" s="32"/>
      <c r="J934" s="28">
        <f t="shared" ref="J934" si="741">D934*J$29</f>
        <v>0</v>
      </c>
      <c r="K934" s="29"/>
      <c r="L934" s="29"/>
      <c r="M934" s="29"/>
      <c r="N934" s="29"/>
      <c r="O934" s="29"/>
      <c r="P934" s="30">
        <f t="shared" si="739"/>
        <v>0</v>
      </c>
      <c r="Q934" s="31">
        <f t="shared" si="737"/>
        <v>0</v>
      </c>
    </row>
    <row r="935" spans="1:17" x14ac:dyDescent="0.2">
      <c r="A935" s="10"/>
      <c r="B935" s="26"/>
      <c r="C935" s="11">
        <v>2009</v>
      </c>
      <c r="D935" s="32">
        <f>SPFI_CLB14!$D$32</f>
        <v>0.52383000000000002</v>
      </c>
      <c r="E935" s="32"/>
      <c r="F935" s="32"/>
      <c r="G935" s="32"/>
      <c r="H935" s="32"/>
      <c r="I935" s="32"/>
      <c r="J935" s="28">
        <f t="shared" ref="J935" si="742">D935*J$29</f>
        <v>0</v>
      </c>
      <c r="K935" s="29"/>
      <c r="L935" s="29"/>
      <c r="M935" s="29"/>
      <c r="N935" s="29"/>
      <c r="O935" s="29"/>
      <c r="P935" s="30">
        <f t="shared" si="739"/>
        <v>0</v>
      </c>
      <c r="Q935" s="31">
        <f t="shared" si="737"/>
        <v>0</v>
      </c>
    </row>
    <row r="936" spans="1:17" x14ac:dyDescent="0.2">
      <c r="A936" s="10"/>
      <c r="B936" s="26"/>
      <c r="C936" s="11">
        <v>2010</v>
      </c>
      <c r="D936" s="32">
        <f>SPFI_CLB14!$D$33</f>
        <v>0.31394</v>
      </c>
      <c r="E936" s="32"/>
      <c r="F936" s="32"/>
      <c r="G936" s="32"/>
      <c r="H936" s="32"/>
      <c r="I936" s="32"/>
      <c r="J936" s="28">
        <f t="shared" ref="J936" si="743">D936*J$29</f>
        <v>0</v>
      </c>
      <c r="K936" s="29"/>
      <c r="L936" s="29"/>
      <c r="M936" s="29"/>
      <c r="N936" s="29"/>
      <c r="O936" s="29"/>
      <c r="P936" s="30">
        <f t="shared" si="739"/>
        <v>0</v>
      </c>
      <c r="Q936" s="31">
        <f t="shared" si="737"/>
        <v>0</v>
      </c>
    </row>
    <row r="937" spans="1:17" x14ac:dyDescent="0.2">
      <c r="A937" s="10"/>
      <c r="B937" s="26"/>
      <c r="C937" s="11">
        <v>2011</v>
      </c>
      <c r="D937" s="32">
        <f>SPFI_CLB14!$D$34</f>
        <v>0.294348</v>
      </c>
      <c r="E937" s="32"/>
      <c r="F937" s="32"/>
      <c r="G937" s="32"/>
      <c r="H937" s="32"/>
      <c r="I937" s="32"/>
      <c r="J937" s="28">
        <f t="shared" ref="J937" si="744">D937*J$29</f>
        <v>0</v>
      </c>
      <c r="K937" s="29"/>
      <c r="L937" s="29"/>
      <c r="M937" s="29"/>
      <c r="N937" s="29"/>
      <c r="O937" s="29"/>
      <c r="P937" s="30">
        <f t="shared" ref="P937" si="745">SUM(J937:O937)</f>
        <v>0</v>
      </c>
      <c r="Q937" s="31">
        <f t="shared" ref="Q937" si="746">IF(C$29&gt;0,P937/C$29,0)</f>
        <v>0</v>
      </c>
    </row>
    <row r="938" spans="1:17" x14ac:dyDescent="0.2">
      <c r="A938" s="10"/>
      <c r="B938" s="26"/>
      <c r="C938" s="11">
        <v>2012</v>
      </c>
      <c r="D938" s="32">
        <f>SPFI_CLB14!$D$35</f>
        <v>0.34784100000000001</v>
      </c>
      <c r="E938" s="32"/>
      <c r="F938" s="32"/>
      <c r="G938" s="32"/>
      <c r="H938" s="32"/>
      <c r="I938" s="32"/>
      <c r="J938" s="28">
        <f t="shared" ref="J938" si="747">D938*J$29</f>
        <v>0</v>
      </c>
      <c r="K938" s="29"/>
      <c r="L938" s="29"/>
      <c r="M938" s="29"/>
      <c r="N938" s="29"/>
      <c r="O938" s="29"/>
      <c r="P938" s="30">
        <f t="shared" ref="P938" si="748">SUM(J938:O938)</f>
        <v>0</v>
      </c>
      <c r="Q938" s="31">
        <f t="shared" ref="Q938" si="749">IF(C$29&gt;0,P938/C$29,0)</f>
        <v>0</v>
      </c>
    </row>
    <row r="939" spans="1:17" x14ac:dyDescent="0.2">
      <c r="A939" s="5" t="s">
        <v>12</v>
      </c>
      <c r="B939" s="21">
        <v>4</v>
      </c>
      <c r="C939" s="6">
        <v>1982</v>
      </c>
      <c r="D939" s="27">
        <f>SPFI_CLB14!$D$5</f>
        <v>0.98153299999999999</v>
      </c>
      <c r="E939" s="27"/>
      <c r="F939" s="27"/>
      <c r="G939" s="27"/>
      <c r="H939" s="27"/>
      <c r="I939" s="27"/>
      <c r="J939" s="33">
        <f t="shared" ref="J939:J951" si="750">D939*J$30</f>
        <v>0</v>
      </c>
      <c r="K939" s="27"/>
      <c r="L939" s="27"/>
      <c r="M939" s="27"/>
      <c r="N939" s="27"/>
      <c r="O939" s="27"/>
      <c r="P939" s="34">
        <f t="shared" si="739"/>
        <v>0</v>
      </c>
      <c r="Q939" s="35">
        <f t="shared" ref="Q939:Q955" si="751">IF(C$30&gt;0,P939/C$30,0)</f>
        <v>0</v>
      </c>
    </row>
    <row r="940" spans="1:17" x14ac:dyDescent="0.2">
      <c r="A940" s="10"/>
      <c r="B940" s="26"/>
      <c r="C940" s="11">
        <v>1983</v>
      </c>
      <c r="D940" s="32">
        <f>SPFI_CLB14!$D$6</f>
        <v>0.93659899999999996</v>
      </c>
      <c r="E940" s="32"/>
      <c r="F940" s="32"/>
      <c r="G940" s="32"/>
      <c r="H940" s="32"/>
      <c r="I940" s="32"/>
      <c r="J940" s="28">
        <f t="shared" si="750"/>
        <v>0</v>
      </c>
      <c r="K940" s="29"/>
      <c r="L940" s="29"/>
      <c r="M940" s="29"/>
      <c r="N940" s="29"/>
      <c r="O940" s="29"/>
      <c r="P940" s="30">
        <f t="shared" ref="P940:P951" si="752">SUM(J940:O940)</f>
        <v>0</v>
      </c>
      <c r="Q940" s="31">
        <f t="shared" si="751"/>
        <v>0</v>
      </c>
    </row>
    <row r="941" spans="1:17" x14ac:dyDescent="0.2">
      <c r="A941" s="10"/>
      <c r="B941" s="26"/>
      <c r="C941" s="11">
        <v>1984</v>
      </c>
      <c r="D941" s="32">
        <f>SPFI_CLB14!$D$7</f>
        <v>0.92793599999999998</v>
      </c>
      <c r="E941" s="32"/>
      <c r="F941" s="32"/>
      <c r="G941" s="32"/>
      <c r="H941" s="32"/>
      <c r="I941" s="32"/>
      <c r="J941" s="28">
        <f t="shared" si="750"/>
        <v>0</v>
      </c>
      <c r="K941" s="29"/>
      <c r="L941" s="29"/>
      <c r="M941" s="29"/>
      <c r="N941" s="29"/>
      <c r="O941" s="29"/>
      <c r="P941" s="30">
        <f t="shared" si="752"/>
        <v>0</v>
      </c>
      <c r="Q941" s="31">
        <f t="shared" si="751"/>
        <v>0</v>
      </c>
    </row>
    <row r="942" spans="1:17" x14ac:dyDescent="0.2">
      <c r="A942" s="10"/>
      <c r="B942" s="26"/>
      <c r="C942" s="11">
        <v>1985</v>
      </c>
      <c r="D942" s="32">
        <f>SPFI_CLB14!$D$8</f>
        <v>0.90386500000000003</v>
      </c>
      <c r="E942" s="32"/>
      <c r="F942" s="32"/>
      <c r="G942" s="32"/>
      <c r="H942" s="32"/>
      <c r="I942" s="32"/>
      <c r="J942" s="28">
        <f t="shared" si="750"/>
        <v>0</v>
      </c>
      <c r="K942" s="29"/>
      <c r="L942" s="29"/>
      <c r="M942" s="29"/>
      <c r="N942" s="29"/>
      <c r="O942" s="29"/>
      <c r="P942" s="30">
        <f t="shared" si="752"/>
        <v>0</v>
      </c>
      <c r="Q942" s="31">
        <f t="shared" si="751"/>
        <v>0</v>
      </c>
    </row>
    <row r="943" spans="1:17" x14ac:dyDescent="0.2">
      <c r="A943" s="10"/>
      <c r="B943" s="26"/>
      <c r="C943" s="11">
        <v>1986</v>
      </c>
      <c r="D943" s="32">
        <f>SPFI_CLB14!$D$9</f>
        <v>0.73087500000000005</v>
      </c>
      <c r="E943" s="32"/>
      <c r="F943" s="32"/>
      <c r="G943" s="32"/>
      <c r="H943" s="32"/>
      <c r="I943" s="32"/>
      <c r="J943" s="28">
        <f t="shared" si="750"/>
        <v>0</v>
      </c>
      <c r="K943" s="29"/>
      <c r="L943" s="29"/>
      <c r="M943" s="29"/>
      <c r="N943" s="29"/>
      <c r="O943" s="29"/>
      <c r="P943" s="30">
        <f t="shared" si="752"/>
        <v>0</v>
      </c>
      <c r="Q943" s="31">
        <f t="shared" si="751"/>
        <v>0</v>
      </c>
    </row>
    <row r="944" spans="1:17" x14ac:dyDescent="0.2">
      <c r="A944" s="10"/>
      <c r="B944" s="26"/>
      <c r="C944" s="11">
        <v>1987</v>
      </c>
      <c r="D944" s="32">
        <f>SPFI_CLB14!$D$10</f>
        <v>0.71733499999999994</v>
      </c>
      <c r="E944" s="32"/>
      <c r="F944" s="32"/>
      <c r="G944" s="32"/>
      <c r="H944" s="32"/>
      <c r="I944" s="32"/>
      <c r="J944" s="28">
        <f t="shared" si="750"/>
        <v>0</v>
      </c>
      <c r="K944" s="29"/>
      <c r="L944" s="29"/>
      <c r="M944" s="29"/>
      <c r="N944" s="29"/>
      <c r="O944" s="29"/>
      <c r="P944" s="30">
        <f t="shared" si="752"/>
        <v>0</v>
      </c>
      <c r="Q944" s="31">
        <f t="shared" si="751"/>
        <v>0</v>
      </c>
    </row>
    <row r="945" spans="1:17" x14ac:dyDescent="0.2">
      <c r="A945" s="10"/>
      <c r="B945" s="26"/>
      <c r="C945" s="11">
        <v>1988</v>
      </c>
      <c r="D945" s="32">
        <f>SPFI_CLB14!$D$11</f>
        <v>0.64558800000000005</v>
      </c>
      <c r="E945" s="32"/>
      <c r="F945" s="32"/>
      <c r="G945" s="32"/>
      <c r="H945" s="32"/>
      <c r="I945" s="32"/>
      <c r="J945" s="28">
        <f t="shared" si="750"/>
        <v>0</v>
      </c>
      <c r="K945" s="29"/>
      <c r="L945" s="29"/>
      <c r="M945" s="29"/>
      <c r="N945" s="29"/>
      <c r="O945" s="29"/>
      <c r="P945" s="30">
        <f t="shared" si="752"/>
        <v>0</v>
      </c>
      <c r="Q945" s="31">
        <f t="shared" si="751"/>
        <v>0</v>
      </c>
    </row>
    <row r="946" spans="1:17" x14ac:dyDescent="0.2">
      <c r="A946" s="10"/>
      <c r="B946" s="26"/>
      <c r="C946" s="11">
        <v>1989</v>
      </c>
      <c r="D946" s="32">
        <f>SPFI_CLB14!$D$12</f>
        <v>0.65287700000000004</v>
      </c>
      <c r="E946" s="32"/>
      <c r="F946" s="32"/>
      <c r="G946" s="32"/>
      <c r="H946" s="32"/>
      <c r="I946" s="32"/>
      <c r="J946" s="28">
        <f t="shared" si="750"/>
        <v>0</v>
      </c>
      <c r="K946" s="29"/>
      <c r="L946" s="29"/>
      <c r="M946" s="29"/>
      <c r="N946" s="29"/>
      <c r="O946" s="29"/>
      <c r="P946" s="30">
        <f t="shared" si="752"/>
        <v>0</v>
      </c>
      <c r="Q946" s="31">
        <f t="shared" si="751"/>
        <v>0</v>
      </c>
    </row>
    <row r="947" spans="1:17" x14ac:dyDescent="0.2">
      <c r="A947" s="10"/>
      <c r="B947" s="26"/>
      <c r="C947" s="11">
        <v>1990</v>
      </c>
      <c r="D947" s="32">
        <f>SPFI_CLB14!$D$13</f>
        <v>0.56965100000000002</v>
      </c>
      <c r="E947" s="32"/>
      <c r="F947" s="32"/>
      <c r="G947" s="32"/>
      <c r="H947" s="32"/>
      <c r="I947" s="32"/>
      <c r="J947" s="28">
        <f t="shared" si="750"/>
        <v>0</v>
      </c>
      <c r="K947" s="29"/>
      <c r="L947" s="29"/>
      <c r="M947" s="29"/>
      <c r="N947" s="29"/>
      <c r="O947" s="29"/>
      <c r="P947" s="30">
        <f t="shared" si="752"/>
        <v>0</v>
      </c>
      <c r="Q947" s="31">
        <f t="shared" si="751"/>
        <v>0</v>
      </c>
    </row>
    <row r="948" spans="1:17" x14ac:dyDescent="0.2">
      <c r="A948" s="10"/>
      <c r="B948" s="26"/>
      <c r="C948" s="11">
        <v>1991</v>
      </c>
      <c r="D948" s="32">
        <f>SPFI_CLB14!$D$14</f>
        <v>0.62776900000000002</v>
      </c>
      <c r="E948" s="32"/>
      <c r="F948" s="32"/>
      <c r="G948" s="32"/>
      <c r="H948" s="32"/>
      <c r="I948" s="32"/>
      <c r="J948" s="28">
        <f t="shared" si="750"/>
        <v>0</v>
      </c>
      <c r="K948" s="29"/>
      <c r="L948" s="29"/>
      <c r="M948" s="29"/>
      <c r="N948" s="29"/>
      <c r="O948" s="29"/>
      <c r="P948" s="30">
        <f t="shared" si="752"/>
        <v>0</v>
      </c>
      <c r="Q948" s="31">
        <f t="shared" si="751"/>
        <v>0</v>
      </c>
    </row>
    <row r="949" spans="1:17" x14ac:dyDescent="0.2">
      <c r="A949" s="10"/>
      <c r="B949" s="26"/>
      <c r="C949" s="11">
        <v>1992</v>
      </c>
      <c r="D949" s="32">
        <f>SPFI_CLB14!$D$15</f>
        <v>0.43504100000000001</v>
      </c>
      <c r="E949" s="32"/>
      <c r="F949" s="32"/>
      <c r="G949" s="32"/>
      <c r="H949" s="32"/>
      <c r="I949" s="32"/>
      <c r="J949" s="28">
        <f t="shared" si="750"/>
        <v>0</v>
      </c>
      <c r="K949" s="29"/>
      <c r="L949" s="29"/>
      <c r="M949" s="29"/>
      <c r="N949" s="29"/>
      <c r="O949" s="29"/>
      <c r="P949" s="30">
        <f t="shared" si="752"/>
        <v>0</v>
      </c>
      <c r="Q949" s="31">
        <f t="shared" si="751"/>
        <v>0</v>
      </c>
    </row>
    <row r="950" spans="1:17" x14ac:dyDescent="0.2">
      <c r="A950" s="10"/>
      <c r="B950" s="26"/>
      <c r="C950" s="11">
        <v>1993</v>
      </c>
      <c r="D950" s="32">
        <f>SPFI_CLB14!$D$16</f>
        <v>0.499164</v>
      </c>
      <c r="E950" s="32"/>
      <c r="F950" s="32"/>
      <c r="G950" s="32"/>
      <c r="H950" s="32"/>
      <c r="I950" s="32"/>
      <c r="J950" s="28">
        <f t="shared" si="750"/>
        <v>0</v>
      </c>
      <c r="K950" s="29"/>
      <c r="L950" s="29"/>
      <c r="M950" s="29"/>
      <c r="N950" s="29"/>
      <c r="O950" s="29"/>
      <c r="P950" s="30">
        <f t="shared" si="752"/>
        <v>0</v>
      </c>
      <c r="Q950" s="31">
        <f t="shared" si="751"/>
        <v>0</v>
      </c>
    </row>
    <row r="951" spans="1:17" x14ac:dyDescent="0.2">
      <c r="A951" s="10"/>
      <c r="B951" s="26"/>
      <c r="C951" s="11">
        <v>1994</v>
      </c>
      <c r="D951" s="32">
        <f>SPFI_CLB14!$D$17</f>
        <v>0.59591300000000003</v>
      </c>
      <c r="E951" s="32"/>
      <c r="F951" s="32"/>
      <c r="G951" s="32"/>
      <c r="H951" s="32"/>
      <c r="I951" s="32"/>
      <c r="J951" s="28">
        <f t="shared" si="750"/>
        <v>0</v>
      </c>
      <c r="K951" s="29"/>
      <c r="L951" s="29"/>
      <c r="M951" s="29"/>
      <c r="N951" s="29"/>
      <c r="O951" s="29"/>
      <c r="P951" s="30">
        <f t="shared" si="752"/>
        <v>0</v>
      </c>
      <c r="Q951" s="31">
        <f t="shared" si="751"/>
        <v>0</v>
      </c>
    </row>
    <row r="952" spans="1:17" x14ac:dyDescent="0.2">
      <c r="A952" s="10"/>
      <c r="B952" s="26"/>
      <c r="C952" s="11">
        <v>1995</v>
      </c>
      <c r="D952" s="32">
        <f>SPFI_CLB14!$D$18</f>
        <v>0.25400800000000001</v>
      </c>
      <c r="E952" s="32"/>
      <c r="F952" s="32"/>
      <c r="G952" s="32"/>
      <c r="H952" s="32"/>
      <c r="I952" s="32"/>
      <c r="J952" s="28">
        <f t="shared" ref="J952" si="753">D952*J$30</f>
        <v>0</v>
      </c>
      <c r="K952" s="29"/>
      <c r="L952" s="29"/>
      <c r="M952" s="29"/>
      <c r="N952" s="29"/>
      <c r="O952" s="29"/>
      <c r="P952" s="30">
        <f>SUM(J952:O952)</f>
        <v>0</v>
      </c>
      <c r="Q952" s="31">
        <f t="shared" si="751"/>
        <v>0</v>
      </c>
    </row>
    <row r="953" spans="1:17" x14ac:dyDescent="0.2">
      <c r="A953" s="10"/>
      <c r="B953" s="26"/>
      <c r="C953" s="11">
        <v>1996</v>
      </c>
      <c r="D953" s="32">
        <f>SPFI_CLB14!$D$19</f>
        <v>0</v>
      </c>
      <c r="E953" s="32"/>
      <c r="F953" s="32"/>
      <c r="G953" s="32"/>
      <c r="H953" s="32"/>
      <c r="I953" s="32"/>
      <c r="J953" s="28">
        <f t="shared" ref="J953" si="754">D953*J$30</f>
        <v>0</v>
      </c>
      <c r="K953" s="29"/>
      <c r="L953" s="29"/>
      <c r="M953" s="29"/>
      <c r="N953" s="29"/>
      <c r="O953" s="29"/>
      <c r="P953" s="30">
        <f>SUM(J953:O953)</f>
        <v>0</v>
      </c>
      <c r="Q953" s="31">
        <f t="shared" si="751"/>
        <v>0</v>
      </c>
    </row>
    <row r="954" spans="1:17" x14ac:dyDescent="0.2">
      <c r="A954" s="10"/>
      <c r="B954" s="26"/>
      <c r="C954" s="11">
        <v>1997</v>
      </c>
      <c r="D954" s="32">
        <f>SPFI_CLB14!$D$20</f>
        <v>0.201487</v>
      </c>
      <c r="E954" s="32"/>
      <c r="F954" s="32"/>
      <c r="G954" s="32"/>
      <c r="H954" s="32"/>
      <c r="I954" s="32"/>
      <c r="J954" s="28">
        <f t="shared" ref="J954" si="755">D954*J$30</f>
        <v>0</v>
      </c>
      <c r="K954" s="29"/>
      <c r="L954" s="29"/>
      <c r="M954" s="29"/>
      <c r="N954" s="29"/>
      <c r="O954" s="29"/>
      <c r="P954" s="30">
        <f>SUM(J954:O954)</f>
        <v>0</v>
      </c>
      <c r="Q954" s="31">
        <f t="shared" si="751"/>
        <v>0</v>
      </c>
    </row>
    <row r="955" spans="1:17" x14ac:dyDescent="0.2">
      <c r="A955" s="10"/>
      <c r="B955" s="26"/>
      <c r="C955" s="11">
        <v>1998</v>
      </c>
      <c r="D955" s="32">
        <f>SPFI_CLB14!$D$21</f>
        <v>0.37506400000000001</v>
      </c>
      <c r="E955" s="32"/>
      <c r="F955" s="32"/>
      <c r="G955" s="32"/>
      <c r="H955" s="32"/>
      <c r="I955" s="32"/>
      <c r="J955" s="28">
        <f t="shared" ref="J955" si="756">D955*J$30</f>
        <v>0</v>
      </c>
      <c r="K955" s="29"/>
      <c r="L955" s="29"/>
      <c r="M955" s="29"/>
      <c r="N955" s="29"/>
      <c r="O955" s="29"/>
      <c r="P955" s="30">
        <f>SUM(J955:O955)</f>
        <v>0</v>
      </c>
      <c r="Q955" s="31">
        <f t="shared" si="751"/>
        <v>0</v>
      </c>
    </row>
    <row r="956" spans="1:17" x14ac:dyDescent="0.2">
      <c r="A956" s="10"/>
      <c r="B956" s="26"/>
      <c r="C956" s="11">
        <v>1999</v>
      </c>
      <c r="D956" s="32">
        <f>SPFI_CLB14!$D$22</f>
        <v>0.29823699999999997</v>
      </c>
      <c r="E956" s="32"/>
      <c r="F956" s="32"/>
      <c r="G956" s="32"/>
      <c r="H956" s="32"/>
      <c r="I956" s="32"/>
      <c r="J956" s="28">
        <f t="shared" ref="J956" si="757">D956*J$30</f>
        <v>0</v>
      </c>
      <c r="K956" s="29"/>
      <c r="L956" s="29"/>
      <c r="M956" s="29"/>
      <c r="N956" s="29"/>
      <c r="O956" s="29"/>
      <c r="P956" s="30">
        <f>SUM(J956:O956)</f>
        <v>0</v>
      </c>
      <c r="Q956" s="31">
        <f t="shared" ref="Q956:Q961" si="758">IF(C$30&gt;0,P956/C$30,0)</f>
        <v>0</v>
      </c>
    </row>
    <row r="957" spans="1:17" x14ac:dyDescent="0.2">
      <c r="A957" s="10"/>
      <c r="B957" s="26"/>
      <c r="C957" s="11">
        <v>2000</v>
      </c>
      <c r="D957" s="32">
        <f>SPFI_CLB14!$D$23</f>
        <v>8.4414000000000003E-2</v>
      </c>
      <c r="E957" s="32"/>
      <c r="F957" s="32"/>
      <c r="G957" s="32"/>
      <c r="H957" s="32"/>
      <c r="I957" s="32"/>
      <c r="J957" s="28">
        <f t="shared" ref="J957" si="759">D957*J$30</f>
        <v>0</v>
      </c>
      <c r="K957" s="29"/>
      <c r="L957" s="29"/>
      <c r="M957" s="29"/>
      <c r="N957" s="29"/>
      <c r="O957" s="29"/>
      <c r="P957" s="30">
        <f t="shared" ref="P957:P962" si="760">SUM(J957:O957)</f>
        <v>0</v>
      </c>
      <c r="Q957" s="31">
        <f t="shared" si="758"/>
        <v>0</v>
      </c>
    </row>
    <row r="958" spans="1:17" x14ac:dyDescent="0.2">
      <c r="A958" s="10"/>
      <c r="B958" s="26"/>
      <c r="C958" s="11">
        <v>2001</v>
      </c>
      <c r="D958" s="32">
        <f>SPFI_CLB14!$D$24</f>
        <v>7.8909000000000007E-2</v>
      </c>
      <c r="E958" s="32"/>
      <c r="F958" s="32"/>
      <c r="G958" s="32"/>
      <c r="H958" s="32"/>
      <c r="I958" s="32"/>
      <c r="J958" s="28">
        <f t="shared" ref="J958" si="761">D958*J$30</f>
        <v>0</v>
      </c>
      <c r="K958" s="29"/>
      <c r="L958" s="29"/>
      <c r="M958" s="29"/>
      <c r="N958" s="29"/>
      <c r="O958" s="29"/>
      <c r="P958" s="30">
        <f t="shared" si="760"/>
        <v>0</v>
      </c>
      <c r="Q958" s="31">
        <f t="shared" si="758"/>
        <v>0</v>
      </c>
    </row>
    <row r="959" spans="1:17" x14ac:dyDescent="0.2">
      <c r="A959" s="10"/>
      <c r="B959" s="26"/>
      <c r="C959" s="11">
        <v>2002</v>
      </c>
      <c r="D959" s="32">
        <f>SPFI_CLB14!$D$25</f>
        <v>0.29974699999999999</v>
      </c>
      <c r="E959" s="32"/>
      <c r="F959" s="32"/>
      <c r="G959" s="32"/>
      <c r="H959" s="32"/>
      <c r="I959" s="32"/>
      <c r="J959" s="28">
        <f t="shared" ref="J959" si="762">D959*J$30</f>
        <v>0</v>
      </c>
      <c r="K959" s="29"/>
      <c r="L959" s="29"/>
      <c r="M959" s="29"/>
      <c r="N959" s="29"/>
      <c r="O959" s="29"/>
      <c r="P959" s="30">
        <f t="shared" si="760"/>
        <v>0</v>
      </c>
      <c r="Q959" s="31">
        <f t="shared" si="758"/>
        <v>0</v>
      </c>
    </row>
    <row r="960" spans="1:17" x14ac:dyDescent="0.2">
      <c r="A960" s="10"/>
      <c r="B960" s="26"/>
      <c r="C960" s="11">
        <v>2003</v>
      </c>
      <c r="D960" s="32">
        <f>SPFI_CLB14!$D$26</f>
        <v>0.20691100000000001</v>
      </c>
      <c r="E960" s="32"/>
      <c r="F960" s="32"/>
      <c r="G960" s="32"/>
      <c r="H960" s="32"/>
      <c r="I960" s="32"/>
      <c r="J960" s="28">
        <f t="shared" ref="J960" si="763">D960*J$30</f>
        <v>0</v>
      </c>
      <c r="K960" s="29"/>
      <c r="L960" s="29"/>
      <c r="M960" s="29"/>
      <c r="N960" s="29"/>
      <c r="O960" s="29"/>
      <c r="P960" s="30">
        <f t="shared" si="760"/>
        <v>0</v>
      </c>
      <c r="Q960" s="31">
        <f t="shared" si="758"/>
        <v>0</v>
      </c>
    </row>
    <row r="961" spans="1:17" x14ac:dyDescent="0.2">
      <c r="A961" s="10"/>
      <c r="B961" s="26"/>
      <c r="C961" s="11">
        <v>2004</v>
      </c>
      <c r="D961" s="32">
        <f>SPFI_CLB14!$D$27</f>
        <v>0.269237</v>
      </c>
      <c r="E961" s="32"/>
      <c r="F961" s="32"/>
      <c r="G961" s="32"/>
      <c r="H961" s="32"/>
      <c r="I961" s="32"/>
      <c r="J961" s="28">
        <f t="shared" ref="J961" si="764">D961*J$30</f>
        <v>0</v>
      </c>
      <c r="K961" s="29"/>
      <c r="L961" s="29"/>
      <c r="M961" s="29"/>
      <c r="N961" s="29"/>
      <c r="O961" s="29"/>
      <c r="P961" s="30">
        <f t="shared" si="760"/>
        <v>0</v>
      </c>
      <c r="Q961" s="31">
        <f t="shared" si="758"/>
        <v>0</v>
      </c>
    </row>
    <row r="962" spans="1:17" x14ac:dyDescent="0.2">
      <c r="A962" s="10"/>
      <c r="B962" s="26"/>
      <c r="C962" s="11">
        <v>2005</v>
      </c>
      <c r="D962" s="32">
        <f>SPFI_CLB14!$D$28</f>
        <v>0.37848700000000002</v>
      </c>
      <c r="E962" s="32"/>
      <c r="F962" s="32"/>
      <c r="G962" s="32"/>
      <c r="H962" s="32"/>
      <c r="I962" s="32"/>
      <c r="J962" s="28">
        <f t="shared" ref="J962" si="765">D962*J$30</f>
        <v>0</v>
      </c>
      <c r="K962" s="29"/>
      <c r="L962" s="29"/>
      <c r="M962" s="29"/>
      <c r="N962" s="29"/>
      <c r="O962" s="29"/>
      <c r="P962" s="30">
        <f t="shared" si="760"/>
        <v>0</v>
      </c>
      <c r="Q962" s="31">
        <f t="shared" ref="Q962:Q967" si="766">IF(C$30&gt;0,P962/C$30,0)</f>
        <v>0</v>
      </c>
    </row>
    <row r="963" spans="1:17" x14ac:dyDescent="0.2">
      <c r="A963" s="10"/>
      <c r="B963" s="26"/>
      <c r="C963" s="11">
        <v>2006</v>
      </c>
      <c r="D963" s="32">
        <f>SPFI_CLB14!$D$29</f>
        <v>0.381023</v>
      </c>
      <c r="E963" s="32"/>
      <c r="F963" s="32"/>
      <c r="G963" s="32"/>
      <c r="H963" s="32"/>
      <c r="I963" s="32"/>
      <c r="J963" s="28">
        <f t="shared" ref="J963" si="767">D963*J$30</f>
        <v>0</v>
      </c>
      <c r="K963" s="29"/>
      <c r="L963" s="29"/>
      <c r="M963" s="29"/>
      <c r="N963" s="29"/>
      <c r="O963" s="29"/>
      <c r="P963" s="30">
        <f t="shared" ref="P963:P970" si="768">SUM(J963:O963)</f>
        <v>0</v>
      </c>
      <c r="Q963" s="31">
        <f t="shared" si="766"/>
        <v>0</v>
      </c>
    </row>
    <row r="964" spans="1:17" x14ac:dyDescent="0.2">
      <c r="A964" s="10"/>
      <c r="B964" s="26"/>
      <c r="C964" s="11">
        <v>2007</v>
      </c>
      <c r="D964" s="32">
        <f>SPFI_CLB14!$D$30</f>
        <v>0.356512</v>
      </c>
      <c r="E964" s="32"/>
      <c r="F964" s="32"/>
      <c r="G964" s="32"/>
      <c r="H964" s="32"/>
      <c r="I964" s="32"/>
      <c r="J964" s="28">
        <f t="shared" ref="J964" si="769">D964*J$30</f>
        <v>0</v>
      </c>
      <c r="K964" s="29"/>
      <c r="L964" s="29"/>
      <c r="M964" s="29"/>
      <c r="N964" s="29"/>
      <c r="O964" s="29"/>
      <c r="P964" s="30">
        <f t="shared" si="768"/>
        <v>0</v>
      </c>
      <c r="Q964" s="31">
        <f t="shared" si="766"/>
        <v>0</v>
      </c>
    </row>
    <row r="965" spans="1:17" x14ac:dyDescent="0.2">
      <c r="A965" s="10"/>
      <c r="B965" s="26"/>
      <c r="C965" s="11">
        <v>2008</v>
      </c>
      <c r="D965" s="32">
        <f>SPFI_CLB14!$D$31</f>
        <v>0.25494499999999998</v>
      </c>
      <c r="E965" s="32"/>
      <c r="F965" s="32"/>
      <c r="G965" s="32"/>
      <c r="H965" s="32"/>
      <c r="I965" s="32"/>
      <c r="J965" s="28">
        <f t="shared" ref="J965" si="770">D965*J$30</f>
        <v>0</v>
      </c>
      <c r="K965" s="29"/>
      <c r="L965" s="29"/>
      <c r="M965" s="29"/>
      <c r="N965" s="29"/>
      <c r="O965" s="29"/>
      <c r="P965" s="30">
        <f t="shared" si="768"/>
        <v>0</v>
      </c>
      <c r="Q965" s="31">
        <f t="shared" si="766"/>
        <v>0</v>
      </c>
    </row>
    <row r="966" spans="1:17" x14ac:dyDescent="0.2">
      <c r="A966" s="10"/>
      <c r="B966" s="26"/>
      <c r="C966" s="11">
        <v>2009</v>
      </c>
      <c r="D966" s="32">
        <f>SPFI_CLB14!$D$32</f>
        <v>0.52383000000000002</v>
      </c>
      <c r="E966" s="32"/>
      <c r="F966" s="32"/>
      <c r="G966" s="32"/>
      <c r="H966" s="32"/>
      <c r="I966" s="32"/>
      <c r="J966" s="28">
        <f t="shared" ref="J966" si="771">D966*J$30</f>
        <v>0</v>
      </c>
      <c r="K966" s="29"/>
      <c r="L966" s="29"/>
      <c r="M966" s="29"/>
      <c r="N966" s="29"/>
      <c r="O966" s="29"/>
      <c r="P966" s="30">
        <f t="shared" si="768"/>
        <v>0</v>
      </c>
      <c r="Q966" s="31">
        <f t="shared" si="766"/>
        <v>0</v>
      </c>
    </row>
    <row r="967" spans="1:17" x14ac:dyDescent="0.2">
      <c r="A967" s="10"/>
      <c r="B967" s="26"/>
      <c r="C967" s="11">
        <v>2010</v>
      </c>
      <c r="D967" s="32">
        <f>SPFI_CLB14!$D$33</f>
        <v>0.31394</v>
      </c>
      <c r="E967" s="32"/>
      <c r="F967" s="32"/>
      <c r="G967" s="32"/>
      <c r="H967" s="32"/>
      <c r="I967" s="32"/>
      <c r="J967" s="28">
        <f t="shared" ref="J967" si="772">D967*J$30</f>
        <v>0</v>
      </c>
      <c r="K967" s="29"/>
      <c r="L967" s="29"/>
      <c r="M967" s="29"/>
      <c r="N967" s="29"/>
      <c r="O967" s="29"/>
      <c r="P967" s="30">
        <f t="shared" si="768"/>
        <v>0</v>
      </c>
      <c r="Q967" s="31">
        <f t="shared" si="766"/>
        <v>0</v>
      </c>
    </row>
    <row r="968" spans="1:17" x14ac:dyDescent="0.2">
      <c r="A968" s="10"/>
      <c r="B968" s="26"/>
      <c r="C968" s="11">
        <v>2011</v>
      </c>
      <c r="D968" s="32">
        <f>SPFI_CLB14!$D$34</f>
        <v>0.294348</v>
      </c>
      <c r="E968" s="32"/>
      <c r="F968" s="32"/>
      <c r="G968" s="32"/>
      <c r="H968" s="32"/>
      <c r="I968" s="32"/>
      <c r="J968" s="28">
        <f t="shared" ref="J968" si="773">D968*J$30</f>
        <v>0</v>
      </c>
      <c r="K968" s="29"/>
      <c r="L968" s="29"/>
      <c r="M968" s="29"/>
      <c r="N968" s="29"/>
      <c r="O968" s="29"/>
      <c r="P968" s="30">
        <f t="shared" ref="P968" si="774">SUM(J968:O968)</f>
        <v>0</v>
      </c>
      <c r="Q968" s="31">
        <f t="shared" ref="Q968" si="775">IF(C$30&gt;0,P968/C$30,0)</f>
        <v>0</v>
      </c>
    </row>
    <row r="969" spans="1:17" x14ac:dyDescent="0.2">
      <c r="A969" s="10"/>
      <c r="B969" s="26"/>
      <c r="C969" s="11">
        <v>2012</v>
      </c>
      <c r="D969" s="32">
        <f>SPFI_CLB14!$D$35</f>
        <v>0.34784100000000001</v>
      </c>
      <c r="E969" s="32"/>
      <c r="F969" s="32"/>
      <c r="G969" s="32"/>
      <c r="H969" s="32"/>
      <c r="I969" s="32"/>
      <c r="J969" s="28">
        <f t="shared" ref="J969" si="776">D969*J$30</f>
        <v>0</v>
      </c>
      <c r="K969" s="29"/>
      <c r="L969" s="29"/>
      <c r="M969" s="29"/>
      <c r="N969" s="29"/>
      <c r="O969" s="29"/>
      <c r="P969" s="30">
        <f t="shared" ref="P969" si="777">SUM(J969:O969)</f>
        <v>0</v>
      </c>
      <c r="Q969" s="31">
        <f t="shared" ref="Q969" si="778">IF(C$30&gt;0,P969/C$30,0)</f>
        <v>0</v>
      </c>
    </row>
    <row r="970" spans="1:17" x14ac:dyDescent="0.2">
      <c r="A970" s="5" t="s">
        <v>12</v>
      </c>
      <c r="B970" s="21">
        <v>5</v>
      </c>
      <c r="C970" s="6">
        <v>1982</v>
      </c>
      <c r="D970" s="27">
        <f>SPFI_CLB14!$D$5</f>
        <v>0.98153299999999999</v>
      </c>
      <c r="E970" s="27"/>
      <c r="F970" s="27"/>
      <c r="G970" s="27"/>
      <c r="H970" s="27"/>
      <c r="I970" s="27"/>
      <c r="J970" s="33">
        <f t="shared" ref="J970:J982" si="779">D970*J$31</f>
        <v>0</v>
      </c>
      <c r="K970" s="27"/>
      <c r="L970" s="27"/>
      <c r="M970" s="27"/>
      <c r="N970" s="27"/>
      <c r="O970" s="27"/>
      <c r="P970" s="34">
        <f t="shared" si="768"/>
        <v>0</v>
      </c>
      <c r="Q970" s="35">
        <f t="shared" ref="Q970:Q986" si="780">IF(C$31&gt;0,P970/C$31,0)</f>
        <v>0</v>
      </c>
    </row>
    <row r="971" spans="1:17" x14ac:dyDescent="0.2">
      <c r="A971" s="10"/>
      <c r="B971" s="26"/>
      <c r="C971" s="11">
        <v>1983</v>
      </c>
      <c r="D971" s="32">
        <f>SPFI_CLB14!$D$6</f>
        <v>0.93659899999999996</v>
      </c>
      <c r="E971" s="32"/>
      <c r="F971" s="32"/>
      <c r="G971" s="32"/>
      <c r="H971" s="32"/>
      <c r="I971" s="32"/>
      <c r="J971" s="28">
        <f t="shared" si="779"/>
        <v>0</v>
      </c>
      <c r="K971" s="29"/>
      <c r="L971" s="29"/>
      <c r="M971" s="29"/>
      <c r="N971" s="29"/>
      <c r="O971" s="29"/>
      <c r="P971" s="30">
        <f t="shared" ref="P971:P982" si="781">SUM(J971:O971)</f>
        <v>0</v>
      </c>
      <c r="Q971" s="31">
        <f t="shared" si="780"/>
        <v>0</v>
      </c>
    </row>
    <row r="972" spans="1:17" x14ac:dyDescent="0.2">
      <c r="A972" s="10"/>
      <c r="B972" s="26"/>
      <c r="C972" s="11">
        <v>1984</v>
      </c>
      <c r="D972" s="32">
        <f>SPFI_CLB14!$D$7</f>
        <v>0.92793599999999998</v>
      </c>
      <c r="E972" s="32"/>
      <c r="F972" s="32"/>
      <c r="G972" s="32"/>
      <c r="H972" s="32"/>
      <c r="I972" s="32"/>
      <c r="J972" s="28">
        <f t="shared" si="779"/>
        <v>0</v>
      </c>
      <c r="K972" s="29"/>
      <c r="L972" s="29"/>
      <c r="M972" s="29"/>
      <c r="N972" s="29"/>
      <c r="O972" s="29"/>
      <c r="P972" s="30">
        <f t="shared" si="781"/>
        <v>0</v>
      </c>
      <c r="Q972" s="31">
        <f t="shared" si="780"/>
        <v>0</v>
      </c>
    </row>
    <row r="973" spans="1:17" x14ac:dyDescent="0.2">
      <c r="A973" s="10"/>
      <c r="B973" s="26"/>
      <c r="C973" s="11">
        <v>1985</v>
      </c>
      <c r="D973" s="32">
        <f>SPFI_CLB14!$D$8</f>
        <v>0.90386500000000003</v>
      </c>
      <c r="E973" s="32"/>
      <c r="F973" s="32"/>
      <c r="G973" s="32"/>
      <c r="H973" s="32"/>
      <c r="I973" s="32"/>
      <c r="J973" s="28">
        <f t="shared" si="779"/>
        <v>0</v>
      </c>
      <c r="K973" s="29"/>
      <c r="L973" s="29"/>
      <c r="M973" s="29"/>
      <c r="N973" s="29"/>
      <c r="O973" s="29"/>
      <c r="P973" s="30">
        <f t="shared" si="781"/>
        <v>0</v>
      </c>
      <c r="Q973" s="31">
        <f t="shared" si="780"/>
        <v>0</v>
      </c>
    </row>
    <row r="974" spans="1:17" x14ac:dyDescent="0.2">
      <c r="A974" s="10"/>
      <c r="B974" s="26"/>
      <c r="C974" s="11">
        <v>1986</v>
      </c>
      <c r="D974" s="32">
        <f>SPFI_CLB14!$D$9</f>
        <v>0.73087500000000005</v>
      </c>
      <c r="E974" s="32"/>
      <c r="F974" s="32"/>
      <c r="G974" s="32"/>
      <c r="H974" s="32"/>
      <c r="I974" s="32"/>
      <c r="J974" s="28">
        <f t="shared" si="779"/>
        <v>0</v>
      </c>
      <c r="K974" s="29"/>
      <c r="L974" s="29"/>
      <c r="M974" s="29"/>
      <c r="N974" s="29"/>
      <c r="O974" s="29"/>
      <c r="P974" s="30">
        <f t="shared" si="781"/>
        <v>0</v>
      </c>
      <c r="Q974" s="31">
        <f t="shared" si="780"/>
        <v>0</v>
      </c>
    </row>
    <row r="975" spans="1:17" x14ac:dyDescent="0.2">
      <c r="A975" s="10"/>
      <c r="B975" s="26"/>
      <c r="C975" s="11">
        <v>1987</v>
      </c>
      <c r="D975" s="32">
        <f>SPFI_CLB14!$D$10</f>
        <v>0.71733499999999994</v>
      </c>
      <c r="E975" s="32"/>
      <c r="F975" s="32"/>
      <c r="G975" s="32"/>
      <c r="H975" s="32"/>
      <c r="I975" s="32"/>
      <c r="J975" s="28">
        <f t="shared" si="779"/>
        <v>0</v>
      </c>
      <c r="K975" s="29"/>
      <c r="L975" s="29"/>
      <c r="M975" s="29"/>
      <c r="N975" s="29"/>
      <c r="O975" s="29"/>
      <c r="P975" s="30">
        <f t="shared" si="781"/>
        <v>0</v>
      </c>
      <c r="Q975" s="31">
        <f t="shared" si="780"/>
        <v>0</v>
      </c>
    </row>
    <row r="976" spans="1:17" x14ac:dyDescent="0.2">
      <c r="A976" s="10"/>
      <c r="B976" s="26"/>
      <c r="C976" s="11">
        <v>1988</v>
      </c>
      <c r="D976" s="32">
        <f>SPFI_CLB14!$D$11</f>
        <v>0.64558800000000005</v>
      </c>
      <c r="E976" s="32"/>
      <c r="F976" s="32"/>
      <c r="G976" s="32"/>
      <c r="H976" s="32"/>
      <c r="I976" s="32"/>
      <c r="J976" s="28">
        <f t="shared" si="779"/>
        <v>0</v>
      </c>
      <c r="K976" s="29"/>
      <c r="L976" s="29"/>
      <c r="M976" s="29"/>
      <c r="N976" s="29"/>
      <c r="O976" s="29"/>
      <c r="P976" s="30">
        <f t="shared" si="781"/>
        <v>0</v>
      </c>
      <c r="Q976" s="31">
        <f t="shared" si="780"/>
        <v>0</v>
      </c>
    </row>
    <row r="977" spans="1:17" x14ac:dyDescent="0.2">
      <c r="A977" s="10"/>
      <c r="B977" s="26"/>
      <c r="C977" s="11">
        <v>1989</v>
      </c>
      <c r="D977" s="32">
        <f>SPFI_CLB14!$D$12</f>
        <v>0.65287700000000004</v>
      </c>
      <c r="E977" s="32"/>
      <c r="F977" s="32"/>
      <c r="G977" s="32"/>
      <c r="H977" s="32"/>
      <c r="I977" s="32"/>
      <c r="J977" s="28">
        <f t="shared" si="779"/>
        <v>0</v>
      </c>
      <c r="K977" s="29"/>
      <c r="L977" s="29"/>
      <c r="M977" s="29"/>
      <c r="N977" s="29"/>
      <c r="O977" s="29"/>
      <c r="P977" s="30">
        <f t="shared" si="781"/>
        <v>0</v>
      </c>
      <c r="Q977" s="31">
        <f t="shared" si="780"/>
        <v>0</v>
      </c>
    </row>
    <row r="978" spans="1:17" x14ac:dyDescent="0.2">
      <c r="A978" s="10"/>
      <c r="B978" s="26"/>
      <c r="C978" s="11">
        <v>1990</v>
      </c>
      <c r="D978" s="32">
        <f>SPFI_CLB14!$D$13</f>
        <v>0.56965100000000002</v>
      </c>
      <c r="E978" s="32"/>
      <c r="F978" s="32"/>
      <c r="G978" s="32"/>
      <c r="H978" s="32"/>
      <c r="I978" s="32"/>
      <c r="J978" s="28">
        <f t="shared" si="779"/>
        <v>0</v>
      </c>
      <c r="K978" s="29"/>
      <c r="L978" s="29"/>
      <c r="M978" s="29"/>
      <c r="N978" s="29"/>
      <c r="O978" s="29"/>
      <c r="P978" s="30">
        <f t="shared" si="781"/>
        <v>0</v>
      </c>
      <c r="Q978" s="31">
        <f t="shared" si="780"/>
        <v>0</v>
      </c>
    </row>
    <row r="979" spans="1:17" x14ac:dyDescent="0.2">
      <c r="A979" s="10"/>
      <c r="B979" s="26"/>
      <c r="C979" s="11">
        <v>1991</v>
      </c>
      <c r="D979" s="32">
        <f>SPFI_CLB14!$D$14</f>
        <v>0.62776900000000002</v>
      </c>
      <c r="E979" s="32"/>
      <c r="F979" s="32"/>
      <c r="G979" s="32"/>
      <c r="H979" s="32"/>
      <c r="I979" s="32"/>
      <c r="J979" s="28">
        <f t="shared" si="779"/>
        <v>0</v>
      </c>
      <c r="K979" s="29"/>
      <c r="L979" s="29"/>
      <c r="M979" s="29"/>
      <c r="N979" s="29"/>
      <c r="O979" s="29"/>
      <c r="P979" s="30">
        <f t="shared" si="781"/>
        <v>0</v>
      </c>
      <c r="Q979" s="31">
        <f t="shared" si="780"/>
        <v>0</v>
      </c>
    </row>
    <row r="980" spans="1:17" x14ac:dyDescent="0.2">
      <c r="A980" s="10"/>
      <c r="B980" s="26"/>
      <c r="C980" s="11">
        <v>1992</v>
      </c>
      <c r="D980" s="32">
        <f>SPFI_CLB14!$D$15</f>
        <v>0.43504100000000001</v>
      </c>
      <c r="E980" s="32"/>
      <c r="F980" s="32"/>
      <c r="G980" s="32"/>
      <c r="H980" s="32"/>
      <c r="I980" s="32"/>
      <c r="J980" s="28">
        <f t="shared" si="779"/>
        <v>0</v>
      </c>
      <c r="K980" s="29"/>
      <c r="L980" s="29"/>
      <c r="M980" s="29"/>
      <c r="N980" s="29"/>
      <c r="O980" s="29"/>
      <c r="P980" s="30">
        <f t="shared" si="781"/>
        <v>0</v>
      </c>
      <c r="Q980" s="31">
        <f t="shared" si="780"/>
        <v>0</v>
      </c>
    </row>
    <row r="981" spans="1:17" x14ac:dyDescent="0.2">
      <c r="A981" s="10"/>
      <c r="B981" s="26"/>
      <c r="C981" s="11">
        <v>1993</v>
      </c>
      <c r="D981" s="32">
        <f>SPFI_CLB14!$D$16</f>
        <v>0.499164</v>
      </c>
      <c r="E981" s="32"/>
      <c r="F981" s="32"/>
      <c r="G981" s="32"/>
      <c r="H981" s="32"/>
      <c r="I981" s="32"/>
      <c r="J981" s="28">
        <f t="shared" si="779"/>
        <v>0</v>
      </c>
      <c r="K981" s="29"/>
      <c r="L981" s="29"/>
      <c r="M981" s="29"/>
      <c r="N981" s="29"/>
      <c r="O981" s="29"/>
      <c r="P981" s="30">
        <f t="shared" si="781"/>
        <v>0</v>
      </c>
      <c r="Q981" s="31">
        <f t="shared" si="780"/>
        <v>0</v>
      </c>
    </row>
    <row r="982" spans="1:17" x14ac:dyDescent="0.2">
      <c r="A982" s="10"/>
      <c r="B982" s="26"/>
      <c r="C982" s="11">
        <v>1994</v>
      </c>
      <c r="D982" s="32">
        <f>SPFI_CLB14!$D$17</f>
        <v>0.59591300000000003</v>
      </c>
      <c r="E982" s="32"/>
      <c r="F982" s="32"/>
      <c r="G982" s="32"/>
      <c r="H982" s="32"/>
      <c r="I982" s="32"/>
      <c r="J982" s="28">
        <f t="shared" si="779"/>
        <v>0</v>
      </c>
      <c r="K982" s="29"/>
      <c r="L982" s="29"/>
      <c r="M982" s="29"/>
      <c r="N982" s="29"/>
      <c r="O982" s="29"/>
      <c r="P982" s="30">
        <f t="shared" si="781"/>
        <v>0</v>
      </c>
      <c r="Q982" s="31">
        <f t="shared" si="780"/>
        <v>0</v>
      </c>
    </row>
    <row r="983" spans="1:17" x14ac:dyDescent="0.2">
      <c r="A983" s="10"/>
      <c r="B983" s="26"/>
      <c r="C983" s="11">
        <v>1995</v>
      </c>
      <c r="D983" s="32">
        <f>SPFI_CLB14!$D$18</f>
        <v>0.25400800000000001</v>
      </c>
      <c r="E983" s="32"/>
      <c r="F983" s="32"/>
      <c r="G983" s="32"/>
      <c r="H983" s="32"/>
      <c r="I983" s="32"/>
      <c r="J983" s="28">
        <f t="shared" ref="J983" si="782">D983*J$31</f>
        <v>0</v>
      </c>
      <c r="K983" s="29"/>
      <c r="L983" s="29"/>
      <c r="M983" s="29"/>
      <c r="N983" s="29"/>
      <c r="O983" s="29"/>
      <c r="P983" s="30">
        <f>SUM(J983:O983)</f>
        <v>0</v>
      </c>
      <c r="Q983" s="31">
        <f t="shared" si="780"/>
        <v>0</v>
      </c>
    </row>
    <row r="984" spans="1:17" x14ac:dyDescent="0.2">
      <c r="A984" s="10"/>
      <c r="B984" s="26"/>
      <c r="C984" s="11">
        <v>1996</v>
      </c>
      <c r="D984" s="32">
        <f>SPFI_CLB14!$D$19</f>
        <v>0</v>
      </c>
      <c r="E984" s="32"/>
      <c r="F984" s="32"/>
      <c r="G984" s="32"/>
      <c r="H984" s="32"/>
      <c r="I984" s="32"/>
      <c r="J984" s="28">
        <f t="shared" ref="J984" si="783">D984*J$31</f>
        <v>0</v>
      </c>
      <c r="K984" s="29"/>
      <c r="L984" s="29"/>
      <c r="M984" s="29"/>
      <c r="N984" s="29"/>
      <c r="O984" s="29"/>
      <c r="P984" s="30">
        <f>SUM(J984:O984)</f>
        <v>0</v>
      </c>
      <c r="Q984" s="31">
        <f t="shared" si="780"/>
        <v>0</v>
      </c>
    </row>
    <row r="985" spans="1:17" x14ac:dyDescent="0.2">
      <c r="A985" s="10"/>
      <c r="B985" s="26"/>
      <c r="C985" s="11">
        <v>1997</v>
      </c>
      <c r="D985" s="32">
        <f>SPFI_CLB14!$D$20</f>
        <v>0.201487</v>
      </c>
      <c r="E985" s="32"/>
      <c r="F985" s="32"/>
      <c r="G985" s="32"/>
      <c r="H985" s="32"/>
      <c r="I985" s="32"/>
      <c r="J985" s="28">
        <f t="shared" ref="J985" si="784">D985*J$31</f>
        <v>0</v>
      </c>
      <c r="K985" s="29"/>
      <c r="L985" s="29"/>
      <c r="M985" s="29"/>
      <c r="N985" s="29"/>
      <c r="O985" s="29"/>
      <c r="P985" s="30">
        <f>SUM(J985:O985)</f>
        <v>0</v>
      </c>
      <c r="Q985" s="31">
        <f t="shared" si="780"/>
        <v>0</v>
      </c>
    </row>
    <row r="986" spans="1:17" x14ac:dyDescent="0.2">
      <c r="A986" s="10"/>
      <c r="B986" s="26"/>
      <c r="C986" s="11">
        <v>1998</v>
      </c>
      <c r="D986" s="32">
        <f>SPFI_CLB14!$D$21</f>
        <v>0.37506400000000001</v>
      </c>
      <c r="E986" s="32"/>
      <c r="F986" s="32"/>
      <c r="G986" s="32"/>
      <c r="H986" s="32"/>
      <c r="I986" s="32"/>
      <c r="J986" s="28">
        <f t="shared" ref="J986" si="785">D986*J$31</f>
        <v>0</v>
      </c>
      <c r="K986" s="29"/>
      <c r="L986" s="29"/>
      <c r="M986" s="29"/>
      <c r="N986" s="29"/>
      <c r="O986" s="29"/>
      <c r="P986" s="30">
        <f>SUM(J986:O986)</f>
        <v>0</v>
      </c>
      <c r="Q986" s="31">
        <f t="shared" si="780"/>
        <v>0</v>
      </c>
    </row>
    <row r="987" spans="1:17" x14ac:dyDescent="0.2">
      <c r="A987" s="10"/>
      <c r="B987" s="26"/>
      <c r="C987" s="11">
        <v>1999</v>
      </c>
      <c r="D987" s="32">
        <f>SPFI_CLB14!$D$22</f>
        <v>0.29823699999999997</v>
      </c>
      <c r="E987" s="32"/>
      <c r="F987" s="32"/>
      <c r="G987" s="32"/>
      <c r="H987" s="32"/>
      <c r="I987" s="32"/>
      <c r="J987" s="28">
        <f t="shared" ref="J987" si="786">D987*J$31</f>
        <v>0</v>
      </c>
      <c r="K987" s="29"/>
      <c r="L987" s="29"/>
      <c r="M987" s="29"/>
      <c r="N987" s="29"/>
      <c r="O987" s="29"/>
      <c r="P987" s="30">
        <f>SUM(J987:O987)</f>
        <v>0</v>
      </c>
      <c r="Q987" s="31">
        <f t="shared" ref="Q987:Q992" si="787">IF(C$31&gt;0,P987/C$31,0)</f>
        <v>0</v>
      </c>
    </row>
    <row r="988" spans="1:17" x14ac:dyDescent="0.2">
      <c r="A988" s="10"/>
      <c r="B988" s="26"/>
      <c r="C988" s="11">
        <v>2000</v>
      </c>
      <c r="D988" s="32">
        <f>SPFI_CLB14!$D$23</f>
        <v>8.4414000000000003E-2</v>
      </c>
      <c r="E988" s="32"/>
      <c r="F988" s="32"/>
      <c r="G988" s="32"/>
      <c r="H988" s="32"/>
      <c r="I988" s="32"/>
      <c r="J988" s="28">
        <f t="shared" ref="J988" si="788">D988*J$31</f>
        <v>0</v>
      </c>
      <c r="K988" s="29"/>
      <c r="L988" s="29"/>
      <c r="M988" s="29"/>
      <c r="N988" s="29"/>
      <c r="O988" s="29"/>
      <c r="P988" s="30">
        <f t="shared" ref="P988:P993" si="789">SUM(J988:O988)</f>
        <v>0</v>
      </c>
      <c r="Q988" s="31">
        <f t="shared" si="787"/>
        <v>0</v>
      </c>
    </row>
    <row r="989" spans="1:17" x14ac:dyDescent="0.2">
      <c r="A989" s="10"/>
      <c r="B989" s="26"/>
      <c r="C989" s="11">
        <v>2001</v>
      </c>
      <c r="D989" s="32">
        <f>SPFI_CLB14!$D$24</f>
        <v>7.8909000000000007E-2</v>
      </c>
      <c r="E989" s="32"/>
      <c r="F989" s="32"/>
      <c r="G989" s="32"/>
      <c r="H989" s="32"/>
      <c r="I989" s="32"/>
      <c r="J989" s="28">
        <f t="shared" ref="J989" si="790">D989*J$31</f>
        <v>0</v>
      </c>
      <c r="K989" s="29"/>
      <c r="L989" s="29"/>
      <c r="M989" s="29"/>
      <c r="N989" s="29"/>
      <c r="O989" s="29"/>
      <c r="P989" s="30">
        <f t="shared" si="789"/>
        <v>0</v>
      </c>
      <c r="Q989" s="31">
        <f t="shared" si="787"/>
        <v>0</v>
      </c>
    </row>
    <row r="990" spans="1:17" x14ac:dyDescent="0.2">
      <c r="A990" s="10"/>
      <c r="B990" s="26"/>
      <c r="C990" s="11">
        <v>2002</v>
      </c>
      <c r="D990" s="32">
        <f>SPFI_CLB14!$D$25</f>
        <v>0.29974699999999999</v>
      </c>
      <c r="E990" s="32"/>
      <c r="F990" s="32"/>
      <c r="G990" s="32"/>
      <c r="H990" s="32"/>
      <c r="I990" s="32"/>
      <c r="J990" s="28">
        <f t="shared" ref="J990" si="791">D990*J$31</f>
        <v>0</v>
      </c>
      <c r="K990" s="29"/>
      <c r="L990" s="29"/>
      <c r="M990" s="29"/>
      <c r="N990" s="29"/>
      <c r="O990" s="29"/>
      <c r="P990" s="30">
        <f t="shared" si="789"/>
        <v>0</v>
      </c>
      <c r="Q990" s="31">
        <f t="shared" si="787"/>
        <v>0</v>
      </c>
    </row>
    <row r="991" spans="1:17" x14ac:dyDescent="0.2">
      <c r="A991" s="10"/>
      <c r="B991" s="26"/>
      <c r="C991" s="11">
        <v>2003</v>
      </c>
      <c r="D991" s="32">
        <f>SPFI_CLB14!$D$26</f>
        <v>0.20691100000000001</v>
      </c>
      <c r="E991" s="32"/>
      <c r="F991" s="32"/>
      <c r="G991" s="32"/>
      <c r="H991" s="32"/>
      <c r="I991" s="32"/>
      <c r="J991" s="28">
        <f t="shared" ref="J991" si="792">D991*J$31</f>
        <v>0</v>
      </c>
      <c r="K991" s="29"/>
      <c r="L991" s="29"/>
      <c r="M991" s="29"/>
      <c r="N991" s="29"/>
      <c r="O991" s="29"/>
      <c r="P991" s="30">
        <f t="shared" si="789"/>
        <v>0</v>
      </c>
      <c r="Q991" s="31">
        <f t="shared" si="787"/>
        <v>0</v>
      </c>
    </row>
    <row r="992" spans="1:17" x14ac:dyDescent="0.2">
      <c r="A992" s="10"/>
      <c r="B992" s="26"/>
      <c r="C992" s="11">
        <v>2004</v>
      </c>
      <c r="D992" s="32">
        <f>SPFI_CLB14!$D$27</f>
        <v>0.269237</v>
      </c>
      <c r="E992" s="32"/>
      <c r="F992" s="32"/>
      <c r="G992" s="32"/>
      <c r="H992" s="32"/>
      <c r="I992" s="32"/>
      <c r="J992" s="28">
        <f t="shared" ref="J992" si="793">D992*J$31</f>
        <v>0</v>
      </c>
      <c r="K992" s="29"/>
      <c r="L992" s="29"/>
      <c r="M992" s="29"/>
      <c r="N992" s="29"/>
      <c r="O992" s="29"/>
      <c r="P992" s="30">
        <f t="shared" si="789"/>
        <v>0</v>
      </c>
      <c r="Q992" s="31">
        <f t="shared" si="787"/>
        <v>0</v>
      </c>
    </row>
    <row r="993" spans="1:17" x14ac:dyDescent="0.2">
      <c r="A993" s="10"/>
      <c r="B993" s="26"/>
      <c r="C993" s="11">
        <v>2005</v>
      </c>
      <c r="D993" s="32">
        <f>SPFI_CLB14!$D$28</f>
        <v>0.37848700000000002</v>
      </c>
      <c r="E993" s="32"/>
      <c r="F993" s="32"/>
      <c r="G993" s="32"/>
      <c r="H993" s="32"/>
      <c r="I993" s="32"/>
      <c r="J993" s="28">
        <f t="shared" ref="J993" si="794">D993*J$31</f>
        <v>0</v>
      </c>
      <c r="K993" s="29"/>
      <c r="L993" s="29"/>
      <c r="M993" s="29"/>
      <c r="N993" s="29"/>
      <c r="O993" s="29"/>
      <c r="P993" s="30">
        <f t="shared" si="789"/>
        <v>0</v>
      </c>
      <c r="Q993" s="31">
        <f t="shared" ref="Q993:Q998" si="795">IF(C$31&gt;0,P993/C$31,0)</f>
        <v>0</v>
      </c>
    </row>
    <row r="994" spans="1:17" x14ac:dyDescent="0.2">
      <c r="A994" s="10"/>
      <c r="B994" s="26"/>
      <c r="C994" s="11">
        <v>2006</v>
      </c>
      <c r="D994" s="32">
        <f>SPFI_CLB14!$D$29</f>
        <v>0.381023</v>
      </c>
      <c r="E994" s="32"/>
      <c r="F994" s="32"/>
      <c r="G994" s="32"/>
      <c r="H994" s="32"/>
      <c r="I994" s="32"/>
      <c r="J994" s="28">
        <f t="shared" ref="J994" si="796">D994*J$31</f>
        <v>0</v>
      </c>
      <c r="K994" s="29"/>
      <c r="L994" s="29"/>
      <c r="M994" s="29"/>
      <c r="N994" s="29"/>
      <c r="O994" s="29"/>
      <c r="P994" s="30">
        <f t="shared" ref="P994:P1001" si="797">SUM(J994:O994)</f>
        <v>0</v>
      </c>
      <c r="Q994" s="31">
        <f t="shared" si="795"/>
        <v>0</v>
      </c>
    </row>
    <row r="995" spans="1:17" x14ac:dyDescent="0.2">
      <c r="A995" s="10"/>
      <c r="B995" s="26"/>
      <c r="C995" s="11">
        <v>2007</v>
      </c>
      <c r="D995" s="32">
        <f>SPFI_CLB14!$D$30</f>
        <v>0.356512</v>
      </c>
      <c r="E995" s="32"/>
      <c r="F995" s="32"/>
      <c r="G995" s="32"/>
      <c r="H995" s="32"/>
      <c r="I995" s="32"/>
      <c r="J995" s="28">
        <f t="shared" ref="J995" si="798">D995*J$31</f>
        <v>0</v>
      </c>
      <c r="K995" s="29"/>
      <c r="L995" s="29"/>
      <c r="M995" s="29"/>
      <c r="N995" s="29"/>
      <c r="O995" s="29"/>
      <c r="P995" s="30">
        <f t="shared" si="797"/>
        <v>0</v>
      </c>
      <c r="Q995" s="31">
        <f t="shared" si="795"/>
        <v>0</v>
      </c>
    </row>
    <row r="996" spans="1:17" x14ac:dyDescent="0.2">
      <c r="A996" s="10"/>
      <c r="B996" s="26"/>
      <c r="C996" s="11">
        <v>2008</v>
      </c>
      <c r="D996" s="32">
        <f>SPFI_CLB14!$D$31</f>
        <v>0.25494499999999998</v>
      </c>
      <c r="E996" s="32"/>
      <c r="F996" s="32"/>
      <c r="G996" s="32"/>
      <c r="H996" s="32"/>
      <c r="I996" s="32"/>
      <c r="J996" s="28">
        <f t="shared" ref="J996" si="799">D996*J$31</f>
        <v>0</v>
      </c>
      <c r="K996" s="29"/>
      <c r="L996" s="29"/>
      <c r="M996" s="29"/>
      <c r="N996" s="29"/>
      <c r="O996" s="29"/>
      <c r="P996" s="30">
        <f t="shared" si="797"/>
        <v>0</v>
      </c>
      <c r="Q996" s="31">
        <f t="shared" si="795"/>
        <v>0</v>
      </c>
    </row>
    <row r="997" spans="1:17" x14ac:dyDescent="0.2">
      <c r="A997" s="10"/>
      <c r="B997" s="26"/>
      <c r="C997" s="11">
        <v>2009</v>
      </c>
      <c r="D997" s="32">
        <f>SPFI_CLB14!$D$32</f>
        <v>0.52383000000000002</v>
      </c>
      <c r="E997" s="32"/>
      <c r="F997" s="32"/>
      <c r="G997" s="32"/>
      <c r="H997" s="32"/>
      <c r="I997" s="32"/>
      <c r="J997" s="28">
        <f t="shared" ref="J997" si="800">D997*J$31</f>
        <v>0</v>
      </c>
      <c r="K997" s="29"/>
      <c r="L997" s="29"/>
      <c r="M997" s="29"/>
      <c r="N997" s="29"/>
      <c r="O997" s="29"/>
      <c r="P997" s="30">
        <f t="shared" si="797"/>
        <v>0</v>
      </c>
      <c r="Q997" s="31">
        <f t="shared" si="795"/>
        <v>0</v>
      </c>
    </row>
    <row r="998" spans="1:17" x14ac:dyDescent="0.2">
      <c r="A998" s="10"/>
      <c r="B998" s="26"/>
      <c r="C998" s="11">
        <v>2010</v>
      </c>
      <c r="D998" s="32">
        <f>SPFI_CLB14!$D$33</f>
        <v>0.31394</v>
      </c>
      <c r="E998" s="32"/>
      <c r="F998" s="32"/>
      <c r="G998" s="32"/>
      <c r="H998" s="32"/>
      <c r="I998" s="32"/>
      <c r="J998" s="28">
        <f t="shared" ref="J998" si="801">D998*J$31</f>
        <v>0</v>
      </c>
      <c r="K998" s="29"/>
      <c r="L998" s="29"/>
      <c r="M998" s="29"/>
      <c r="N998" s="29"/>
      <c r="O998" s="29"/>
      <c r="P998" s="30">
        <f t="shared" si="797"/>
        <v>0</v>
      </c>
      <c r="Q998" s="31">
        <f t="shared" si="795"/>
        <v>0</v>
      </c>
    </row>
    <row r="999" spans="1:17" x14ac:dyDescent="0.2">
      <c r="A999" s="10"/>
      <c r="B999" s="26"/>
      <c r="C999" s="11">
        <v>2011</v>
      </c>
      <c r="D999" s="32">
        <f>SPFI_CLB14!$D$34</f>
        <v>0.294348</v>
      </c>
      <c r="E999" s="32"/>
      <c r="F999" s="32"/>
      <c r="G999" s="32"/>
      <c r="H999" s="32"/>
      <c r="I999" s="32"/>
      <c r="J999" s="28">
        <f t="shared" ref="J999" si="802">D999*J$31</f>
        <v>0</v>
      </c>
      <c r="K999" s="29"/>
      <c r="L999" s="29"/>
      <c r="M999" s="29"/>
      <c r="N999" s="29"/>
      <c r="O999" s="29"/>
      <c r="P999" s="30">
        <f t="shared" ref="P999" si="803">SUM(J999:O999)</f>
        <v>0</v>
      </c>
      <c r="Q999" s="31">
        <f t="shared" ref="Q999" si="804">IF(C$31&gt;0,P999/C$31,0)</f>
        <v>0</v>
      </c>
    </row>
    <row r="1000" spans="1:17" x14ac:dyDescent="0.2">
      <c r="A1000" s="10"/>
      <c r="B1000" s="26"/>
      <c r="C1000" s="11">
        <v>2012</v>
      </c>
      <c r="D1000" s="32">
        <f>SPFI_CLB14!$D$35</f>
        <v>0.34784100000000001</v>
      </c>
      <c r="E1000" s="32"/>
      <c r="F1000" s="32"/>
      <c r="G1000" s="32"/>
      <c r="H1000" s="32"/>
      <c r="I1000" s="32"/>
      <c r="J1000" s="28">
        <f t="shared" ref="J1000" si="805">D1000*J$31</f>
        <v>0</v>
      </c>
      <c r="K1000" s="29"/>
      <c r="L1000" s="29"/>
      <c r="M1000" s="29"/>
      <c r="N1000" s="29"/>
      <c r="O1000" s="29"/>
      <c r="P1000" s="30">
        <f t="shared" ref="P1000" si="806">SUM(J1000:O1000)</f>
        <v>0</v>
      </c>
      <c r="Q1000" s="31">
        <f t="shared" ref="Q1000" si="807">IF(C$31&gt;0,P1000/C$31,0)</f>
        <v>0</v>
      </c>
    </row>
    <row r="1001" spans="1:17" x14ac:dyDescent="0.2">
      <c r="A1001" s="5" t="s">
        <v>13</v>
      </c>
      <c r="B1001" s="21">
        <v>2</v>
      </c>
      <c r="C1001" s="6">
        <v>1982</v>
      </c>
      <c r="D1001" s="27">
        <f>SPFI_CLB14!$D$5</f>
        <v>0.98153299999999999</v>
      </c>
      <c r="E1001" s="27"/>
      <c r="F1001" s="27"/>
      <c r="G1001" s="27"/>
      <c r="H1001" s="27"/>
      <c r="I1001" s="27"/>
      <c r="J1001" s="33">
        <f t="shared" ref="J1001:J1013" si="808">D1001*J$32</f>
        <v>0</v>
      </c>
      <c r="K1001" s="27"/>
      <c r="L1001" s="27"/>
      <c r="M1001" s="27"/>
      <c r="N1001" s="27"/>
      <c r="O1001" s="27"/>
      <c r="P1001" s="34">
        <f t="shared" si="797"/>
        <v>0</v>
      </c>
      <c r="Q1001" s="35">
        <f t="shared" ref="Q1001:Q1017" si="809">IF(C$32&gt;0,P1001/C$32,0)</f>
        <v>0</v>
      </c>
    </row>
    <row r="1002" spans="1:17" x14ac:dyDescent="0.2">
      <c r="A1002" s="10"/>
      <c r="B1002" s="26"/>
      <c r="C1002" s="11">
        <v>1983</v>
      </c>
      <c r="D1002" s="32">
        <f>SPFI_CLB14!$D$6</f>
        <v>0.93659899999999996</v>
      </c>
      <c r="E1002" s="32"/>
      <c r="F1002" s="32"/>
      <c r="G1002" s="32"/>
      <c r="H1002" s="32"/>
      <c r="I1002" s="32"/>
      <c r="J1002" s="28">
        <f t="shared" si="808"/>
        <v>0</v>
      </c>
      <c r="K1002" s="29"/>
      <c r="L1002" s="29"/>
      <c r="M1002" s="29"/>
      <c r="N1002" s="29"/>
      <c r="O1002" s="29"/>
      <c r="P1002" s="30">
        <f t="shared" ref="P1002:P1013" si="810">SUM(J1002:O1002)</f>
        <v>0</v>
      </c>
      <c r="Q1002" s="31">
        <f t="shared" si="809"/>
        <v>0</v>
      </c>
    </row>
    <row r="1003" spans="1:17" x14ac:dyDescent="0.2">
      <c r="A1003" s="10"/>
      <c r="B1003" s="26"/>
      <c r="C1003" s="11">
        <v>1984</v>
      </c>
      <c r="D1003" s="32">
        <f>SPFI_CLB14!$D$7</f>
        <v>0.92793599999999998</v>
      </c>
      <c r="E1003" s="32"/>
      <c r="F1003" s="32"/>
      <c r="G1003" s="32"/>
      <c r="H1003" s="32"/>
      <c r="I1003" s="32"/>
      <c r="J1003" s="28">
        <f t="shared" si="808"/>
        <v>0</v>
      </c>
      <c r="K1003" s="29"/>
      <c r="L1003" s="29"/>
      <c r="M1003" s="29"/>
      <c r="N1003" s="29"/>
      <c r="O1003" s="29"/>
      <c r="P1003" s="30">
        <f t="shared" si="810"/>
        <v>0</v>
      </c>
      <c r="Q1003" s="31">
        <f t="shared" si="809"/>
        <v>0</v>
      </c>
    </row>
    <row r="1004" spans="1:17" x14ac:dyDescent="0.2">
      <c r="A1004" s="10"/>
      <c r="B1004" s="26"/>
      <c r="C1004" s="11">
        <v>1985</v>
      </c>
      <c r="D1004" s="32">
        <f>SPFI_CLB14!$D$8</f>
        <v>0.90386500000000003</v>
      </c>
      <c r="E1004" s="32"/>
      <c r="F1004" s="32"/>
      <c r="G1004" s="32"/>
      <c r="H1004" s="32"/>
      <c r="I1004" s="32"/>
      <c r="J1004" s="28">
        <f t="shared" si="808"/>
        <v>0</v>
      </c>
      <c r="K1004" s="29"/>
      <c r="L1004" s="29"/>
      <c r="M1004" s="29"/>
      <c r="N1004" s="29"/>
      <c r="O1004" s="29"/>
      <c r="P1004" s="30">
        <f t="shared" si="810"/>
        <v>0</v>
      </c>
      <c r="Q1004" s="31">
        <f t="shared" si="809"/>
        <v>0</v>
      </c>
    </row>
    <row r="1005" spans="1:17" x14ac:dyDescent="0.2">
      <c r="A1005" s="10"/>
      <c r="B1005" s="26"/>
      <c r="C1005" s="11">
        <v>1986</v>
      </c>
      <c r="D1005" s="32">
        <f>SPFI_CLB14!$D$9</f>
        <v>0.73087500000000005</v>
      </c>
      <c r="E1005" s="32"/>
      <c r="F1005" s="32"/>
      <c r="G1005" s="32"/>
      <c r="H1005" s="32"/>
      <c r="I1005" s="32"/>
      <c r="J1005" s="28">
        <f t="shared" si="808"/>
        <v>0</v>
      </c>
      <c r="K1005" s="29"/>
      <c r="L1005" s="29"/>
      <c r="M1005" s="29"/>
      <c r="N1005" s="29"/>
      <c r="O1005" s="29"/>
      <c r="P1005" s="30">
        <f t="shared" si="810"/>
        <v>0</v>
      </c>
      <c r="Q1005" s="31">
        <f t="shared" si="809"/>
        <v>0</v>
      </c>
    </row>
    <row r="1006" spans="1:17" x14ac:dyDescent="0.2">
      <c r="A1006" s="10"/>
      <c r="B1006" s="26"/>
      <c r="C1006" s="11">
        <v>1987</v>
      </c>
      <c r="D1006" s="32">
        <f>SPFI_CLB14!$D$10</f>
        <v>0.71733499999999994</v>
      </c>
      <c r="E1006" s="32"/>
      <c r="F1006" s="32"/>
      <c r="G1006" s="32"/>
      <c r="H1006" s="32"/>
      <c r="I1006" s="32"/>
      <c r="J1006" s="28">
        <f t="shared" si="808"/>
        <v>0</v>
      </c>
      <c r="K1006" s="29"/>
      <c r="L1006" s="29"/>
      <c r="M1006" s="29"/>
      <c r="N1006" s="29"/>
      <c r="O1006" s="29"/>
      <c r="P1006" s="30">
        <f t="shared" si="810"/>
        <v>0</v>
      </c>
      <c r="Q1006" s="31">
        <f t="shared" si="809"/>
        <v>0</v>
      </c>
    </row>
    <row r="1007" spans="1:17" x14ac:dyDescent="0.2">
      <c r="A1007" s="10"/>
      <c r="B1007" s="26"/>
      <c r="C1007" s="11">
        <v>1988</v>
      </c>
      <c r="D1007" s="32">
        <f>SPFI_CLB14!$D$11</f>
        <v>0.64558800000000005</v>
      </c>
      <c r="E1007" s="32"/>
      <c r="F1007" s="32"/>
      <c r="G1007" s="32"/>
      <c r="H1007" s="32"/>
      <c r="I1007" s="32"/>
      <c r="J1007" s="28">
        <f t="shared" si="808"/>
        <v>0</v>
      </c>
      <c r="K1007" s="29"/>
      <c r="L1007" s="29"/>
      <c r="M1007" s="29"/>
      <c r="N1007" s="29"/>
      <c r="O1007" s="29"/>
      <c r="P1007" s="30">
        <f t="shared" si="810"/>
        <v>0</v>
      </c>
      <c r="Q1007" s="31">
        <f t="shared" si="809"/>
        <v>0</v>
      </c>
    </row>
    <row r="1008" spans="1:17" x14ac:dyDescent="0.2">
      <c r="A1008" s="10"/>
      <c r="B1008" s="26"/>
      <c r="C1008" s="11">
        <v>1989</v>
      </c>
      <c r="D1008" s="32">
        <f>SPFI_CLB14!$D$12</f>
        <v>0.65287700000000004</v>
      </c>
      <c r="E1008" s="32"/>
      <c r="F1008" s="32"/>
      <c r="G1008" s="32"/>
      <c r="H1008" s="32"/>
      <c r="I1008" s="32"/>
      <c r="J1008" s="28">
        <f t="shared" si="808"/>
        <v>0</v>
      </c>
      <c r="K1008" s="29"/>
      <c r="L1008" s="29"/>
      <c r="M1008" s="29"/>
      <c r="N1008" s="29"/>
      <c r="O1008" s="29"/>
      <c r="P1008" s="30">
        <f t="shared" si="810"/>
        <v>0</v>
      </c>
      <c r="Q1008" s="31">
        <f t="shared" si="809"/>
        <v>0</v>
      </c>
    </row>
    <row r="1009" spans="1:17" x14ac:dyDescent="0.2">
      <c r="A1009" s="10"/>
      <c r="B1009" s="26"/>
      <c r="C1009" s="11">
        <v>1990</v>
      </c>
      <c r="D1009" s="32">
        <f>SPFI_CLB14!$D$13</f>
        <v>0.56965100000000002</v>
      </c>
      <c r="E1009" s="32"/>
      <c r="F1009" s="32"/>
      <c r="G1009" s="32"/>
      <c r="H1009" s="32"/>
      <c r="I1009" s="32"/>
      <c r="J1009" s="28">
        <f t="shared" si="808"/>
        <v>0</v>
      </c>
      <c r="K1009" s="29"/>
      <c r="L1009" s="29"/>
      <c r="M1009" s="29"/>
      <c r="N1009" s="29"/>
      <c r="O1009" s="29"/>
      <c r="P1009" s="30">
        <f t="shared" si="810"/>
        <v>0</v>
      </c>
      <c r="Q1009" s="31">
        <f t="shared" si="809"/>
        <v>0</v>
      </c>
    </row>
    <row r="1010" spans="1:17" x14ac:dyDescent="0.2">
      <c r="A1010" s="10"/>
      <c r="B1010" s="26"/>
      <c r="C1010" s="11">
        <v>1991</v>
      </c>
      <c r="D1010" s="32">
        <f>SPFI_CLB14!$D$14</f>
        <v>0.62776900000000002</v>
      </c>
      <c r="E1010" s="32"/>
      <c r="F1010" s="32"/>
      <c r="G1010" s="32"/>
      <c r="H1010" s="32"/>
      <c r="I1010" s="32"/>
      <c r="J1010" s="28">
        <f t="shared" si="808"/>
        <v>0</v>
      </c>
      <c r="K1010" s="29"/>
      <c r="L1010" s="29"/>
      <c r="M1010" s="29"/>
      <c r="N1010" s="29"/>
      <c r="O1010" s="29"/>
      <c r="P1010" s="30">
        <f t="shared" si="810"/>
        <v>0</v>
      </c>
      <c r="Q1010" s="31">
        <f t="shared" si="809"/>
        <v>0</v>
      </c>
    </row>
    <row r="1011" spans="1:17" x14ac:dyDescent="0.2">
      <c r="A1011" s="10"/>
      <c r="B1011" s="26"/>
      <c r="C1011" s="11">
        <v>1992</v>
      </c>
      <c r="D1011" s="32">
        <f>SPFI_CLB14!$D$15</f>
        <v>0.43504100000000001</v>
      </c>
      <c r="E1011" s="32"/>
      <c r="F1011" s="32"/>
      <c r="G1011" s="32"/>
      <c r="H1011" s="32"/>
      <c r="I1011" s="32"/>
      <c r="J1011" s="28">
        <f t="shared" si="808"/>
        <v>0</v>
      </c>
      <c r="K1011" s="29"/>
      <c r="L1011" s="29"/>
      <c r="M1011" s="29"/>
      <c r="N1011" s="29"/>
      <c r="O1011" s="29"/>
      <c r="P1011" s="30">
        <f t="shared" si="810"/>
        <v>0</v>
      </c>
      <c r="Q1011" s="31">
        <f t="shared" si="809"/>
        <v>0</v>
      </c>
    </row>
    <row r="1012" spans="1:17" x14ac:dyDescent="0.2">
      <c r="A1012" s="10"/>
      <c r="B1012" s="26"/>
      <c r="C1012" s="11">
        <v>1993</v>
      </c>
      <c r="D1012" s="32">
        <f>SPFI_CLB14!$D$16</f>
        <v>0.499164</v>
      </c>
      <c r="E1012" s="32"/>
      <c r="F1012" s="32"/>
      <c r="G1012" s="32"/>
      <c r="H1012" s="32"/>
      <c r="I1012" s="32"/>
      <c r="J1012" s="28">
        <f t="shared" si="808"/>
        <v>0</v>
      </c>
      <c r="K1012" s="29"/>
      <c r="L1012" s="29"/>
      <c r="M1012" s="29"/>
      <c r="N1012" s="29"/>
      <c r="O1012" s="29"/>
      <c r="P1012" s="30">
        <f t="shared" si="810"/>
        <v>0</v>
      </c>
      <c r="Q1012" s="31">
        <f t="shared" si="809"/>
        <v>0</v>
      </c>
    </row>
    <row r="1013" spans="1:17" x14ac:dyDescent="0.2">
      <c r="A1013" s="10"/>
      <c r="B1013" s="26"/>
      <c r="C1013" s="11">
        <v>1994</v>
      </c>
      <c r="D1013" s="32">
        <f>SPFI_CLB14!$D$17</f>
        <v>0.59591300000000003</v>
      </c>
      <c r="E1013" s="32"/>
      <c r="F1013" s="32"/>
      <c r="G1013" s="32"/>
      <c r="H1013" s="32"/>
      <c r="I1013" s="32"/>
      <c r="J1013" s="28">
        <f t="shared" si="808"/>
        <v>0</v>
      </c>
      <c r="K1013" s="29"/>
      <c r="L1013" s="29"/>
      <c r="M1013" s="29"/>
      <c r="N1013" s="29"/>
      <c r="O1013" s="29"/>
      <c r="P1013" s="30">
        <f t="shared" si="810"/>
        <v>0</v>
      </c>
      <c r="Q1013" s="31">
        <f t="shared" si="809"/>
        <v>0</v>
      </c>
    </row>
    <row r="1014" spans="1:17" x14ac:dyDescent="0.2">
      <c r="A1014" s="10"/>
      <c r="B1014" s="26"/>
      <c r="C1014" s="11">
        <v>1995</v>
      </c>
      <c r="D1014" s="32">
        <f>SPFI_CLB14!$D$18</f>
        <v>0.25400800000000001</v>
      </c>
      <c r="E1014" s="32"/>
      <c r="F1014" s="32"/>
      <c r="G1014" s="32"/>
      <c r="H1014" s="32"/>
      <c r="I1014" s="32"/>
      <c r="J1014" s="28">
        <f t="shared" ref="J1014" si="811">D1014*J$32</f>
        <v>0</v>
      </c>
      <c r="K1014" s="29"/>
      <c r="L1014" s="29"/>
      <c r="M1014" s="29"/>
      <c r="N1014" s="29"/>
      <c r="O1014" s="29"/>
      <c r="P1014" s="30">
        <f>SUM(J1014:O1014)</f>
        <v>0</v>
      </c>
      <c r="Q1014" s="31">
        <f t="shared" si="809"/>
        <v>0</v>
      </c>
    </row>
    <row r="1015" spans="1:17" x14ac:dyDescent="0.2">
      <c r="A1015" s="10"/>
      <c r="B1015" s="26"/>
      <c r="C1015" s="11">
        <v>1996</v>
      </c>
      <c r="D1015" s="32">
        <f>SPFI_CLB14!$D$19</f>
        <v>0</v>
      </c>
      <c r="E1015" s="32"/>
      <c r="F1015" s="32"/>
      <c r="G1015" s="32"/>
      <c r="H1015" s="32"/>
      <c r="I1015" s="32"/>
      <c r="J1015" s="28">
        <f t="shared" ref="J1015" si="812">D1015*J$32</f>
        <v>0</v>
      </c>
      <c r="K1015" s="29"/>
      <c r="L1015" s="29"/>
      <c r="M1015" s="29"/>
      <c r="N1015" s="29"/>
      <c r="O1015" s="29"/>
      <c r="P1015" s="30">
        <f>SUM(J1015:O1015)</f>
        <v>0</v>
      </c>
      <c r="Q1015" s="31">
        <f t="shared" si="809"/>
        <v>0</v>
      </c>
    </row>
    <row r="1016" spans="1:17" x14ac:dyDescent="0.2">
      <c r="A1016" s="10"/>
      <c r="B1016" s="26"/>
      <c r="C1016" s="11">
        <v>1997</v>
      </c>
      <c r="D1016" s="32">
        <f>SPFI_CLB14!$D$20</f>
        <v>0.201487</v>
      </c>
      <c r="E1016" s="32"/>
      <c r="F1016" s="32"/>
      <c r="G1016" s="32"/>
      <c r="H1016" s="32"/>
      <c r="I1016" s="32"/>
      <c r="J1016" s="28">
        <f t="shared" ref="J1016" si="813">D1016*J$32</f>
        <v>0</v>
      </c>
      <c r="K1016" s="29"/>
      <c r="L1016" s="29"/>
      <c r="M1016" s="29"/>
      <c r="N1016" s="29"/>
      <c r="O1016" s="29"/>
      <c r="P1016" s="30">
        <f>SUM(J1016:O1016)</f>
        <v>0</v>
      </c>
      <c r="Q1016" s="31">
        <f t="shared" si="809"/>
        <v>0</v>
      </c>
    </row>
    <row r="1017" spans="1:17" x14ac:dyDescent="0.2">
      <c r="A1017" s="10"/>
      <c r="B1017" s="26"/>
      <c r="C1017" s="11">
        <v>1998</v>
      </c>
      <c r="D1017" s="32">
        <f>SPFI_CLB14!$D$21</f>
        <v>0.37506400000000001</v>
      </c>
      <c r="E1017" s="32"/>
      <c r="F1017" s="32"/>
      <c r="G1017" s="32"/>
      <c r="H1017" s="32"/>
      <c r="I1017" s="32"/>
      <c r="J1017" s="28">
        <f t="shared" ref="J1017" si="814">D1017*J$32</f>
        <v>0</v>
      </c>
      <c r="K1017" s="29"/>
      <c r="L1017" s="29"/>
      <c r="M1017" s="29"/>
      <c r="N1017" s="29"/>
      <c r="O1017" s="29"/>
      <c r="P1017" s="30">
        <f>SUM(J1017:O1017)</f>
        <v>0</v>
      </c>
      <c r="Q1017" s="31">
        <f t="shared" si="809"/>
        <v>0</v>
      </c>
    </row>
    <row r="1018" spans="1:17" x14ac:dyDescent="0.2">
      <c r="A1018" s="10"/>
      <c r="B1018" s="26"/>
      <c r="C1018" s="11">
        <v>1999</v>
      </c>
      <c r="D1018" s="32">
        <f>SPFI_CLB14!$D$22</f>
        <v>0.29823699999999997</v>
      </c>
      <c r="E1018" s="32"/>
      <c r="F1018" s="32"/>
      <c r="G1018" s="32"/>
      <c r="H1018" s="32"/>
      <c r="I1018" s="32"/>
      <c r="J1018" s="28">
        <f t="shared" ref="J1018" si="815">D1018*J$32</f>
        <v>0</v>
      </c>
      <c r="K1018" s="29"/>
      <c r="L1018" s="29"/>
      <c r="M1018" s="29"/>
      <c r="N1018" s="29"/>
      <c r="O1018" s="29"/>
      <c r="P1018" s="30">
        <f>SUM(J1018:O1018)</f>
        <v>0</v>
      </c>
      <c r="Q1018" s="31">
        <f t="shared" ref="Q1018:Q1023" si="816">IF(C$32&gt;0,P1018/C$32,0)</f>
        <v>0</v>
      </c>
    </row>
    <row r="1019" spans="1:17" x14ac:dyDescent="0.2">
      <c r="A1019" s="10"/>
      <c r="B1019" s="26"/>
      <c r="C1019" s="11">
        <v>2000</v>
      </c>
      <c r="D1019" s="32">
        <f>SPFI_CLB14!$D$23</f>
        <v>8.4414000000000003E-2</v>
      </c>
      <c r="E1019" s="32"/>
      <c r="F1019" s="32"/>
      <c r="G1019" s="32"/>
      <c r="H1019" s="32"/>
      <c r="I1019" s="32"/>
      <c r="J1019" s="28">
        <f t="shared" ref="J1019" si="817">D1019*J$32</f>
        <v>0</v>
      </c>
      <c r="K1019" s="29"/>
      <c r="L1019" s="29"/>
      <c r="M1019" s="29"/>
      <c r="N1019" s="29"/>
      <c r="O1019" s="29"/>
      <c r="P1019" s="30">
        <f t="shared" ref="P1019:P1024" si="818">SUM(J1019:O1019)</f>
        <v>0</v>
      </c>
      <c r="Q1019" s="31">
        <f t="shared" si="816"/>
        <v>0</v>
      </c>
    </row>
    <row r="1020" spans="1:17" x14ac:dyDescent="0.2">
      <c r="A1020" s="10"/>
      <c r="B1020" s="26"/>
      <c r="C1020" s="11">
        <v>2001</v>
      </c>
      <c r="D1020" s="32">
        <f>SPFI_CLB14!$D$24</f>
        <v>7.8909000000000007E-2</v>
      </c>
      <c r="E1020" s="32"/>
      <c r="F1020" s="32"/>
      <c r="G1020" s="32"/>
      <c r="H1020" s="32"/>
      <c r="I1020" s="32"/>
      <c r="J1020" s="28">
        <f t="shared" ref="J1020" si="819">D1020*J$32</f>
        <v>0</v>
      </c>
      <c r="K1020" s="29"/>
      <c r="L1020" s="29"/>
      <c r="M1020" s="29"/>
      <c r="N1020" s="29"/>
      <c r="O1020" s="29"/>
      <c r="P1020" s="30">
        <f t="shared" si="818"/>
        <v>0</v>
      </c>
      <c r="Q1020" s="31">
        <f t="shared" si="816"/>
        <v>0</v>
      </c>
    </row>
    <row r="1021" spans="1:17" x14ac:dyDescent="0.2">
      <c r="A1021" s="10"/>
      <c r="B1021" s="26"/>
      <c r="C1021" s="11">
        <v>2002</v>
      </c>
      <c r="D1021" s="32">
        <f>SPFI_CLB14!$D$25</f>
        <v>0.29974699999999999</v>
      </c>
      <c r="E1021" s="32"/>
      <c r="F1021" s="32"/>
      <c r="G1021" s="32"/>
      <c r="H1021" s="32"/>
      <c r="I1021" s="32"/>
      <c r="J1021" s="28">
        <f t="shared" ref="J1021" si="820">D1021*J$32</f>
        <v>0</v>
      </c>
      <c r="K1021" s="29"/>
      <c r="L1021" s="29"/>
      <c r="M1021" s="29"/>
      <c r="N1021" s="29"/>
      <c r="O1021" s="29"/>
      <c r="P1021" s="30">
        <f t="shared" si="818"/>
        <v>0</v>
      </c>
      <c r="Q1021" s="31">
        <f t="shared" si="816"/>
        <v>0</v>
      </c>
    </row>
    <row r="1022" spans="1:17" x14ac:dyDescent="0.2">
      <c r="A1022" s="10"/>
      <c r="B1022" s="26"/>
      <c r="C1022" s="11">
        <v>2003</v>
      </c>
      <c r="D1022" s="32">
        <f>SPFI_CLB14!$D$26</f>
        <v>0.20691100000000001</v>
      </c>
      <c r="E1022" s="32"/>
      <c r="F1022" s="32"/>
      <c r="G1022" s="32"/>
      <c r="H1022" s="32"/>
      <c r="I1022" s="32"/>
      <c r="J1022" s="28">
        <f t="shared" ref="J1022" si="821">D1022*J$32</f>
        <v>0</v>
      </c>
      <c r="K1022" s="29"/>
      <c r="L1022" s="29"/>
      <c r="M1022" s="29"/>
      <c r="N1022" s="29"/>
      <c r="O1022" s="29"/>
      <c r="P1022" s="30">
        <f t="shared" si="818"/>
        <v>0</v>
      </c>
      <c r="Q1022" s="31">
        <f t="shared" si="816"/>
        <v>0</v>
      </c>
    </row>
    <row r="1023" spans="1:17" x14ac:dyDescent="0.2">
      <c r="A1023" s="10"/>
      <c r="B1023" s="26"/>
      <c r="C1023" s="11">
        <v>2004</v>
      </c>
      <c r="D1023" s="32">
        <f>SPFI_CLB14!$D$27</f>
        <v>0.269237</v>
      </c>
      <c r="E1023" s="32"/>
      <c r="F1023" s="32"/>
      <c r="G1023" s="32"/>
      <c r="H1023" s="32"/>
      <c r="I1023" s="32"/>
      <c r="J1023" s="28">
        <f t="shared" ref="J1023" si="822">D1023*J$32</f>
        <v>0</v>
      </c>
      <c r="K1023" s="29"/>
      <c r="L1023" s="29"/>
      <c r="M1023" s="29"/>
      <c r="N1023" s="29"/>
      <c r="O1023" s="29"/>
      <c r="P1023" s="30">
        <f t="shared" si="818"/>
        <v>0</v>
      </c>
      <c r="Q1023" s="31">
        <f t="shared" si="816"/>
        <v>0</v>
      </c>
    </row>
    <row r="1024" spans="1:17" x14ac:dyDescent="0.2">
      <c r="A1024" s="10"/>
      <c r="B1024" s="26"/>
      <c r="C1024" s="11">
        <v>2005</v>
      </c>
      <c r="D1024" s="32">
        <f>SPFI_CLB14!$D$28</f>
        <v>0.37848700000000002</v>
      </c>
      <c r="E1024" s="32"/>
      <c r="F1024" s="32"/>
      <c r="G1024" s="32"/>
      <c r="H1024" s="32"/>
      <c r="I1024" s="32"/>
      <c r="J1024" s="28">
        <f t="shared" ref="J1024" si="823">D1024*J$32</f>
        <v>0</v>
      </c>
      <c r="K1024" s="29"/>
      <c r="L1024" s="29"/>
      <c r="M1024" s="29"/>
      <c r="N1024" s="29"/>
      <c r="O1024" s="29"/>
      <c r="P1024" s="30">
        <f t="shared" si="818"/>
        <v>0</v>
      </c>
      <c r="Q1024" s="31">
        <f t="shared" ref="Q1024:Q1029" si="824">IF(C$32&gt;0,P1024/C$32,0)</f>
        <v>0</v>
      </c>
    </row>
    <row r="1025" spans="1:17" x14ac:dyDescent="0.2">
      <c r="A1025" s="10"/>
      <c r="B1025" s="26"/>
      <c r="C1025" s="11">
        <v>2006</v>
      </c>
      <c r="D1025" s="32">
        <f>SPFI_CLB14!$D$29</f>
        <v>0.381023</v>
      </c>
      <c r="E1025" s="32"/>
      <c r="F1025" s="32"/>
      <c r="G1025" s="32"/>
      <c r="H1025" s="32"/>
      <c r="I1025" s="32"/>
      <c r="J1025" s="28">
        <f t="shared" ref="J1025" si="825">D1025*J$32</f>
        <v>0</v>
      </c>
      <c r="K1025" s="29"/>
      <c r="L1025" s="29"/>
      <c r="M1025" s="29"/>
      <c r="N1025" s="29"/>
      <c r="O1025" s="29"/>
      <c r="P1025" s="30">
        <f t="shared" ref="P1025:P1032" si="826">SUM(J1025:O1025)</f>
        <v>0</v>
      </c>
      <c r="Q1025" s="31">
        <f t="shared" si="824"/>
        <v>0</v>
      </c>
    </row>
    <row r="1026" spans="1:17" x14ac:dyDescent="0.2">
      <c r="A1026" s="10"/>
      <c r="B1026" s="26"/>
      <c r="C1026" s="11">
        <v>2007</v>
      </c>
      <c r="D1026" s="32">
        <f>SPFI_CLB14!$D$30</f>
        <v>0.356512</v>
      </c>
      <c r="E1026" s="32"/>
      <c r="F1026" s="32"/>
      <c r="G1026" s="32"/>
      <c r="H1026" s="32"/>
      <c r="I1026" s="32"/>
      <c r="J1026" s="28">
        <f t="shared" ref="J1026" si="827">D1026*J$32</f>
        <v>0</v>
      </c>
      <c r="K1026" s="29"/>
      <c r="L1026" s="29"/>
      <c r="M1026" s="29"/>
      <c r="N1026" s="29"/>
      <c r="O1026" s="29"/>
      <c r="P1026" s="30">
        <f t="shared" si="826"/>
        <v>0</v>
      </c>
      <c r="Q1026" s="31">
        <f t="shared" si="824"/>
        <v>0</v>
      </c>
    </row>
    <row r="1027" spans="1:17" x14ac:dyDescent="0.2">
      <c r="A1027" s="10"/>
      <c r="B1027" s="26"/>
      <c r="C1027" s="11">
        <v>2008</v>
      </c>
      <c r="D1027" s="32">
        <f>SPFI_CLB14!$D$31</f>
        <v>0.25494499999999998</v>
      </c>
      <c r="E1027" s="32"/>
      <c r="F1027" s="32"/>
      <c r="G1027" s="32"/>
      <c r="H1027" s="32"/>
      <c r="I1027" s="32"/>
      <c r="J1027" s="28">
        <f t="shared" ref="J1027" si="828">D1027*J$32</f>
        <v>0</v>
      </c>
      <c r="K1027" s="29"/>
      <c r="L1027" s="29"/>
      <c r="M1027" s="29"/>
      <c r="N1027" s="29"/>
      <c r="O1027" s="29"/>
      <c r="P1027" s="30">
        <f t="shared" si="826"/>
        <v>0</v>
      </c>
      <c r="Q1027" s="31">
        <f t="shared" si="824"/>
        <v>0</v>
      </c>
    </row>
    <row r="1028" spans="1:17" x14ac:dyDescent="0.2">
      <c r="A1028" s="10"/>
      <c r="B1028" s="26"/>
      <c r="C1028" s="11">
        <v>2009</v>
      </c>
      <c r="D1028" s="32">
        <f>SPFI_CLB14!$D$32</f>
        <v>0.52383000000000002</v>
      </c>
      <c r="E1028" s="32"/>
      <c r="F1028" s="32"/>
      <c r="G1028" s="32"/>
      <c r="H1028" s="32"/>
      <c r="I1028" s="32"/>
      <c r="J1028" s="28">
        <f t="shared" ref="J1028" si="829">D1028*J$32</f>
        <v>0</v>
      </c>
      <c r="K1028" s="29"/>
      <c r="L1028" s="29"/>
      <c r="M1028" s="29"/>
      <c r="N1028" s="29"/>
      <c r="O1028" s="29"/>
      <c r="P1028" s="30">
        <f t="shared" si="826"/>
        <v>0</v>
      </c>
      <c r="Q1028" s="31">
        <f t="shared" si="824"/>
        <v>0</v>
      </c>
    </row>
    <row r="1029" spans="1:17" x14ac:dyDescent="0.2">
      <c r="A1029" s="10"/>
      <c r="B1029" s="26"/>
      <c r="C1029" s="11">
        <v>2010</v>
      </c>
      <c r="D1029" s="32">
        <f>SPFI_CLB14!$D$33</f>
        <v>0.31394</v>
      </c>
      <c r="E1029" s="32"/>
      <c r="F1029" s="32"/>
      <c r="G1029" s="32"/>
      <c r="H1029" s="32"/>
      <c r="I1029" s="32"/>
      <c r="J1029" s="28">
        <f t="shared" ref="J1029" si="830">D1029*J$32</f>
        <v>0</v>
      </c>
      <c r="K1029" s="29"/>
      <c r="L1029" s="29"/>
      <c r="M1029" s="29"/>
      <c r="N1029" s="29"/>
      <c r="O1029" s="29"/>
      <c r="P1029" s="30">
        <f t="shared" si="826"/>
        <v>0</v>
      </c>
      <c r="Q1029" s="31">
        <f t="shared" si="824"/>
        <v>0</v>
      </c>
    </row>
    <row r="1030" spans="1:17" x14ac:dyDescent="0.2">
      <c r="A1030" s="10"/>
      <c r="B1030" s="26"/>
      <c r="C1030" s="11">
        <v>2011</v>
      </c>
      <c r="D1030" s="32">
        <f>SPFI_CLB14!$D$34</f>
        <v>0.294348</v>
      </c>
      <c r="E1030" s="32"/>
      <c r="F1030" s="32"/>
      <c r="G1030" s="32"/>
      <c r="H1030" s="32"/>
      <c r="I1030" s="32"/>
      <c r="J1030" s="28">
        <f t="shared" ref="J1030" si="831">D1030*J$32</f>
        <v>0</v>
      </c>
      <c r="K1030" s="29"/>
      <c r="L1030" s="29"/>
      <c r="M1030" s="29"/>
      <c r="N1030" s="29"/>
      <c r="O1030" s="29"/>
      <c r="P1030" s="30">
        <f t="shared" ref="P1030" si="832">SUM(J1030:O1030)</f>
        <v>0</v>
      </c>
      <c r="Q1030" s="31">
        <f t="shared" ref="Q1030" si="833">IF(C$32&gt;0,P1030/C$32,0)</f>
        <v>0</v>
      </c>
    </row>
    <row r="1031" spans="1:17" x14ac:dyDescent="0.2">
      <c r="A1031" s="10"/>
      <c r="B1031" s="26"/>
      <c r="C1031" s="11">
        <v>2012</v>
      </c>
      <c r="D1031" s="32">
        <f>SPFI_CLB14!$D$35</f>
        <v>0.34784100000000001</v>
      </c>
      <c r="E1031" s="32"/>
      <c r="F1031" s="32"/>
      <c r="G1031" s="32"/>
      <c r="H1031" s="32"/>
      <c r="I1031" s="32"/>
      <c r="J1031" s="28">
        <f t="shared" ref="J1031" si="834">D1031*J$32</f>
        <v>0</v>
      </c>
      <c r="K1031" s="29"/>
      <c r="L1031" s="29"/>
      <c r="M1031" s="29"/>
      <c r="N1031" s="29"/>
      <c r="O1031" s="29"/>
      <c r="P1031" s="30">
        <f t="shared" ref="P1031" si="835">SUM(J1031:O1031)</f>
        <v>0</v>
      </c>
      <c r="Q1031" s="31">
        <f t="shared" ref="Q1031" si="836">IF(C$32&gt;0,P1031/C$32,0)</f>
        <v>0</v>
      </c>
    </row>
    <row r="1032" spans="1:17" x14ac:dyDescent="0.2">
      <c r="A1032" s="5" t="s">
        <v>13</v>
      </c>
      <c r="B1032" s="21">
        <v>3</v>
      </c>
      <c r="C1032" s="6">
        <v>1982</v>
      </c>
      <c r="D1032" s="27">
        <f>SPFI_CLB14!$D$5</f>
        <v>0.98153299999999999</v>
      </c>
      <c r="E1032" s="27"/>
      <c r="F1032" s="27"/>
      <c r="G1032" s="27"/>
      <c r="H1032" s="27"/>
      <c r="I1032" s="27"/>
      <c r="J1032" s="33">
        <f t="shared" ref="J1032:J1044" si="837">D1032*J$33</f>
        <v>0</v>
      </c>
      <c r="K1032" s="27"/>
      <c r="L1032" s="27"/>
      <c r="M1032" s="27"/>
      <c r="N1032" s="27"/>
      <c r="O1032" s="27"/>
      <c r="P1032" s="34">
        <f t="shared" si="826"/>
        <v>0</v>
      </c>
      <c r="Q1032" s="35">
        <f t="shared" ref="Q1032:Q1048" si="838">IF(C$33&gt;0,P1032/C$33,0)</f>
        <v>0</v>
      </c>
    </row>
    <row r="1033" spans="1:17" x14ac:dyDescent="0.2">
      <c r="A1033" s="10"/>
      <c r="B1033" s="26"/>
      <c r="C1033" s="11">
        <v>1983</v>
      </c>
      <c r="D1033" s="32">
        <f>SPFI_CLB14!$D$6</f>
        <v>0.93659899999999996</v>
      </c>
      <c r="E1033" s="32"/>
      <c r="F1033" s="32"/>
      <c r="G1033" s="32"/>
      <c r="H1033" s="32"/>
      <c r="I1033" s="32"/>
      <c r="J1033" s="28">
        <f t="shared" si="837"/>
        <v>0</v>
      </c>
      <c r="K1033" s="29"/>
      <c r="L1033" s="29"/>
      <c r="M1033" s="29"/>
      <c r="N1033" s="29"/>
      <c r="O1033" s="29"/>
      <c r="P1033" s="30">
        <f t="shared" ref="P1033:P1044" si="839">SUM(J1033:O1033)</f>
        <v>0</v>
      </c>
      <c r="Q1033" s="31">
        <f t="shared" si="838"/>
        <v>0</v>
      </c>
    </row>
    <row r="1034" spans="1:17" x14ac:dyDescent="0.2">
      <c r="A1034" s="10"/>
      <c r="B1034" s="26"/>
      <c r="C1034" s="11">
        <v>1984</v>
      </c>
      <c r="D1034" s="32">
        <f>SPFI_CLB14!$D$7</f>
        <v>0.92793599999999998</v>
      </c>
      <c r="E1034" s="32"/>
      <c r="F1034" s="32"/>
      <c r="G1034" s="32"/>
      <c r="H1034" s="32"/>
      <c r="I1034" s="32"/>
      <c r="J1034" s="28">
        <f t="shared" si="837"/>
        <v>0</v>
      </c>
      <c r="K1034" s="29"/>
      <c r="L1034" s="29"/>
      <c r="M1034" s="29"/>
      <c r="N1034" s="29"/>
      <c r="O1034" s="29"/>
      <c r="P1034" s="30">
        <f t="shared" si="839"/>
        <v>0</v>
      </c>
      <c r="Q1034" s="31">
        <f t="shared" si="838"/>
        <v>0</v>
      </c>
    </row>
    <row r="1035" spans="1:17" x14ac:dyDescent="0.2">
      <c r="A1035" s="10"/>
      <c r="B1035" s="26"/>
      <c r="C1035" s="11">
        <v>1985</v>
      </c>
      <c r="D1035" s="32">
        <f>SPFI_CLB14!$D$8</f>
        <v>0.90386500000000003</v>
      </c>
      <c r="E1035" s="32"/>
      <c r="F1035" s="32"/>
      <c r="G1035" s="32"/>
      <c r="H1035" s="32"/>
      <c r="I1035" s="32"/>
      <c r="J1035" s="28">
        <f t="shared" si="837"/>
        <v>0</v>
      </c>
      <c r="K1035" s="29"/>
      <c r="L1035" s="29"/>
      <c r="M1035" s="29"/>
      <c r="N1035" s="29"/>
      <c r="O1035" s="29"/>
      <c r="P1035" s="30">
        <f t="shared" si="839"/>
        <v>0</v>
      </c>
      <c r="Q1035" s="31">
        <f t="shared" si="838"/>
        <v>0</v>
      </c>
    </row>
    <row r="1036" spans="1:17" x14ac:dyDescent="0.2">
      <c r="A1036" s="10"/>
      <c r="B1036" s="26"/>
      <c r="C1036" s="11">
        <v>1986</v>
      </c>
      <c r="D1036" s="32">
        <f>SPFI_CLB14!$D$9</f>
        <v>0.73087500000000005</v>
      </c>
      <c r="E1036" s="32"/>
      <c r="F1036" s="32"/>
      <c r="G1036" s="32"/>
      <c r="H1036" s="32"/>
      <c r="I1036" s="32"/>
      <c r="J1036" s="28">
        <f t="shared" si="837"/>
        <v>0</v>
      </c>
      <c r="K1036" s="29"/>
      <c r="L1036" s="29"/>
      <c r="M1036" s="29"/>
      <c r="N1036" s="29"/>
      <c r="O1036" s="29"/>
      <c r="P1036" s="30">
        <f t="shared" si="839"/>
        <v>0</v>
      </c>
      <c r="Q1036" s="31">
        <f t="shared" si="838"/>
        <v>0</v>
      </c>
    </row>
    <row r="1037" spans="1:17" x14ac:dyDescent="0.2">
      <c r="A1037" s="10"/>
      <c r="B1037" s="26"/>
      <c r="C1037" s="11">
        <v>1987</v>
      </c>
      <c r="D1037" s="32">
        <f>SPFI_CLB14!$D$10</f>
        <v>0.71733499999999994</v>
      </c>
      <c r="E1037" s="32"/>
      <c r="F1037" s="32"/>
      <c r="G1037" s="32"/>
      <c r="H1037" s="32"/>
      <c r="I1037" s="32"/>
      <c r="J1037" s="28">
        <f t="shared" si="837"/>
        <v>0</v>
      </c>
      <c r="K1037" s="29"/>
      <c r="L1037" s="29"/>
      <c r="M1037" s="29"/>
      <c r="N1037" s="29"/>
      <c r="O1037" s="29"/>
      <c r="P1037" s="30">
        <f t="shared" si="839"/>
        <v>0</v>
      </c>
      <c r="Q1037" s="31">
        <f t="shared" si="838"/>
        <v>0</v>
      </c>
    </row>
    <row r="1038" spans="1:17" x14ac:dyDescent="0.2">
      <c r="A1038" s="10"/>
      <c r="B1038" s="26"/>
      <c r="C1038" s="11">
        <v>1988</v>
      </c>
      <c r="D1038" s="32">
        <f>SPFI_CLB14!$D$11</f>
        <v>0.64558800000000005</v>
      </c>
      <c r="E1038" s="32"/>
      <c r="F1038" s="32"/>
      <c r="G1038" s="32"/>
      <c r="H1038" s="32"/>
      <c r="I1038" s="32"/>
      <c r="J1038" s="28">
        <f t="shared" si="837"/>
        <v>0</v>
      </c>
      <c r="K1038" s="29"/>
      <c r="L1038" s="29"/>
      <c r="M1038" s="29"/>
      <c r="N1038" s="29"/>
      <c r="O1038" s="29"/>
      <c r="P1038" s="30">
        <f t="shared" si="839"/>
        <v>0</v>
      </c>
      <c r="Q1038" s="31">
        <f t="shared" si="838"/>
        <v>0</v>
      </c>
    </row>
    <row r="1039" spans="1:17" x14ac:dyDescent="0.2">
      <c r="A1039" s="10"/>
      <c r="B1039" s="26"/>
      <c r="C1039" s="11">
        <v>1989</v>
      </c>
      <c r="D1039" s="32">
        <f>SPFI_CLB14!$D$12</f>
        <v>0.65287700000000004</v>
      </c>
      <c r="E1039" s="32"/>
      <c r="F1039" s="32"/>
      <c r="G1039" s="32"/>
      <c r="H1039" s="32"/>
      <c r="I1039" s="32"/>
      <c r="J1039" s="28">
        <f t="shared" si="837"/>
        <v>0</v>
      </c>
      <c r="K1039" s="29"/>
      <c r="L1039" s="29"/>
      <c r="M1039" s="29"/>
      <c r="N1039" s="29"/>
      <c r="O1039" s="29"/>
      <c r="P1039" s="30">
        <f t="shared" si="839"/>
        <v>0</v>
      </c>
      <c r="Q1039" s="31">
        <f t="shared" si="838"/>
        <v>0</v>
      </c>
    </row>
    <row r="1040" spans="1:17" x14ac:dyDescent="0.2">
      <c r="A1040" s="10"/>
      <c r="B1040" s="26"/>
      <c r="C1040" s="11">
        <v>1990</v>
      </c>
      <c r="D1040" s="32">
        <f>SPFI_CLB14!$D$13</f>
        <v>0.56965100000000002</v>
      </c>
      <c r="E1040" s="32"/>
      <c r="F1040" s="32"/>
      <c r="G1040" s="32"/>
      <c r="H1040" s="32"/>
      <c r="I1040" s="32"/>
      <c r="J1040" s="28">
        <f t="shared" si="837"/>
        <v>0</v>
      </c>
      <c r="K1040" s="29"/>
      <c r="L1040" s="29"/>
      <c r="M1040" s="29"/>
      <c r="N1040" s="29"/>
      <c r="O1040" s="29"/>
      <c r="P1040" s="30">
        <f t="shared" si="839"/>
        <v>0</v>
      </c>
      <c r="Q1040" s="31">
        <f t="shared" si="838"/>
        <v>0</v>
      </c>
    </row>
    <row r="1041" spans="1:17" x14ac:dyDescent="0.2">
      <c r="A1041" s="10"/>
      <c r="B1041" s="26"/>
      <c r="C1041" s="11">
        <v>1991</v>
      </c>
      <c r="D1041" s="32">
        <f>SPFI_CLB14!$D$14</f>
        <v>0.62776900000000002</v>
      </c>
      <c r="E1041" s="32"/>
      <c r="F1041" s="32"/>
      <c r="G1041" s="32"/>
      <c r="H1041" s="32"/>
      <c r="I1041" s="32"/>
      <c r="J1041" s="28">
        <f t="shared" si="837"/>
        <v>0</v>
      </c>
      <c r="K1041" s="29"/>
      <c r="L1041" s="29"/>
      <c r="M1041" s="29"/>
      <c r="N1041" s="29"/>
      <c r="O1041" s="29"/>
      <c r="P1041" s="30">
        <f t="shared" si="839"/>
        <v>0</v>
      </c>
      <c r="Q1041" s="31">
        <f t="shared" si="838"/>
        <v>0</v>
      </c>
    </row>
    <row r="1042" spans="1:17" x14ac:dyDescent="0.2">
      <c r="A1042" s="10"/>
      <c r="B1042" s="26"/>
      <c r="C1042" s="11">
        <v>1992</v>
      </c>
      <c r="D1042" s="32">
        <f>SPFI_CLB14!$D$15</f>
        <v>0.43504100000000001</v>
      </c>
      <c r="E1042" s="32"/>
      <c r="F1042" s="32"/>
      <c r="G1042" s="32"/>
      <c r="H1042" s="32"/>
      <c r="I1042" s="32"/>
      <c r="J1042" s="28">
        <f t="shared" si="837"/>
        <v>0</v>
      </c>
      <c r="K1042" s="29"/>
      <c r="L1042" s="29"/>
      <c r="M1042" s="29"/>
      <c r="N1042" s="29"/>
      <c r="O1042" s="29"/>
      <c r="P1042" s="30">
        <f t="shared" si="839"/>
        <v>0</v>
      </c>
      <c r="Q1042" s="31">
        <f t="shared" si="838"/>
        <v>0</v>
      </c>
    </row>
    <row r="1043" spans="1:17" x14ac:dyDescent="0.2">
      <c r="A1043" s="10"/>
      <c r="B1043" s="26"/>
      <c r="C1043" s="11">
        <v>1993</v>
      </c>
      <c r="D1043" s="32">
        <f>SPFI_CLB14!$D$16</f>
        <v>0.499164</v>
      </c>
      <c r="E1043" s="32"/>
      <c r="F1043" s="32"/>
      <c r="G1043" s="32"/>
      <c r="H1043" s="32"/>
      <c r="I1043" s="32"/>
      <c r="J1043" s="28">
        <f t="shared" si="837"/>
        <v>0</v>
      </c>
      <c r="K1043" s="29"/>
      <c r="L1043" s="29"/>
      <c r="M1043" s="29"/>
      <c r="N1043" s="29"/>
      <c r="O1043" s="29"/>
      <c r="P1043" s="30">
        <f t="shared" si="839"/>
        <v>0</v>
      </c>
      <c r="Q1043" s="31">
        <f t="shared" si="838"/>
        <v>0</v>
      </c>
    </row>
    <row r="1044" spans="1:17" x14ac:dyDescent="0.2">
      <c r="A1044" s="10"/>
      <c r="B1044" s="26"/>
      <c r="C1044" s="11">
        <v>1994</v>
      </c>
      <c r="D1044" s="32">
        <f>SPFI_CLB14!$D$17</f>
        <v>0.59591300000000003</v>
      </c>
      <c r="E1044" s="32"/>
      <c r="F1044" s="32"/>
      <c r="G1044" s="32"/>
      <c r="H1044" s="32"/>
      <c r="I1044" s="32"/>
      <c r="J1044" s="28">
        <f t="shared" si="837"/>
        <v>0</v>
      </c>
      <c r="K1044" s="29"/>
      <c r="L1044" s="29"/>
      <c r="M1044" s="29"/>
      <c r="N1044" s="29"/>
      <c r="O1044" s="29"/>
      <c r="P1044" s="30">
        <f t="shared" si="839"/>
        <v>0</v>
      </c>
      <c r="Q1044" s="31">
        <f t="shared" si="838"/>
        <v>0</v>
      </c>
    </row>
    <row r="1045" spans="1:17" x14ac:dyDescent="0.2">
      <c r="A1045" s="10"/>
      <c r="B1045" s="26"/>
      <c r="C1045" s="11">
        <v>1995</v>
      </c>
      <c r="D1045" s="32">
        <f>SPFI_CLB14!$D$18</f>
        <v>0.25400800000000001</v>
      </c>
      <c r="E1045" s="32"/>
      <c r="F1045" s="32"/>
      <c r="G1045" s="32"/>
      <c r="H1045" s="32"/>
      <c r="I1045" s="32"/>
      <c r="J1045" s="28">
        <f t="shared" ref="J1045" si="840">D1045*J$33</f>
        <v>0</v>
      </c>
      <c r="K1045" s="29"/>
      <c r="L1045" s="29"/>
      <c r="M1045" s="29"/>
      <c r="N1045" s="29"/>
      <c r="O1045" s="29"/>
      <c r="P1045" s="30">
        <f>SUM(J1045:O1045)</f>
        <v>0</v>
      </c>
      <c r="Q1045" s="31">
        <f t="shared" si="838"/>
        <v>0</v>
      </c>
    </row>
    <row r="1046" spans="1:17" x14ac:dyDescent="0.2">
      <c r="A1046" s="10"/>
      <c r="B1046" s="26"/>
      <c r="C1046" s="11">
        <v>1996</v>
      </c>
      <c r="D1046" s="32">
        <f>SPFI_CLB14!$D$19</f>
        <v>0</v>
      </c>
      <c r="E1046" s="32"/>
      <c r="F1046" s="32"/>
      <c r="G1046" s="32"/>
      <c r="H1046" s="32"/>
      <c r="I1046" s="32"/>
      <c r="J1046" s="28">
        <f t="shared" ref="J1046" si="841">D1046*J$33</f>
        <v>0</v>
      </c>
      <c r="K1046" s="29"/>
      <c r="L1046" s="29"/>
      <c r="M1046" s="29"/>
      <c r="N1046" s="29"/>
      <c r="O1046" s="29"/>
      <c r="P1046" s="30">
        <f>SUM(J1046:O1046)</f>
        <v>0</v>
      </c>
      <c r="Q1046" s="31">
        <f t="shared" si="838"/>
        <v>0</v>
      </c>
    </row>
    <row r="1047" spans="1:17" x14ac:dyDescent="0.2">
      <c r="A1047" s="10"/>
      <c r="B1047" s="26"/>
      <c r="C1047" s="11">
        <v>1997</v>
      </c>
      <c r="D1047" s="32">
        <f>SPFI_CLB14!$D$20</f>
        <v>0.201487</v>
      </c>
      <c r="E1047" s="32"/>
      <c r="F1047" s="32"/>
      <c r="G1047" s="32"/>
      <c r="H1047" s="32"/>
      <c r="I1047" s="32"/>
      <c r="J1047" s="28">
        <f t="shared" ref="J1047" si="842">D1047*J$33</f>
        <v>0</v>
      </c>
      <c r="K1047" s="29"/>
      <c r="L1047" s="29"/>
      <c r="M1047" s="29"/>
      <c r="N1047" s="29"/>
      <c r="O1047" s="29"/>
      <c r="P1047" s="30">
        <f>SUM(J1047:O1047)</f>
        <v>0</v>
      </c>
      <c r="Q1047" s="31">
        <f t="shared" si="838"/>
        <v>0</v>
      </c>
    </row>
    <row r="1048" spans="1:17" x14ac:dyDescent="0.2">
      <c r="A1048" s="10"/>
      <c r="B1048" s="26"/>
      <c r="C1048" s="11">
        <v>1998</v>
      </c>
      <c r="D1048" s="32">
        <f>SPFI_CLB14!$D$21</f>
        <v>0.37506400000000001</v>
      </c>
      <c r="E1048" s="32"/>
      <c r="F1048" s="32"/>
      <c r="G1048" s="32"/>
      <c r="H1048" s="32"/>
      <c r="I1048" s="32"/>
      <c r="J1048" s="28">
        <f t="shared" ref="J1048" si="843">D1048*J$33</f>
        <v>0</v>
      </c>
      <c r="K1048" s="29"/>
      <c r="L1048" s="29"/>
      <c r="M1048" s="29"/>
      <c r="N1048" s="29"/>
      <c r="O1048" s="29"/>
      <c r="P1048" s="30">
        <f>SUM(J1048:O1048)</f>
        <v>0</v>
      </c>
      <c r="Q1048" s="31">
        <f t="shared" si="838"/>
        <v>0</v>
      </c>
    </row>
    <row r="1049" spans="1:17" x14ac:dyDescent="0.2">
      <c r="A1049" s="10"/>
      <c r="B1049" s="26"/>
      <c r="C1049" s="11">
        <v>1999</v>
      </c>
      <c r="D1049" s="32">
        <f>SPFI_CLB14!$D$22</f>
        <v>0.29823699999999997</v>
      </c>
      <c r="E1049" s="32"/>
      <c r="F1049" s="32"/>
      <c r="G1049" s="32"/>
      <c r="H1049" s="32"/>
      <c r="I1049" s="32"/>
      <c r="J1049" s="28">
        <f t="shared" ref="J1049" si="844">D1049*J$33</f>
        <v>0</v>
      </c>
      <c r="K1049" s="29"/>
      <c r="L1049" s="29"/>
      <c r="M1049" s="29"/>
      <c r="N1049" s="29"/>
      <c r="O1049" s="29"/>
      <c r="P1049" s="30">
        <f>SUM(J1049:O1049)</f>
        <v>0</v>
      </c>
      <c r="Q1049" s="31">
        <f t="shared" ref="Q1049:Q1054" si="845">IF(C$33&gt;0,P1049/C$33,0)</f>
        <v>0</v>
      </c>
    </row>
    <row r="1050" spans="1:17" x14ac:dyDescent="0.2">
      <c r="A1050" s="10"/>
      <c r="B1050" s="26"/>
      <c r="C1050" s="11">
        <v>2000</v>
      </c>
      <c r="D1050" s="32">
        <f>SPFI_CLB14!$D$23</f>
        <v>8.4414000000000003E-2</v>
      </c>
      <c r="E1050" s="32"/>
      <c r="F1050" s="32"/>
      <c r="G1050" s="32"/>
      <c r="H1050" s="32"/>
      <c r="I1050" s="32"/>
      <c r="J1050" s="28">
        <f t="shared" ref="J1050" si="846">D1050*J$33</f>
        <v>0</v>
      </c>
      <c r="K1050" s="29"/>
      <c r="L1050" s="29"/>
      <c r="M1050" s="29"/>
      <c r="N1050" s="29"/>
      <c r="O1050" s="29"/>
      <c r="P1050" s="30">
        <f t="shared" ref="P1050:P1055" si="847">SUM(J1050:O1050)</f>
        <v>0</v>
      </c>
      <c r="Q1050" s="31">
        <f t="shared" si="845"/>
        <v>0</v>
      </c>
    </row>
    <row r="1051" spans="1:17" x14ac:dyDescent="0.2">
      <c r="A1051" s="10"/>
      <c r="B1051" s="26"/>
      <c r="C1051" s="11">
        <v>2001</v>
      </c>
      <c r="D1051" s="32">
        <f>SPFI_CLB14!$D$24</f>
        <v>7.8909000000000007E-2</v>
      </c>
      <c r="E1051" s="32"/>
      <c r="F1051" s="32"/>
      <c r="G1051" s="32"/>
      <c r="H1051" s="32"/>
      <c r="I1051" s="32"/>
      <c r="J1051" s="28">
        <f t="shared" ref="J1051" si="848">D1051*J$33</f>
        <v>0</v>
      </c>
      <c r="K1051" s="29"/>
      <c r="L1051" s="29"/>
      <c r="M1051" s="29"/>
      <c r="N1051" s="29"/>
      <c r="O1051" s="29"/>
      <c r="P1051" s="30">
        <f t="shared" si="847"/>
        <v>0</v>
      </c>
      <c r="Q1051" s="31">
        <f t="shared" si="845"/>
        <v>0</v>
      </c>
    </row>
    <row r="1052" spans="1:17" x14ac:dyDescent="0.2">
      <c r="A1052" s="10"/>
      <c r="B1052" s="26"/>
      <c r="C1052" s="11">
        <v>2002</v>
      </c>
      <c r="D1052" s="32">
        <f>SPFI_CLB14!$D$25</f>
        <v>0.29974699999999999</v>
      </c>
      <c r="E1052" s="32"/>
      <c r="F1052" s="32"/>
      <c r="G1052" s="32"/>
      <c r="H1052" s="32"/>
      <c r="I1052" s="32"/>
      <c r="J1052" s="28">
        <f t="shared" ref="J1052" si="849">D1052*J$33</f>
        <v>0</v>
      </c>
      <c r="K1052" s="29"/>
      <c r="L1052" s="29"/>
      <c r="M1052" s="29"/>
      <c r="N1052" s="29"/>
      <c r="O1052" s="29"/>
      <c r="P1052" s="30">
        <f t="shared" si="847"/>
        <v>0</v>
      </c>
      <c r="Q1052" s="31">
        <f t="shared" si="845"/>
        <v>0</v>
      </c>
    </row>
    <row r="1053" spans="1:17" x14ac:dyDescent="0.2">
      <c r="A1053" s="10"/>
      <c r="B1053" s="26"/>
      <c r="C1053" s="11">
        <v>2003</v>
      </c>
      <c r="D1053" s="32">
        <f>SPFI_CLB14!$D$26</f>
        <v>0.20691100000000001</v>
      </c>
      <c r="E1053" s="32"/>
      <c r="F1053" s="32"/>
      <c r="G1053" s="32"/>
      <c r="H1053" s="32"/>
      <c r="I1053" s="32"/>
      <c r="J1053" s="28">
        <f t="shared" ref="J1053" si="850">D1053*J$33</f>
        <v>0</v>
      </c>
      <c r="K1053" s="29"/>
      <c r="L1053" s="29"/>
      <c r="M1053" s="29"/>
      <c r="N1053" s="29"/>
      <c r="O1053" s="29"/>
      <c r="P1053" s="30">
        <f t="shared" si="847"/>
        <v>0</v>
      </c>
      <c r="Q1053" s="31">
        <f t="shared" si="845"/>
        <v>0</v>
      </c>
    </row>
    <row r="1054" spans="1:17" x14ac:dyDescent="0.2">
      <c r="A1054" s="10"/>
      <c r="B1054" s="26"/>
      <c r="C1054" s="11">
        <v>2004</v>
      </c>
      <c r="D1054" s="32">
        <f>SPFI_CLB14!$D$27</f>
        <v>0.269237</v>
      </c>
      <c r="E1054" s="32"/>
      <c r="F1054" s="32"/>
      <c r="G1054" s="32"/>
      <c r="H1054" s="32"/>
      <c r="I1054" s="32"/>
      <c r="J1054" s="28">
        <f t="shared" ref="J1054" si="851">D1054*J$33</f>
        <v>0</v>
      </c>
      <c r="K1054" s="29"/>
      <c r="L1054" s="29"/>
      <c r="M1054" s="29"/>
      <c r="N1054" s="29"/>
      <c r="O1054" s="29"/>
      <c r="P1054" s="30">
        <f t="shared" si="847"/>
        <v>0</v>
      </c>
      <c r="Q1054" s="31">
        <f t="shared" si="845"/>
        <v>0</v>
      </c>
    </row>
    <row r="1055" spans="1:17" x14ac:dyDescent="0.2">
      <c r="A1055" s="10"/>
      <c r="B1055" s="26"/>
      <c r="C1055" s="11">
        <v>2005</v>
      </c>
      <c r="D1055" s="32">
        <f>SPFI_CLB14!$D$28</f>
        <v>0.37848700000000002</v>
      </c>
      <c r="E1055" s="32"/>
      <c r="F1055" s="32"/>
      <c r="G1055" s="32"/>
      <c r="H1055" s="32"/>
      <c r="I1055" s="32"/>
      <c r="J1055" s="28">
        <f t="shared" ref="J1055" si="852">D1055*J$33</f>
        <v>0</v>
      </c>
      <c r="K1055" s="29"/>
      <c r="L1055" s="29"/>
      <c r="M1055" s="29"/>
      <c r="N1055" s="29"/>
      <c r="O1055" s="29"/>
      <c r="P1055" s="30">
        <f t="shared" si="847"/>
        <v>0</v>
      </c>
      <c r="Q1055" s="31">
        <f t="shared" ref="Q1055:Q1060" si="853">IF(C$33&gt;0,P1055/C$33,0)</f>
        <v>0</v>
      </c>
    </row>
    <row r="1056" spans="1:17" x14ac:dyDescent="0.2">
      <c r="A1056" s="10"/>
      <c r="B1056" s="26"/>
      <c r="C1056" s="11">
        <v>2006</v>
      </c>
      <c r="D1056" s="32">
        <f>SPFI_CLB14!$D$29</f>
        <v>0.381023</v>
      </c>
      <c r="E1056" s="32"/>
      <c r="F1056" s="32"/>
      <c r="G1056" s="32"/>
      <c r="H1056" s="32"/>
      <c r="I1056" s="32"/>
      <c r="J1056" s="28">
        <f t="shared" ref="J1056" si="854">D1056*J$33</f>
        <v>0</v>
      </c>
      <c r="K1056" s="29"/>
      <c r="L1056" s="29"/>
      <c r="M1056" s="29"/>
      <c r="N1056" s="29"/>
      <c r="O1056" s="29"/>
      <c r="P1056" s="30">
        <f t="shared" ref="P1056:P1063" si="855">SUM(J1056:O1056)</f>
        <v>0</v>
      </c>
      <c r="Q1056" s="31">
        <f t="shared" si="853"/>
        <v>0</v>
      </c>
    </row>
    <row r="1057" spans="1:17" x14ac:dyDescent="0.2">
      <c r="A1057" s="10"/>
      <c r="B1057" s="26"/>
      <c r="C1057" s="11">
        <v>2007</v>
      </c>
      <c r="D1057" s="32">
        <f>SPFI_CLB14!$D$30</f>
        <v>0.356512</v>
      </c>
      <c r="E1057" s="32"/>
      <c r="F1057" s="32"/>
      <c r="G1057" s="32"/>
      <c r="H1057" s="32"/>
      <c r="I1057" s="32"/>
      <c r="J1057" s="28">
        <f t="shared" ref="J1057" si="856">D1057*J$33</f>
        <v>0</v>
      </c>
      <c r="K1057" s="29"/>
      <c r="L1057" s="29"/>
      <c r="M1057" s="29"/>
      <c r="N1057" s="29"/>
      <c r="O1057" s="29"/>
      <c r="P1057" s="30">
        <f t="shared" si="855"/>
        <v>0</v>
      </c>
      <c r="Q1057" s="31">
        <f t="shared" si="853"/>
        <v>0</v>
      </c>
    </row>
    <row r="1058" spans="1:17" x14ac:dyDescent="0.2">
      <c r="A1058" s="10"/>
      <c r="B1058" s="26"/>
      <c r="C1058" s="11">
        <v>2008</v>
      </c>
      <c r="D1058" s="32">
        <f>SPFI_CLB14!$D$31</f>
        <v>0.25494499999999998</v>
      </c>
      <c r="E1058" s="32"/>
      <c r="F1058" s="32"/>
      <c r="G1058" s="32"/>
      <c r="H1058" s="32"/>
      <c r="I1058" s="32"/>
      <c r="J1058" s="28">
        <f t="shared" ref="J1058" si="857">D1058*J$33</f>
        <v>0</v>
      </c>
      <c r="K1058" s="29"/>
      <c r="L1058" s="29"/>
      <c r="M1058" s="29"/>
      <c r="N1058" s="29"/>
      <c r="O1058" s="29"/>
      <c r="P1058" s="30">
        <f t="shared" si="855"/>
        <v>0</v>
      </c>
      <c r="Q1058" s="31">
        <f t="shared" si="853"/>
        <v>0</v>
      </c>
    </row>
    <row r="1059" spans="1:17" x14ac:dyDescent="0.2">
      <c r="A1059" s="10"/>
      <c r="B1059" s="26"/>
      <c r="C1059" s="11">
        <v>2009</v>
      </c>
      <c r="D1059" s="32">
        <f>SPFI_CLB14!$D$32</f>
        <v>0.52383000000000002</v>
      </c>
      <c r="E1059" s="32"/>
      <c r="F1059" s="32"/>
      <c r="G1059" s="32"/>
      <c r="H1059" s="32"/>
      <c r="I1059" s="32"/>
      <c r="J1059" s="28">
        <f t="shared" ref="J1059" si="858">D1059*J$33</f>
        <v>0</v>
      </c>
      <c r="K1059" s="29"/>
      <c r="L1059" s="29"/>
      <c r="M1059" s="29"/>
      <c r="N1059" s="29"/>
      <c r="O1059" s="29"/>
      <c r="P1059" s="30">
        <f t="shared" si="855"/>
        <v>0</v>
      </c>
      <c r="Q1059" s="31">
        <f t="shared" si="853"/>
        <v>0</v>
      </c>
    </row>
    <row r="1060" spans="1:17" x14ac:dyDescent="0.2">
      <c r="A1060" s="10"/>
      <c r="B1060" s="26"/>
      <c r="C1060" s="11">
        <v>2010</v>
      </c>
      <c r="D1060" s="32">
        <f>SPFI_CLB14!$D$33</f>
        <v>0.31394</v>
      </c>
      <c r="E1060" s="32"/>
      <c r="F1060" s="32"/>
      <c r="G1060" s="32"/>
      <c r="H1060" s="32"/>
      <c r="I1060" s="32"/>
      <c r="J1060" s="28">
        <f t="shared" ref="J1060" si="859">D1060*J$33</f>
        <v>0</v>
      </c>
      <c r="K1060" s="29"/>
      <c r="L1060" s="29"/>
      <c r="M1060" s="29"/>
      <c r="N1060" s="29"/>
      <c r="O1060" s="29"/>
      <c r="P1060" s="30">
        <f t="shared" si="855"/>
        <v>0</v>
      </c>
      <c r="Q1060" s="31">
        <f t="shared" si="853"/>
        <v>0</v>
      </c>
    </row>
    <row r="1061" spans="1:17" x14ac:dyDescent="0.2">
      <c r="A1061" s="10"/>
      <c r="B1061" s="26"/>
      <c r="C1061" s="11">
        <v>2011</v>
      </c>
      <c r="D1061" s="32">
        <f>SPFI_CLB14!$D$34</f>
        <v>0.294348</v>
      </c>
      <c r="E1061" s="32"/>
      <c r="F1061" s="32"/>
      <c r="G1061" s="32"/>
      <c r="H1061" s="32"/>
      <c r="I1061" s="32"/>
      <c r="J1061" s="28">
        <f t="shared" ref="J1061" si="860">D1061*J$33</f>
        <v>0</v>
      </c>
      <c r="K1061" s="29"/>
      <c r="L1061" s="29"/>
      <c r="M1061" s="29"/>
      <c r="N1061" s="29"/>
      <c r="O1061" s="29"/>
      <c r="P1061" s="30">
        <f t="shared" ref="P1061" si="861">SUM(J1061:O1061)</f>
        <v>0</v>
      </c>
      <c r="Q1061" s="31">
        <f t="shared" ref="Q1061" si="862">IF(C$33&gt;0,P1061/C$33,0)</f>
        <v>0</v>
      </c>
    </row>
    <row r="1062" spans="1:17" x14ac:dyDescent="0.2">
      <c r="A1062" s="10"/>
      <c r="B1062" s="26"/>
      <c r="C1062" s="11">
        <v>2012</v>
      </c>
      <c r="D1062" s="32">
        <f>SPFI_CLB14!$D$35</f>
        <v>0.34784100000000001</v>
      </c>
      <c r="E1062" s="32"/>
      <c r="F1062" s="32"/>
      <c r="G1062" s="32"/>
      <c r="H1062" s="32"/>
      <c r="I1062" s="32"/>
      <c r="J1062" s="28">
        <f t="shared" ref="J1062" si="863">D1062*J$33</f>
        <v>0</v>
      </c>
      <c r="K1062" s="29"/>
      <c r="L1062" s="29"/>
      <c r="M1062" s="29"/>
      <c r="N1062" s="29"/>
      <c r="O1062" s="29"/>
      <c r="P1062" s="30">
        <f t="shared" ref="P1062" si="864">SUM(J1062:O1062)</f>
        <v>0</v>
      </c>
      <c r="Q1062" s="31">
        <f t="shared" ref="Q1062" si="865">IF(C$33&gt;0,P1062/C$33,0)</f>
        <v>0</v>
      </c>
    </row>
    <row r="1063" spans="1:17" x14ac:dyDescent="0.2">
      <c r="A1063" s="5" t="s">
        <v>13</v>
      </c>
      <c r="B1063" s="21">
        <v>4</v>
      </c>
      <c r="C1063" s="6">
        <v>1982</v>
      </c>
      <c r="D1063" s="27">
        <f>SPFI_CLB14!$D$5</f>
        <v>0.98153299999999999</v>
      </c>
      <c r="E1063" s="27"/>
      <c r="F1063" s="27"/>
      <c r="G1063" s="27"/>
      <c r="H1063" s="27"/>
      <c r="I1063" s="27"/>
      <c r="J1063" s="33">
        <f t="shared" ref="J1063:J1075" si="866">D1063*J$34</f>
        <v>0</v>
      </c>
      <c r="K1063" s="27"/>
      <c r="L1063" s="27"/>
      <c r="M1063" s="27"/>
      <c r="N1063" s="27"/>
      <c r="O1063" s="27"/>
      <c r="P1063" s="34">
        <f t="shared" si="855"/>
        <v>0</v>
      </c>
      <c r="Q1063" s="35">
        <f t="shared" ref="Q1063:Q1079" si="867">IF(C$34&gt;0,P1063/C$34,0)</f>
        <v>0</v>
      </c>
    </row>
    <row r="1064" spans="1:17" x14ac:dyDescent="0.2">
      <c r="A1064" s="10"/>
      <c r="B1064" s="26"/>
      <c r="C1064" s="11">
        <v>1983</v>
      </c>
      <c r="D1064" s="32">
        <f>SPFI_CLB14!$D$6</f>
        <v>0.93659899999999996</v>
      </c>
      <c r="E1064" s="32"/>
      <c r="F1064" s="32"/>
      <c r="G1064" s="32"/>
      <c r="H1064" s="32"/>
      <c r="I1064" s="32"/>
      <c r="J1064" s="28">
        <f t="shared" si="866"/>
        <v>0</v>
      </c>
      <c r="K1064" s="29"/>
      <c r="L1064" s="29"/>
      <c r="M1064" s="29"/>
      <c r="N1064" s="29"/>
      <c r="O1064" s="29"/>
      <c r="P1064" s="30">
        <f t="shared" ref="P1064:P1075" si="868">SUM(J1064:O1064)</f>
        <v>0</v>
      </c>
      <c r="Q1064" s="31">
        <f t="shared" si="867"/>
        <v>0</v>
      </c>
    </row>
    <row r="1065" spans="1:17" x14ac:dyDescent="0.2">
      <c r="A1065" s="10"/>
      <c r="B1065" s="26"/>
      <c r="C1065" s="11">
        <v>1984</v>
      </c>
      <c r="D1065" s="32">
        <f>SPFI_CLB14!$D$7</f>
        <v>0.92793599999999998</v>
      </c>
      <c r="E1065" s="32"/>
      <c r="F1065" s="32"/>
      <c r="G1065" s="32"/>
      <c r="H1065" s="32"/>
      <c r="I1065" s="32"/>
      <c r="J1065" s="28">
        <f t="shared" si="866"/>
        <v>0</v>
      </c>
      <c r="K1065" s="29"/>
      <c r="L1065" s="29"/>
      <c r="M1065" s="29"/>
      <c r="N1065" s="29"/>
      <c r="O1065" s="29"/>
      <c r="P1065" s="30">
        <f t="shared" si="868"/>
        <v>0</v>
      </c>
      <c r="Q1065" s="31">
        <f t="shared" si="867"/>
        <v>0</v>
      </c>
    </row>
    <row r="1066" spans="1:17" x14ac:dyDescent="0.2">
      <c r="A1066" s="10"/>
      <c r="B1066" s="26"/>
      <c r="C1066" s="11">
        <v>1985</v>
      </c>
      <c r="D1066" s="32">
        <f>SPFI_CLB14!$D$8</f>
        <v>0.90386500000000003</v>
      </c>
      <c r="E1066" s="32"/>
      <c r="F1066" s="32"/>
      <c r="G1066" s="32"/>
      <c r="H1066" s="32"/>
      <c r="I1066" s="32"/>
      <c r="J1066" s="28">
        <f t="shared" si="866"/>
        <v>0</v>
      </c>
      <c r="K1066" s="29"/>
      <c r="L1066" s="29"/>
      <c r="M1066" s="29"/>
      <c r="N1066" s="29"/>
      <c r="O1066" s="29"/>
      <c r="P1066" s="30">
        <f t="shared" si="868"/>
        <v>0</v>
      </c>
      <c r="Q1066" s="31">
        <f t="shared" si="867"/>
        <v>0</v>
      </c>
    </row>
    <row r="1067" spans="1:17" x14ac:dyDescent="0.2">
      <c r="A1067" s="10"/>
      <c r="B1067" s="26"/>
      <c r="C1067" s="11">
        <v>1986</v>
      </c>
      <c r="D1067" s="32">
        <f>SPFI_CLB14!$D$9</f>
        <v>0.73087500000000005</v>
      </c>
      <c r="E1067" s="32"/>
      <c r="F1067" s="32"/>
      <c r="G1067" s="32"/>
      <c r="H1067" s="32"/>
      <c r="I1067" s="32"/>
      <c r="J1067" s="28">
        <f t="shared" si="866"/>
        <v>0</v>
      </c>
      <c r="K1067" s="29"/>
      <c r="L1067" s="29"/>
      <c r="M1067" s="29"/>
      <c r="N1067" s="29"/>
      <c r="O1067" s="29"/>
      <c r="P1067" s="30">
        <f t="shared" si="868"/>
        <v>0</v>
      </c>
      <c r="Q1067" s="31">
        <f t="shared" si="867"/>
        <v>0</v>
      </c>
    </row>
    <row r="1068" spans="1:17" x14ac:dyDescent="0.2">
      <c r="A1068" s="10"/>
      <c r="B1068" s="26"/>
      <c r="C1068" s="11">
        <v>1987</v>
      </c>
      <c r="D1068" s="32">
        <f>SPFI_CLB14!$D$10</f>
        <v>0.71733499999999994</v>
      </c>
      <c r="E1068" s="32"/>
      <c r="F1068" s="32"/>
      <c r="G1068" s="32"/>
      <c r="H1068" s="32"/>
      <c r="I1068" s="32"/>
      <c r="J1068" s="28">
        <f t="shared" si="866"/>
        <v>0</v>
      </c>
      <c r="K1068" s="29"/>
      <c r="L1068" s="29"/>
      <c r="M1068" s="29"/>
      <c r="N1068" s="29"/>
      <c r="O1068" s="29"/>
      <c r="P1068" s="30">
        <f t="shared" si="868"/>
        <v>0</v>
      </c>
      <c r="Q1068" s="31">
        <f t="shared" si="867"/>
        <v>0</v>
      </c>
    </row>
    <row r="1069" spans="1:17" x14ac:dyDescent="0.2">
      <c r="A1069" s="10"/>
      <c r="B1069" s="26"/>
      <c r="C1069" s="11">
        <v>1988</v>
      </c>
      <c r="D1069" s="32">
        <f>SPFI_CLB14!$D$11</f>
        <v>0.64558800000000005</v>
      </c>
      <c r="E1069" s="32"/>
      <c r="F1069" s="32"/>
      <c r="G1069" s="32"/>
      <c r="H1069" s="32"/>
      <c r="I1069" s="32"/>
      <c r="J1069" s="28">
        <f t="shared" si="866"/>
        <v>0</v>
      </c>
      <c r="K1069" s="29"/>
      <c r="L1069" s="29"/>
      <c r="M1069" s="29"/>
      <c r="N1069" s="29"/>
      <c r="O1069" s="29"/>
      <c r="P1069" s="30">
        <f t="shared" si="868"/>
        <v>0</v>
      </c>
      <c r="Q1069" s="31">
        <f t="shared" si="867"/>
        <v>0</v>
      </c>
    </row>
    <row r="1070" spans="1:17" x14ac:dyDescent="0.2">
      <c r="A1070" s="10"/>
      <c r="B1070" s="26"/>
      <c r="C1070" s="11">
        <v>1989</v>
      </c>
      <c r="D1070" s="32">
        <f>SPFI_CLB14!$D$12</f>
        <v>0.65287700000000004</v>
      </c>
      <c r="E1070" s="32"/>
      <c r="F1070" s="32"/>
      <c r="G1070" s="32"/>
      <c r="H1070" s="32"/>
      <c r="I1070" s="32"/>
      <c r="J1070" s="28">
        <f t="shared" si="866"/>
        <v>0</v>
      </c>
      <c r="K1070" s="29"/>
      <c r="L1070" s="29"/>
      <c r="M1070" s="29"/>
      <c r="N1070" s="29"/>
      <c r="O1070" s="29"/>
      <c r="P1070" s="30">
        <f t="shared" si="868"/>
        <v>0</v>
      </c>
      <c r="Q1070" s="31">
        <f t="shared" si="867"/>
        <v>0</v>
      </c>
    </row>
    <row r="1071" spans="1:17" x14ac:dyDescent="0.2">
      <c r="A1071" s="10"/>
      <c r="B1071" s="26"/>
      <c r="C1071" s="11">
        <v>1990</v>
      </c>
      <c r="D1071" s="32">
        <f>SPFI_CLB14!$D$13</f>
        <v>0.56965100000000002</v>
      </c>
      <c r="E1071" s="32"/>
      <c r="F1071" s="32"/>
      <c r="G1071" s="32"/>
      <c r="H1071" s="32"/>
      <c r="I1071" s="32"/>
      <c r="J1071" s="28">
        <f t="shared" si="866"/>
        <v>0</v>
      </c>
      <c r="K1071" s="29"/>
      <c r="L1071" s="29"/>
      <c r="M1071" s="29"/>
      <c r="N1071" s="29"/>
      <c r="O1071" s="29"/>
      <c r="P1071" s="30">
        <f t="shared" si="868"/>
        <v>0</v>
      </c>
      <c r="Q1071" s="31">
        <f t="shared" si="867"/>
        <v>0</v>
      </c>
    </row>
    <row r="1072" spans="1:17" x14ac:dyDescent="0.2">
      <c r="A1072" s="10"/>
      <c r="B1072" s="26"/>
      <c r="C1072" s="11">
        <v>1991</v>
      </c>
      <c r="D1072" s="32">
        <f>SPFI_CLB14!$D$14</f>
        <v>0.62776900000000002</v>
      </c>
      <c r="E1072" s="32"/>
      <c r="F1072" s="32"/>
      <c r="G1072" s="32"/>
      <c r="H1072" s="32"/>
      <c r="I1072" s="32"/>
      <c r="J1072" s="28">
        <f t="shared" si="866"/>
        <v>0</v>
      </c>
      <c r="K1072" s="29"/>
      <c r="L1072" s="29"/>
      <c r="M1072" s="29"/>
      <c r="N1072" s="29"/>
      <c r="O1072" s="29"/>
      <c r="P1072" s="30">
        <f t="shared" si="868"/>
        <v>0</v>
      </c>
      <c r="Q1072" s="31">
        <f t="shared" si="867"/>
        <v>0</v>
      </c>
    </row>
    <row r="1073" spans="1:17" x14ac:dyDescent="0.2">
      <c r="A1073" s="10"/>
      <c r="B1073" s="26"/>
      <c r="C1073" s="11">
        <v>1992</v>
      </c>
      <c r="D1073" s="32">
        <f>SPFI_CLB14!$D$15</f>
        <v>0.43504100000000001</v>
      </c>
      <c r="E1073" s="32"/>
      <c r="F1073" s="32"/>
      <c r="G1073" s="32"/>
      <c r="H1073" s="32"/>
      <c r="I1073" s="32"/>
      <c r="J1073" s="28">
        <f t="shared" si="866"/>
        <v>0</v>
      </c>
      <c r="K1073" s="29"/>
      <c r="L1073" s="29"/>
      <c r="M1073" s="29"/>
      <c r="N1073" s="29"/>
      <c r="O1073" s="29"/>
      <c r="P1073" s="30">
        <f t="shared" si="868"/>
        <v>0</v>
      </c>
      <c r="Q1073" s="31">
        <f t="shared" si="867"/>
        <v>0</v>
      </c>
    </row>
    <row r="1074" spans="1:17" x14ac:dyDescent="0.2">
      <c r="A1074" s="10"/>
      <c r="B1074" s="26"/>
      <c r="C1074" s="11">
        <v>1993</v>
      </c>
      <c r="D1074" s="32">
        <f>SPFI_CLB14!$D$16</f>
        <v>0.499164</v>
      </c>
      <c r="E1074" s="32"/>
      <c r="F1074" s="32"/>
      <c r="G1074" s="32"/>
      <c r="H1074" s="32"/>
      <c r="I1074" s="32"/>
      <c r="J1074" s="28">
        <f t="shared" si="866"/>
        <v>0</v>
      </c>
      <c r="K1074" s="29"/>
      <c r="L1074" s="29"/>
      <c r="M1074" s="29"/>
      <c r="N1074" s="29"/>
      <c r="O1074" s="29"/>
      <c r="P1074" s="30">
        <f t="shared" si="868"/>
        <v>0</v>
      </c>
      <c r="Q1074" s="31">
        <f t="shared" si="867"/>
        <v>0</v>
      </c>
    </row>
    <row r="1075" spans="1:17" x14ac:dyDescent="0.2">
      <c r="A1075" s="10"/>
      <c r="B1075" s="26"/>
      <c r="C1075" s="11">
        <v>1994</v>
      </c>
      <c r="D1075" s="32">
        <f>SPFI_CLB14!$D$17</f>
        <v>0.59591300000000003</v>
      </c>
      <c r="E1075" s="32"/>
      <c r="F1075" s="32"/>
      <c r="G1075" s="32"/>
      <c r="H1075" s="32"/>
      <c r="I1075" s="32"/>
      <c r="J1075" s="28">
        <f t="shared" si="866"/>
        <v>0</v>
      </c>
      <c r="K1075" s="29"/>
      <c r="L1075" s="29"/>
      <c r="M1075" s="29"/>
      <c r="N1075" s="29"/>
      <c r="O1075" s="29"/>
      <c r="P1075" s="30">
        <f t="shared" si="868"/>
        <v>0</v>
      </c>
      <c r="Q1075" s="31">
        <f t="shared" si="867"/>
        <v>0</v>
      </c>
    </row>
    <row r="1076" spans="1:17" x14ac:dyDescent="0.2">
      <c r="A1076" s="10"/>
      <c r="B1076" s="26"/>
      <c r="C1076" s="11">
        <v>1995</v>
      </c>
      <c r="D1076" s="32">
        <f>SPFI_CLB14!$D$18</f>
        <v>0.25400800000000001</v>
      </c>
      <c r="E1076" s="32"/>
      <c r="F1076" s="32"/>
      <c r="G1076" s="32"/>
      <c r="H1076" s="32"/>
      <c r="I1076" s="32"/>
      <c r="J1076" s="28">
        <f t="shared" ref="J1076" si="869">D1076*J$34</f>
        <v>0</v>
      </c>
      <c r="K1076" s="29"/>
      <c r="L1076" s="29"/>
      <c r="M1076" s="29"/>
      <c r="N1076" s="29"/>
      <c r="O1076" s="29"/>
      <c r="P1076" s="30">
        <f>SUM(J1076:O1076)</f>
        <v>0</v>
      </c>
      <c r="Q1076" s="31">
        <f t="shared" si="867"/>
        <v>0</v>
      </c>
    </row>
    <row r="1077" spans="1:17" x14ac:dyDescent="0.2">
      <c r="A1077" s="10"/>
      <c r="B1077" s="26"/>
      <c r="C1077" s="11">
        <v>1996</v>
      </c>
      <c r="D1077" s="32">
        <f>SPFI_CLB14!$D$19</f>
        <v>0</v>
      </c>
      <c r="E1077" s="32"/>
      <c r="F1077" s="32"/>
      <c r="G1077" s="32"/>
      <c r="H1077" s="32"/>
      <c r="I1077" s="32"/>
      <c r="J1077" s="28">
        <f t="shared" ref="J1077" si="870">D1077*J$34</f>
        <v>0</v>
      </c>
      <c r="K1077" s="29"/>
      <c r="L1077" s="29"/>
      <c r="M1077" s="29"/>
      <c r="N1077" s="29"/>
      <c r="O1077" s="29"/>
      <c r="P1077" s="30">
        <f>SUM(J1077:O1077)</f>
        <v>0</v>
      </c>
      <c r="Q1077" s="31">
        <f t="shared" si="867"/>
        <v>0</v>
      </c>
    </row>
    <row r="1078" spans="1:17" x14ac:dyDescent="0.2">
      <c r="A1078" s="10"/>
      <c r="B1078" s="26"/>
      <c r="C1078" s="11">
        <v>1997</v>
      </c>
      <c r="D1078" s="32">
        <f>SPFI_CLB14!$D$20</f>
        <v>0.201487</v>
      </c>
      <c r="E1078" s="32"/>
      <c r="F1078" s="32"/>
      <c r="G1078" s="32"/>
      <c r="H1078" s="32"/>
      <c r="I1078" s="32"/>
      <c r="J1078" s="28">
        <f t="shared" ref="J1078" si="871">D1078*J$34</f>
        <v>0</v>
      </c>
      <c r="K1078" s="29"/>
      <c r="L1078" s="29"/>
      <c r="M1078" s="29"/>
      <c r="N1078" s="29"/>
      <c r="O1078" s="29"/>
      <c r="P1078" s="30">
        <f>SUM(J1078:O1078)</f>
        <v>0</v>
      </c>
      <c r="Q1078" s="31">
        <f t="shared" si="867"/>
        <v>0</v>
      </c>
    </row>
    <row r="1079" spans="1:17" x14ac:dyDescent="0.2">
      <c r="A1079" s="10"/>
      <c r="B1079" s="26"/>
      <c r="C1079" s="11">
        <v>1998</v>
      </c>
      <c r="D1079" s="32">
        <f>SPFI_CLB14!$D$21</f>
        <v>0.37506400000000001</v>
      </c>
      <c r="E1079" s="32"/>
      <c r="F1079" s="32"/>
      <c r="G1079" s="32"/>
      <c r="H1079" s="32"/>
      <c r="I1079" s="32"/>
      <c r="J1079" s="28">
        <f t="shared" ref="J1079" si="872">D1079*J$34</f>
        <v>0</v>
      </c>
      <c r="K1079" s="29"/>
      <c r="L1079" s="29"/>
      <c r="M1079" s="29"/>
      <c r="N1079" s="29"/>
      <c r="O1079" s="29"/>
      <c r="P1079" s="30">
        <f>SUM(J1079:O1079)</f>
        <v>0</v>
      </c>
      <c r="Q1079" s="31">
        <f t="shared" si="867"/>
        <v>0</v>
      </c>
    </row>
    <row r="1080" spans="1:17" x14ac:dyDescent="0.2">
      <c r="A1080" s="10"/>
      <c r="B1080" s="26"/>
      <c r="C1080" s="11">
        <v>1999</v>
      </c>
      <c r="D1080" s="32">
        <f>SPFI_CLB14!$D$22</f>
        <v>0.29823699999999997</v>
      </c>
      <c r="E1080" s="32"/>
      <c r="F1080" s="32"/>
      <c r="G1080" s="32"/>
      <c r="H1080" s="32"/>
      <c r="I1080" s="32"/>
      <c r="J1080" s="28">
        <f t="shared" ref="J1080" si="873">D1080*J$34</f>
        <v>0</v>
      </c>
      <c r="K1080" s="29"/>
      <c r="L1080" s="29"/>
      <c r="M1080" s="29"/>
      <c r="N1080" s="29"/>
      <c r="O1080" s="29"/>
      <c r="P1080" s="30">
        <f>SUM(J1080:O1080)</f>
        <v>0</v>
      </c>
      <c r="Q1080" s="31">
        <f t="shared" ref="Q1080:Q1085" si="874">IF(C$34&gt;0,P1080/C$34,0)</f>
        <v>0</v>
      </c>
    </row>
    <row r="1081" spans="1:17" x14ac:dyDescent="0.2">
      <c r="A1081" s="10"/>
      <c r="B1081" s="26"/>
      <c r="C1081" s="11">
        <v>2000</v>
      </c>
      <c r="D1081" s="32">
        <f>SPFI_CLB14!$D$23</f>
        <v>8.4414000000000003E-2</v>
      </c>
      <c r="E1081" s="32"/>
      <c r="F1081" s="32"/>
      <c r="G1081" s="32"/>
      <c r="H1081" s="32"/>
      <c r="I1081" s="32"/>
      <c r="J1081" s="28">
        <f t="shared" ref="J1081" si="875">D1081*J$34</f>
        <v>0</v>
      </c>
      <c r="K1081" s="29"/>
      <c r="L1081" s="29"/>
      <c r="M1081" s="29"/>
      <c r="N1081" s="29"/>
      <c r="O1081" s="29"/>
      <c r="P1081" s="30">
        <f t="shared" ref="P1081:P1086" si="876">SUM(J1081:O1081)</f>
        <v>0</v>
      </c>
      <c r="Q1081" s="31">
        <f t="shared" si="874"/>
        <v>0</v>
      </c>
    </row>
    <row r="1082" spans="1:17" x14ac:dyDescent="0.2">
      <c r="A1082" s="10"/>
      <c r="B1082" s="26"/>
      <c r="C1082" s="11">
        <v>2001</v>
      </c>
      <c r="D1082" s="32">
        <f>SPFI_CLB14!$D$24</f>
        <v>7.8909000000000007E-2</v>
      </c>
      <c r="E1082" s="32"/>
      <c r="F1082" s="32"/>
      <c r="G1082" s="32"/>
      <c r="H1082" s="32"/>
      <c r="I1082" s="32"/>
      <c r="J1082" s="28">
        <f t="shared" ref="J1082" si="877">D1082*J$34</f>
        <v>0</v>
      </c>
      <c r="K1082" s="29"/>
      <c r="L1082" s="29"/>
      <c r="M1082" s="29"/>
      <c r="N1082" s="29"/>
      <c r="O1082" s="29"/>
      <c r="P1082" s="30">
        <f t="shared" si="876"/>
        <v>0</v>
      </c>
      <c r="Q1082" s="31">
        <f t="shared" si="874"/>
        <v>0</v>
      </c>
    </row>
    <row r="1083" spans="1:17" x14ac:dyDescent="0.2">
      <c r="A1083" s="10"/>
      <c r="B1083" s="26"/>
      <c r="C1083" s="11">
        <v>2002</v>
      </c>
      <c r="D1083" s="32">
        <f>SPFI_CLB14!$D$25</f>
        <v>0.29974699999999999</v>
      </c>
      <c r="E1083" s="32"/>
      <c r="F1083" s="32"/>
      <c r="G1083" s="32"/>
      <c r="H1083" s="32"/>
      <c r="I1083" s="32"/>
      <c r="J1083" s="28">
        <f t="shared" ref="J1083" si="878">D1083*J$34</f>
        <v>0</v>
      </c>
      <c r="K1083" s="29"/>
      <c r="L1083" s="29"/>
      <c r="M1083" s="29"/>
      <c r="N1083" s="29"/>
      <c r="O1083" s="29"/>
      <c r="P1083" s="30">
        <f t="shared" si="876"/>
        <v>0</v>
      </c>
      <c r="Q1083" s="31">
        <f t="shared" si="874"/>
        <v>0</v>
      </c>
    </row>
    <row r="1084" spans="1:17" x14ac:dyDescent="0.2">
      <c r="A1084" s="10"/>
      <c r="B1084" s="26"/>
      <c r="C1084" s="11">
        <v>2003</v>
      </c>
      <c r="D1084" s="32">
        <f>SPFI_CLB14!$D$26</f>
        <v>0.20691100000000001</v>
      </c>
      <c r="E1084" s="32"/>
      <c r="F1084" s="32"/>
      <c r="G1084" s="32"/>
      <c r="H1084" s="32"/>
      <c r="I1084" s="32"/>
      <c r="J1084" s="28">
        <f t="shared" ref="J1084" si="879">D1084*J$34</f>
        <v>0</v>
      </c>
      <c r="K1084" s="29"/>
      <c r="L1084" s="29"/>
      <c r="M1084" s="29"/>
      <c r="N1084" s="29"/>
      <c r="O1084" s="29"/>
      <c r="P1084" s="30">
        <f t="shared" si="876"/>
        <v>0</v>
      </c>
      <c r="Q1084" s="31">
        <f t="shared" si="874"/>
        <v>0</v>
      </c>
    </row>
    <row r="1085" spans="1:17" x14ac:dyDescent="0.2">
      <c r="A1085" s="10"/>
      <c r="B1085" s="26"/>
      <c r="C1085" s="11">
        <v>2004</v>
      </c>
      <c r="D1085" s="32">
        <f>SPFI_CLB14!$D$27</f>
        <v>0.269237</v>
      </c>
      <c r="E1085" s="32"/>
      <c r="F1085" s="32"/>
      <c r="G1085" s="32"/>
      <c r="H1085" s="32"/>
      <c r="I1085" s="32"/>
      <c r="J1085" s="28">
        <f t="shared" ref="J1085" si="880">D1085*J$34</f>
        <v>0</v>
      </c>
      <c r="K1085" s="29"/>
      <c r="L1085" s="29"/>
      <c r="M1085" s="29"/>
      <c r="N1085" s="29"/>
      <c r="O1085" s="29"/>
      <c r="P1085" s="30">
        <f t="shared" si="876"/>
        <v>0</v>
      </c>
      <c r="Q1085" s="31">
        <f t="shared" si="874"/>
        <v>0</v>
      </c>
    </row>
    <row r="1086" spans="1:17" x14ac:dyDescent="0.2">
      <c r="A1086" s="10"/>
      <c r="B1086" s="26"/>
      <c r="C1086" s="11">
        <v>2005</v>
      </c>
      <c r="D1086" s="32">
        <f>SPFI_CLB14!$D$28</f>
        <v>0.37848700000000002</v>
      </c>
      <c r="E1086" s="32"/>
      <c r="F1086" s="32"/>
      <c r="G1086" s="32"/>
      <c r="H1086" s="32"/>
      <c r="I1086" s="32"/>
      <c r="J1086" s="28">
        <f t="shared" ref="J1086" si="881">D1086*J$34</f>
        <v>0</v>
      </c>
      <c r="K1086" s="29"/>
      <c r="L1086" s="29"/>
      <c r="M1086" s="29"/>
      <c r="N1086" s="29"/>
      <c r="O1086" s="29"/>
      <c r="P1086" s="30">
        <f t="shared" si="876"/>
        <v>0</v>
      </c>
      <c r="Q1086" s="31">
        <f t="shared" ref="Q1086:Q1091" si="882">IF(C$34&gt;0,P1086/C$34,0)</f>
        <v>0</v>
      </c>
    </row>
    <row r="1087" spans="1:17" x14ac:dyDescent="0.2">
      <c r="A1087" s="10"/>
      <c r="B1087" s="26"/>
      <c r="C1087" s="11">
        <v>2006</v>
      </c>
      <c r="D1087" s="32">
        <f>SPFI_CLB14!$D$29</f>
        <v>0.381023</v>
      </c>
      <c r="E1087" s="32"/>
      <c r="F1087" s="32"/>
      <c r="G1087" s="32"/>
      <c r="H1087" s="32"/>
      <c r="I1087" s="32"/>
      <c r="J1087" s="28">
        <f t="shared" ref="J1087" si="883">D1087*J$34</f>
        <v>0</v>
      </c>
      <c r="K1087" s="29"/>
      <c r="L1087" s="29"/>
      <c r="M1087" s="29"/>
      <c r="N1087" s="29"/>
      <c r="O1087" s="29"/>
      <c r="P1087" s="30">
        <f t="shared" ref="P1087:P1094" si="884">SUM(J1087:O1087)</f>
        <v>0</v>
      </c>
      <c r="Q1087" s="31">
        <f t="shared" si="882"/>
        <v>0</v>
      </c>
    </row>
    <row r="1088" spans="1:17" x14ac:dyDescent="0.2">
      <c r="A1088" s="10"/>
      <c r="B1088" s="26"/>
      <c r="C1088" s="11">
        <v>2007</v>
      </c>
      <c r="D1088" s="32">
        <f>SPFI_CLB14!$D$30</f>
        <v>0.356512</v>
      </c>
      <c r="E1088" s="32"/>
      <c r="F1088" s="32"/>
      <c r="G1088" s="32"/>
      <c r="H1088" s="32"/>
      <c r="I1088" s="32"/>
      <c r="J1088" s="28">
        <f t="shared" ref="J1088" si="885">D1088*J$34</f>
        <v>0</v>
      </c>
      <c r="K1088" s="29"/>
      <c r="L1088" s="29"/>
      <c r="M1088" s="29"/>
      <c r="N1088" s="29"/>
      <c r="O1088" s="29"/>
      <c r="P1088" s="30">
        <f t="shared" si="884"/>
        <v>0</v>
      </c>
      <c r="Q1088" s="31">
        <f t="shared" si="882"/>
        <v>0</v>
      </c>
    </row>
    <row r="1089" spans="1:17" x14ac:dyDescent="0.2">
      <c r="A1089" s="10"/>
      <c r="B1089" s="26"/>
      <c r="C1089" s="11">
        <v>2008</v>
      </c>
      <c r="D1089" s="32">
        <f>SPFI_CLB14!$D$31</f>
        <v>0.25494499999999998</v>
      </c>
      <c r="E1089" s="32"/>
      <c r="F1089" s="32"/>
      <c r="G1089" s="32"/>
      <c r="H1089" s="32"/>
      <c r="I1089" s="32"/>
      <c r="J1089" s="28">
        <f t="shared" ref="J1089" si="886">D1089*J$34</f>
        <v>0</v>
      </c>
      <c r="K1089" s="29"/>
      <c r="L1089" s="29"/>
      <c r="M1089" s="29"/>
      <c r="N1089" s="29"/>
      <c r="O1089" s="29"/>
      <c r="P1089" s="30">
        <f t="shared" si="884"/>
        <v>0</v>
      </c>
      <c r="Q1089" s="31">
        <f t="shared" si="882"/>
        <v>0</v>
      </c>
    </row>
    <row r="1090" spans="1:17" x14ac:dyDescent="0.2">
      <c r="A1090" s="10"/>
      <c r="B1090" s="26"/>
      <c r="C1090" s="11">
        <v>2009</v>
      </c>
      <c r="D1090" s="32">
        <f>SPFI_CLB14!$D$32</f>
        <v>0.52383000000000002</v>
      </c>
      <c r="E1090" s="32"/>
      <c r="F1090" s="32"/>
      <c r="G1090" s="32"/>
      <c r="H1090" s="32"/>
      <c r="I1090" s="32"/>
      <c r="J1090" s="28">
        <f t="shared" ref="J1090" si="887">D1090*J$34</f>
        <v>0</v>
      </c>
      <c r="K1090" s="29"/>
      <c r="L1090" s="29"/>
      <c r="M1090" s="29"/>
      <c r="N1090" s="29"/>
      <c r="O1090" s="29"/>
      <c r="P1090" s="30">
        <f t="shared" si="884"/>
        <v>0</v>
      </c>
      <c r="Q1090" s="31">
        <f t="shared" si="882"/>
        <v>0</v>
      </c>
    </row>
    <row r="1091" spans="1:17" x14ac:dyDescent="0.2">
      <c r="A1091" s="10"/>
      <c r="B1091" s="26"/>
      <c r="C1091" s="11">
        <v>2010</v>
      </c>
      <c r="D1091" s="32">
        <f>SPFI_CLB14!$D$33</f>
        <v>0.31394</v>
      </c>
      <c r="E1091" s="32"/>
      <c r="F1091" s="32"/>
      <c r="G1091" s="32"/>
      <c r="H1091" s="32"/>
      <c r="I1091" s="32"/>
      <c r="J1091" s="28">
        <f t="shared" ref="J1091" si="888">D1091*J$34</f>
        <v>0</v>
      </c>
      <c r="K1091" s="29"/>
      <c r="L1091" s="29"/>
      <c r="M1091" s="29"/>
      <c r="N1091" s="29"/>
      <c r="O1091" s="29"/>
      <c r="P1091" s="30">
        <f t="shared" si="884"/>
        <v>0</v>
      </c>
      <c r="Q1091" s="31">
        <f t="shared" si="882"/>
        <v>0</v>
      </c>
    </row>
    <row r="1092" spans="1:17" x14ac:dyDescent="0.2">
      <c r="A1092" s="10"/>
      <c r="B1092" s="26"/>
      <c r="C1092" s="11">
        <v>2011</v>
      </c>
      <c r="D1092" s="32">
        <f>SPFI_CLB14!$D$34</f>
        <v>0.294348</v>
      </c>
      <c r="E1092" s="32"/>
      <c r="F1092" s="32"/>
      <c r="G1092" s="32"/>
      <c r="H1092" s="32"/>
      <c r="I1092" s="32"/>
      <c r="J1092" s="28">
        <f t="shared" ref="J1092" si="889">D1092*J$34</f>
        <v>0</v>
      </c>
      <c r="K1092" s="29"/>
      <c r="L1092" s="29"/>
      <c r="M1092" s="29"/>
      <c r="N1092" s="29"/>
      <c r="O1092" s="29"/>
      <c r="P1092" s="30">
        <f t="shared" ref="P1092" si="890">SUM(J1092:O1092)</f>
        <v>0</v>
      </c>
      <c r="Q1092" s="31">
        <f t="shared" ref="Q1092" si="891">IF(C$34&gt;0,P1092/C$34,0)</f>
        <v>0</v>
      </c>
    </row>
    <row r="1093" spans="1:17" x14ac:dyDescent="0.2">
      <c r="A1093" s="10"/>
      <c r="B1093" s="26"/>
      <c r="C1093" s="11">
        <v>2012</v>
      </c>
      <c r="D1093" s="32">
        <f>SPFI_CLB14!$D$35</f>
        <v>0.34784100000000001</v>
      </c>
      <c r="E1093" s="32"/>
      <c r="F1093" s="32"/>
      <c r="G1093" s="32"/>
      <c r="H1093" s="32"/>
      <c r="I1093" s="32"/>
      <c r="J1093" s="28">
        <f t="shared" ref="J1093" si="892">D1093*J$34</f>
        <v>0</v>
      </c>
      <c r="K1093" s="29"/>
      <c r="L1093" s="29"/>
      <c r="M1093" s="29"/>
      <c r="N1093" s="29"/>
      <c r="O1093" s="29"/>
      <c r="P1093" s="30">
        <f t="shared" ref="P1093" si="893">SUM(J1093:O1093)</f>
        <v>0</v>
      </c>
      <c r="Q1093" s="31">
        <f t="shared" ref="Q1093" si="894">IF(C$34&gt;0,P1093/C$34,0)</f>
        <v>0</v>
      </c>
    </row>
    <row r="1094" spans="1:17" x14ac:dyDescent="0.2">
      <c r="A1094" s="5" t="s">
        <v>13</v>
      </c>
      <c r="B1094" s="21">
        <v>5</v>
      </c>
      <c r="C1094" s="6">
        <v>1982</v>
      </c>
      <c r="D1094" s="27">
        <f>SPFI_CLB14!$D$5</f>
        <v>0.98153299999999999</v>
      </c>
      <c r="E1094" s="27"/>
      <c r="F1094" s="27"/>
      <c r="G1094" s="27"/>
      <c r="H1094" s="27"/>
      <c r="I1094" s="27"/>
      <c r="J1094" s="33">
        <f t="shared" ref="J1094:J1106" si="895">D1094*J$35</f>
        <v>0</v>
      </c>
      <c r="K1094" s="27"/>
      <c r="L1094" s="27"/>
      <c r="M1094" s="27"/>
      <c r="N1094" s="27"/>
      <c r="O1094" s="27"/>
      <c r="P1094" s="34">
        <f t="shared" si="884"/>
        <v>0</v>
      </c>
      <c r="Q1094" s="35">
        <f t="shared" ref="Q1094:Q1110" si="896">IF(C$35&gt;0,P1094/C$35,0)</f>
        <v>0</v>
      </c>
    </row>
    <row r="1095" spans="1:17" x14ac:dyDescent="0.2">
      <c r="A1095" s="10"/>
      <c r="B1095" s="26"/>
      <c r="C1095" s="11">
        <v>1983</v>
      </c>
      <c r="D1095" s="32">
        <f>SPFI_CLB14!$D$6</f>
        <v>0.93659899999999996</v>
      </c>
      <c r="E1095" s="32"/>
      <c r="F1095" s="32"/>
      <c r="G1095" s="32"/>
      <c r="H1095" s="32"/>
      <c r="I1095" s="32"/>
      <c r="J1095" s="28">
        <f t="shared" si="895"/>
        <v>0</v>
      </c>
      <c r="K1095" s="29"/>
      <c r="L1095" s="29"/>
      <c r="M1095" s="29"/>
      <c r="N1095" s="29"/>
      <c r="O1095" s="29"/>
      <c r="P1095" s="30">
        <f t="shared" ref="P1095:P1106" si="897">SUM(J1095:O1095)</f>
        <v>0</v>
      </c>
      <c r="Q1095" s="31">
        <f t="shared" si="896"/>
        <v>0</v>
      </c>
    </row>
    <row r="1096" spans="1:17" x14ac:dyDescent="0.2">
      <c r="A1096" s="10"/>
      <c r="B1096" s="26"/>
      <c r="C1096" s="11">
        <v>1984</v>
      </c>
      <c r="D1096" s="32">
        <f>SPFI_CLB14!$D$7</f>
        <v>0.92793599999999998</v>
      </c>
      <c r="E1096" s="32"/>
      <c r="F1096" s="32"/>
      <c r="G1096" s="32"/>
      <c r="H1096" s="32"/>
      <c r="I1096" s="32"/>
      <c r="J1096" s="28">
        <f t="shared" si="895"/>
        <v>0</v>
      </c>
      <c r="K1096" s="29"/>
      <c r="L1096" s="29"/>
      <c r="M1096" s="29"/>
      <c r="N1096" s="29"/>
      <c r="O1096" s="29"/>
      <c r="P1096" s="30">
        <f t="shared" si="897"/>
        <v>0</v>
      </c>
      <c r="Q1096" s="31">
        <f t="shared" si="896"/>
        <v>0</v>
      </c>
    </row>
    <row r="1097" spans="1:17" x14ac:dyDescent="0.2">
      <c r="A1097" s="10"/>
      <c r="B1097" s="26"/>
      <c r="C1097" s="11">
        <v>1985</v>
      </c>
      <c r="D1097" s="32">
        <f>SPFI_CLB14!$D$8</f>
        <v>0.90386500000000003</v>
      </c>
      <c r="E1097" s="32"/>
      <c r="F1097" s="32"/>
      <c r="G1097" s="32"/>
      <c r="H1097" s="32"/>
      <c r="I1097" s="32"/>
      <c r="J1097" s="28">
        <f t="shared" si="895"/>
        <v>0</v>
      </c>
      <c r="K1097" s="29"/>
      <c r="L1097" s="29"/>
      <c r="M1097" s="29"/>
      <c r="N1097" s="29"/>
      <c r="O1097" s="29"/>
      <c r="P1097" s="30">
        <f t="shared" si="897"/>
        <v>0</v>
      </c>
      <c r="Q1097" s="31">
        <f t="shared" si="896"/>
        <v>0</v>
      </c>
    </row>
    <row r="1098" spans="1:17" x14ac:dyDescent="0.2">
      <c r="A1098" s="10"/>
      <c r="B1098" s="26"/>
      <c r="C1098" s="11">
        <v>1986</v>
      </c>
      <c r="D1098" s="32">
        <f>SPFI_CLB14!$D$9</f>
        <v>0.73087500000000005</v>
      </c>
      <c r="E1098" s="32"/>
      <c r="F1098" s="32"/>
      <c r="G1098" s="32"/>
      <c r="H1098" s="32"/>
      <c r="I1098" s="32"/>
      <c r="J1098" s="28">
        <f t="shared" si="895"/>
        <v>0</v>
      </c>
      <c r="K1098" s="29"/>
      <c r="L1098" s="29"/>
      <c r="M1098" s="29"/>
      <c r="N1098" s="29"/>
      <c r="O1098" s="29"/>
      <c r="P1098" s="30">
        <f t="shared" si="897"/>
        <v>0</v>
      </c>
      <c r="Q1098" s="31">
        <f t="shared" si="896"/>
        <v>0</v>
      </c>
    </row>
    <row r="1099" spans="1:17" x14ac:dyDescent="0.2">
      <c r="A1099" s="10"/>
      <c r="B1099" s="26"/>
      <c r="C1099" s="11">
        <v>1987</v>
      </c>
      <c r="D1099" s="32">
        <f>SPFI_CLB14!$D$10</f>
        <v>0.71733499999999994</v>
      </c>
      <c r="E1099" s="32"/>
      <c r="F1099" s="32"/>
      <c r="G1099" s="32"/>
      <c r="H1099" s="32"/>
      <c r="I1099" s="32"/>
      <c r="J1099" s="28">
        <f t="shared" si="895"/>
        <v>0</v>
      </c>
      <c r="K1099" s="29"/>
      <c r="L1099" s="29"/>
      <c r="M1099" s="29"/>
      <c r="N1099" s="29"/>
      <c r="O1099" s="29"/>
      <c r="P1099" s="30">
        <f t="shared" si="897"/>
        <v>0</v>
      </c>
      <c r="Q1099" s="31">
        <f t="shared" si="896"/>
        <v>0</v>
      </c>
    </row>
    <row r="1100" spans="1:17" x14ac:dyDescent="0.2">
      <c r="A1100" s="10"/>
      <c r="B1100" s="26"/>
      <c r="C1100" s="11">
        <v>1988</v>
      </c>
      <c r="D1100" s="32">
        <f>SPFI_CLB14!$D$11</f>
        <v>0.64558800000000005</v>
      </c>
      <c r="E1100" s="32"/>
      <c r="F1100" s="32"/>
      <c r="G1100" s="32"/>
      <c r="H1100" s="32"/>
      <c r="I1100" s="32"/>
      <c r="J1100" s="28">
        <f t="shared" si="895"/>
        <v>0</v>
      </c>
      <c r="K1100" s="29"/>
      <c r="L1100" s="29"/>
      <c r="M1100" s="29"/>
      <c r="N1100" s="29"/>
      <c r="O1100" s="29"/>
      <c r="P1100" s="30">
        <f t="shared" si="897"/>
        <v>0</v>
      </c>
      <c r="Q1100" s="31">
        <f t="shared" si="896"/>
        <v>0</v>
      </c>
    </row>
    <row r="1101" spans="1:17" x14ac:dyDescent="0.2">
      <c r="A1101" s="10"/>
      <c r="B1101" s="26"/>
      <c r="C1101" s="11">
        <v>1989</v>
      </c>
      <c r="D1101" s="32">
        <f>SPFI_CLB14!$D$12</f>
        <v>0.65287700000000004</v>
      </c>
      <c r="E1101" s="32"/>
      <c r="F1101" s="32"/>
      <c r="G1101" s="32"/>
      <c r="H1101" s="32"/>
      <c r="I1101" s="32"/>
      <c r="J1101" s="28">
        <f t="shared" si="895"/>
        <v>0</v>
      </c>
      <c r="K1101" s="29"/>
      <c r="L1101" s="29"/>
      <c r="M1101" s="29"/>
      <c r="N1101" s="29"/>
      <c r="O1101" s="29"/>
      <c r="P1101" s="30">
        <f t="shared" si="897"/>
        <v>0</v>
      </c>
      <c r="Q1101" s="31">
        <f t="shared" si="896"/>
        <v>0</v>
      </c>
    </row>
    <row r="1102" spans="1:17" x14ac:dyDescent="0.2">
      <c r="A1102" s="10"/>
      <c r="B1102" s="26"/>
      <c r="C1102" s="11">
        <v>1990</v>
      </c>
      <c r="D1102" s="32">
        <f>SPFI_CLB14!$D$13</f>
        <v>0.56965100000000002</v>
      </c>
      <c r="E1102" s="32"/>
      <c r="F1102" s="32"/>
      <c r="G1102" s="32"/>
      <c r="H1102" s="32"/>
      <c r="I1102" s="32"/>
      <c r="J1102" s="28">
        <f t="shared" si="895"/>
        <v>0</v>
      </c>
      <c r="K1102" s="29"/>
      <c r="L1102" s="29"/>
      <c r="M1102" s="29"/>
      <c r="N1102" s="29"/>
      <c r="O1102" s="29"/>
      <c r="P1102" s="30">
        <f t="shared" si="897"/>
        <v>0</v>
      </c>
      <c r="Q1102" s="31">
        <f t="shared" si="896"/>
        <v>0</v>
      </c>
    </row>
    <row r="1103" spans="1:17" x14ac:dyDescent="0.2">
      <c r="A1103" s="10"/>
      <c r="B1103" s="26"/>
      <c r="C1103" s="11">
        <v>1991</v>
      </c>
      <c r="D1103" s="32">
        <f>SPFI_CLB14!$D$14</f>
        <v>0.62776900000000002</v>
      </c>
      <c r="E1103" s="32"/>
      <c r="F1103" s="32"/>
      <c r="G1103" s="32"/>
      <c r="H1103" s="32"/>
      <c r="I1103" s="32"/>
      <c r="J1103" s="28">
        <f t="shared" si="895"/>
        <v>0</v>
      </c>
      <c r="K1103" s="29"/>
      <c r="L1103" s="29"/>
      <c r="M1103" s="29"/>
      <c r="N1103" s="29"/>
      <c r="O1103" s="29"/>
      <c r="P1103" s="30">
        <f t="shared" si="897"/>
        <v>0</v>
      </c>
      <c r="Q1103" s="31">
        <f t="shared" si="896"/>
        <v>0</v>
      </c>
    </row>
    <row r="1104" spans="1:17" x14ac:dyDescent="0.2">
      <c r="A1104" s="10"/>
      <c r="B1104" s="26"/>
      <c r="C1104" s="11">
        <v>1992</v>
      </c>
      <c r="D1104" s="32">
        <f>SPFI_CLB14!$D$15</f>
        <v>0.43504100000000001</v>
      </c>
      <c r="E1104" s="32"/>
      <c r="F1104" s="32"/>
      <c r="G1104" s="32"/>
      <c r="H1104" s="32"/>
      <c r="I1104" s="32"/>
      <c r="J1104" s="28">
        <f t="shared" si="895"/>
        <v>0</v>
      </c>
      <c r="K1104" s="29"/>
      <c r="L1104" s="29"/>
      <c r="M1104" s="29"/>
      <c r="N1104" s="29"/>
      <c r="O1104" s="29"/>
      <c r="P1104" s="30">
        <f t="shared" si="897"/>
        <v>0</v>
      </c>
      <c r="Q1104" s="31">
        <f t="shared" si="896"/>
        <v>0</v>
      </c>
    </row>
    <row r="1105" spans="1:17" x14ac:dyDescent="0.2">
      <c r="A1105" s="10"/>
      <c r="B1105" s="26"/>
      <c r="C1105" s="11">
        <v>1993</v>
      </c>
      <c r="D1105" s="32">
        <f>SPFI_CLB14!$D$16</f>
        <v>0.499164</v>
      </c>
      <c r="E1105" s="32"/>
      <c r="F1105" s="32"/>
      <c r="G1105" s="32"/>
      <c r="H1105" s="32"/>
      <c r="I1105" s="32"/>
      <c r="J1105" s="28">
        <f t="shared" si="895"/>
        <v>0</v>
      </c>
      <c r="K1105" s="29"/>
      <c r="L1105" s="29"/>
      <c r="M1105" s="29"/>
      <c r="N1105" s="29"/>
      <c r="O1105" s="29"/>
      <c r="P1105" s="30">
        <f t="shared" si="897"/>
        <v>0</v>
      </c>
      <c r="Q1105" s="31">
        <f t="shared" si="896"/>
        <v>0</v>
      </c>
    </row>
    <row r="1106" spans="1:17" x14ac:dyDescent="0.2">
      <c r="A1106" s="10"/>
      <c r="B1106" s="26"/>
      <c r="C1106" s="11">
        <v>1994</v>
      </c>
      <c r="D1106" s="32">
        <f>SPFI_CLB14!$D$17</f>
        <v>0.59591300000000003</v>
      </c>
      <c r="E1106" s="32"/>
      <c r="F1106" s="32"/>
      <c r="G1106" s="32"/>
      <c r="H1106" s="32"/>
      <c r="I1106" s="32"/>
      <c r="J1106" s="28">
        <f t="shared" si="895"/>
        <v>0</v>
      </c>
      <c r="K1106" s="29"/>
      <c r="L1106" s="29"/>
      <c r="M1106" s="29"/>
      <c r="N1106" s="29"/>
      <c r="O1106" s="29"/>
      <c r="P1106" s="30">
        <f t="shared" si="897"/>
        <v>0</v>
      </c>
      <c r="Q1106" s="31">
        <f t="shared" si="896"/>
        <v>0</v>
      </c>
    </row>
    <row r="1107" spans="1:17" x14ac:dyDescent="0.2">
      <c r="A1107" s="10"/>
      <c r="B1107" s="26"/>
      <c r="C1107" s="11">
        <v>1995</v>
      </c>
      <c r="D1107" s="32">
        <f>SPFI_CLB14!$D$18</f>
        <v>0.25400800000000001</v>
      </c>
      <c r="E1107" s="32"/>
      <c r="F1107" s="32"/>
      <c r="G1107" s="32"/>
      <c r="H1107" s="32"/>
      <c r="I1107" s="32"/>
      <c r="J1107" s="28">
        <f t="shared" ref="J1107" si="898">D1107*J$35</f>
        <v>0</v>
      </c>
      <c r="K1107" s="29"/>
      <c r="L1107" s="29"/>
      <c r="M1107" s="29"/>
      <c r="N1107" s="29"/>
      <c r="O1107" s="29"/>
      <c r="P1107" s="30">
        <f>SUM(J1107:O1107)</f>
        <v>0</v>
      </c>
      <c r="Q1107" s="31">
        <f t="shared" si="896"/>
        <v>0</v>
      </c>
    </row>
    <row r="1108" spans="1:17" x14ac:dyDescent="0.2">
      <c r="A1108" s="10"/>
      <c r="B1108" s="26"/>
      <c r="C1108" s="11">
        <v>1996</v>
      </c>
      <c r="D1108" s="32">
        <f>SPFI_CLB14!$D$19</f>
        <v>0</v>
      </c>
      <c r="E1108" s="32"/>
      <c r="F1108" s="32"/>
      <c r="G1108" s="32"/>
      <c r="H1108" s="32"/>
      <c r="I1108" s="32"/>
      <c r="J1108" s="28">
        <f t="shared" ref="J1108" si="899">D1108*J$35</f>
        <v>0</v>
      </c>
      <c r="K1108" s="29"/>
      <c r="L1108" s="29"/>
      <c r="M1108" s="29"/>
      <c r="N1108" s="29"/>
      <c r="O1108" s="29"/>
      <c r="P1108" s="30">
        <f>SUM(J1108:O1108)</f>
        <v>0</v>
      </c>
      <c r="Q1108" s="31">
        <f t="shared" si="896"/>
        <v>0</v>
      </c>
    </row>
    <row r="1109" spans="1:17" x14ac:dyDescent="0.2">
      <c r="A1109" s="10"/>
      <c r="B1109" s="26"/>
      <c r="C1109" s="11">
        <v>1997</v>
      </c>
      <c r="D1109" s="32">
        <f>SPFI_CLB14!$D$20</f>
        <v>0.201487</v>
      </c>
      <c r="E1109" s="32"/>
      <c r="F1109" s="32"/>
      <c r="G1109" s="32"/>
      <c r="H1109" s="32"/>
      <c r="I1109" s="32"/>
      <c r="J1109" s="28">
        <f t="shared" ref="J1109" si="900">D1109*J$35</f>
        <v>0</v>
      </c>
      <c r="K1109" s="29"/>
      <c r="L1109" s="29"/>
      <c r="M1109" s="29"/>
      <c r="N1109" s="29"/>
      <c r="O1109" s="29"/>
      <c r="P1109" s="30">
        <f>SUM(J1109:O1109)</f>
        <v>0</v>
      </c>
      <c r="Q1109" s="31">
        <f t="shared" si="896"/>
        <v>0</v>
      </c>
    </row>
    <row r="1110" spans="1:17" x14ac:dyDescent="0.2">
      <c r="A1110" s="10"/>
      <c r="B1110" s="26"/>
      <c r="C1110" s="11">
        <v>1998</v>
      </c>
      <c r="D1110" s="32">
        <f>SPFI_CLB14!$D$21</f>
        <v>0.37506400000000001</v>
      </c>
      <c r="E1110" s="32"/>
      <c r="F1110" s="32"/>
      <c r="G1110" s="32"/>
      <c r="H1110" s="32"/>
      <c r="I1110" s="32"/>
      <c r="J1110" s="28">
        <f t="shared" ref="J1110" si="901">D1110*J$35</f>
        <v>0</v>
      </c>
      <c r="K1110" s="29"/>
      <c r="L1110" s="29"/>
      <c r="M1110" s="29"/>
      <c r="N1110" s="29"/>
      <c r="O1110" s="29"/>
      <c r="P1110" s="30">
        <f>SUM(J1110:O1110)</f>
        <v>0</v>
      </c>
      <c r="Q1110" s="31">
        <f t="shared" si="896"/>
        <v>0</v>
      </c>
    </row>
    <row r="1111" spans="1:17" x14ac:dyDescent="0.2">
      <c r="A1111" s="10"/>
      <c r="B1111" s="26"/>
      <c r="C1111" s="11">
        <v>1999</v>
      </c>
      <c r="D1111" s="32">
        <f>SPFI_CLB14!$D$22</f>
        <v>0.29823699999999997</v>
      </c>
      <c r="E1111" s="32"/>
      <c r="F1111" s="32"/>
      <c r="G1111" s="32"/>
      <c r="H1111" s="32"/>
      <c r="I1111" s="32"/>
      <c r="J1111" s="28">
        <f t="shared" ref="J1111" si="902">D1111*J$35</f>
        <v>0</v>
      </c>
      <c r="K1111" s="29"/>
      <c r="L1111" s="29"/>
      <c r="M1111" s="29"/>
      <c r="N1111" s="29"/>
      <c r="O1111" s="29"/>
      <c r="P1111" s="30">
        <f>SUM(J1111:O1111)</f>
        <v>0</v>
      </c>
      <c r="Q1111" s="31">
        <f t="shared" ref="Q1111:Q1116" si="903">IF(C$35&gt;0,P1111/C$35,0)</f>
        <v>0</v>
      </c>
    </row>
    <row r="1112" spans="1:17" x14ac:dyDescent="0.2">
      <c r="A1112" s="10"/>
      <c r="B1112" s="26"/>
      <c r="C1112" s="11">
        <v>2000</v>
      </c>
      <c r="D1112" s="32">
        <f>SPFI_CLB14!$D$23</f>
        <v>8.4414000000000003E-2</v>
      </c>
      <c r="E1112" s="32"/>
      <c r="F1112" s="32"/>
      <c r="G1112" s="32"/>
      <c r="H1112" s="32"/>
      <c r="I1112" s="32"/>
      <c r="J1112" s="28">
        <f t="shared" ref="J1112" si="904">D1112*J$35</f>
        <v>0</v>
      </c>
      <c r="K1112" s="29"/>
      <c r="L1112" s="29"/>
      <c r="M1112" s="29"/>
      <c r="N1112" s="29"/>
      <c r="O1112" s="29"/>
      <c r="P1112" s="30">
        <f t="shared" ref="P1112:P1117" si="905">SUM(J1112:O1112)</f>
        <v>0</v>
      </c>
      <c r="Q1112" s="31">
        <f t="shared" si="903"/>
        <v>0</v>
      </c>
    </row>
    <row r="1113" spans="1:17" x14ac:dyDescent="0.2">
      <c r="A1113" s="10"/>
      <c r="B1113" s="26"/>
      <c r="C1113" s="11">
        <v>2001</v>
      </c>
      <c r="D1113" s="32">
        <f>SPFI_CLB14!$D$24</f>
        <v>7.8909000000000007E-2</v>
      </c>
      <c r="E1113" s="32"/>
      <c r="F1113" s="32"/>
      <c r="G1113" s="32"/>
      <c r="H1113" s="32"/>
      <c r="I1113" s="32"/>
      <c r="J1113" s="28">
        <f t="shared" ref="J1113" si="906">D1113*J$35</f>
        <v>0</v>
      </c>
      <c r="K1113" s="29"/>
      <c r="L1113" s="29"/>
      <c r="M1113" s="29"/>
      <c r="N1113" s="29"/>
      <c r="O1113" s="29"/>
      <c r="P1113" s="30">
        <f t="shared" si="905"/>
        <v>0</v>
      </c>
      <c r="Q1113" s="31">
        <f t="shared" si="903"/>
        <v>0</v>
      </c>
    </row>
    <row r="1114" spans="1:17" x14ac:dyDescent="0.2">
      <c r="A1114" s="10"/>
      <c r="B1114" s="26"/>
      <c r="C1114" s="11">
        <v>2002</v>
      </c>
      <c r="D1114" s="32">
        <f>SPFI_CLB14!$D$25</f>
        <v>0.29974699999999999</v>
      </c>
      <c r="E1114" s="32"/>
      <c r="F1114" s="32"/>
      <c r="G1114" s="32"/>
      <c r="H1114" s="32"/>
      <c r="I1114" s="32"/>
      <c r="J1114" s="28">
        <f t="shared" ref="J1114" si="907">D1114*J$35</f>
        <v>0</v>
      </c>
      <c r="K1114" s="29"/>
      <c r="L1114" s="29"/>
      <c r="M1114" s="29"/>
      <c r="N1114" s="29"/>
      <c r="O1114" s="29"/>
      <c r="P1114" s="30">
        <f t="shared" si="905"/>
        <v>0</v>
      </c>
      <c r="Q1114" s="31">
        <f t="shared" si="903"/>
        <v>0</v>
      </c>
    </row>
    <row r="1115" spans="1:17" x14ac:dyDescent="0.2">
      <c r="A1115" s="10"/>
      <c r="B1115" s="26"/>
      <c r="C1115" s="11">
        <v>2003</v>
      </c>
      <c r="D1115" s="32">
        <f>SPFI_CLB14!$D$26</f>
        <v>0.20691100000000001</v>
      </c>
      <c r="E1115" s="32"/>
      <c r="F1115" s="32"/>
      <c r="G1115" s="32"/>
      <c r="H1115" s="32"/>
      <c r="I1115" s="32"/>
      <c r="J1115" s="28">
        <f t="shared" ref="J1115" si="908">D1115*J$35</f>
        <v>0</v>
      </c>
      <c r="K1115" s="29"/>
      <c r="L1115" s="29"/>
      <c r="M1115" s="29"/>
      <c r="N1115" s="29"/>
      <c r="O1115" s="29"/>
      <c r="P1115" s="30">
        <f t="shared" si="905"/>
        <v>0</v>
      </c>
      <c r="Q1115" s="31">
        <f t="shared" si="903"/>
        <v>0</v>
      </c>
    </row>
    <row r="1116" spans="1:17" x14ac:dyDescent="0.2">
      <c r="A1116" s="10"/>
      <c r="B1116" s="26"/>
      <c r="C1116" s="11">
        <v>2004</v>
      </c>
      <c r="D1116" s="32">
        <f>SPFI_CLB14!$D$27</f>
        <v>0.269237</v>
      </c>
      <c r="E1116" s="32"/>
      <c r="F1116" s="32"/>
      <c r="G1116" s="32"/>
      <c r="H1116" s="32"/>
      <c r="I1116" s="32"/>
      <c r="J1116" s="28">
        <f t="shared" ref="J1116" si="909">D1116*J$35</f>
        <v>0</v>
      </c>
      <c r="K1116" s="29"/>
      <c r="L1116" s="29"/>
      <c r="M1116" s="29"/>
      <c r="N1116" s="29"/>
      <c r="O1116" s="29"/>
      <c r="P1116" s="30">
        <f t="shared" si="905"/>
        <v>0</v>
      </c>
      <c r="Q1116" s="31">
        <f t="shared" si="903"/>
        <v>0</v>
      </c>
    </row>
    <row r="1117" spans="1:17" x14ac:dyDescent="0.2">
      <c r="A1117" s="10"/>
      <c r="B1117" s="26"/>
      <c r="C1117" s="11">
        <v>2005</v>
      </c>
      <c r="D1117" s="32">
        <f>SPFI_CLB14!$D$28</f>
        <v>0.37848700000000002</v>
      </c>
      <c r="E1117" s="32"/>
      <c r="F1117" s="32"/>
      <c r="G1117" s="32"/>
      <c r="H1117" s="32"/>
      <c r="I1117" s="32"/>
      <c r="J1117" s="28">
        <f t="shared" ref="J1117" si="910">D1117*J$35</f>
        <v>0</v>
      </c>
      <c r="K1117" s="29"/>
      <c r="L1117" s="29"/>
      <c r="M1117" s="29"/>
      <c r="N1117" s="29"/>
      <c r="O1117" s="29"/>
      <c r="P1117" s="30">
        <f t="shared" si="905"/>
        <v>0</v>
      </c>
      <c r="Q1117" s="31">
        <f t="shared" ref="Q1117:Q1122" si="911">IF(C$35&gt;0,P1117/C$35,0)</f>
        <v>0</v>
      </c>
    </row>
    <row r="1118" spans="1:17" x14ac:dyDescent="0.2">
      <c r="A1118" s="10"/>
      <c r="B1118" s="26"/>
      <c r="C1118" s="11">
        <v>2006</v>
      </c>
      <c r="D1118" s="32">
        <f>SPFI_CLB14!$D$29</f>
        <v>0.381023</v>
      </c>
      <c r="E1118" s="32"/>
      <c r="F1118" s="32"/>
      <c r="G1118" s="32"/>
      <c r="H1118" s="32"/>
      <c r="I1118" s="32"/>
      <c r="J1118" s="28">
        <f t="shared" ref="J1118" si="912">D1118*J$35</f>
        <v>0</v>
      </c>
      <c r="K1118" s="29"/>
      <c r="L1118" s="29"/>
      <c r="M1118" s="29"/>
      <c r="N1118" s="29"/>
      <c r="O1118" s="29"/>
      <c r="P1118" s="30">
        <f t="shared" ref="P1118:P1125" si="913">SUM(J1118:O1118)</f>
        <v>0</v>
      </c>
      <c r="Q1118" s="31">
        <f t="shared" si="911"/>
        <v>0</v>
      </c>
    </row>
    <row r="1119" spans="1:17" x14ac:dyDescent="0.2">
      <c r="A1119" s="10"/>
      <c r="B1119" s="26"/>
      <c r="C1119" s="11">
        <v>2007</v>
      </c>
      <c r="D1119" s="32">
        <f>SPFI_CLB14!$D$30</f>
        <v>0.356512</v>
      </c>
      <c r="E1119" s="32"/>
      <c r="F1119" s="32"/>
      <c r="G1119" s="32"/>
      <c r="H1119" s="32"/>
      <c r="I1119" s="32"/>
      <c r="J1119" s="28">
        <f t="shared" ref="J1119" si="914">D1119*J$35</f>
        <v>0</v>
      </c>
      <c r="K1119" s="29"/>
      <c r="L1119" s="29"/>
      <c r="M1119" s="29"/>
      <c r="N1119" s="29"/>
      <c r="O1119" s="29"/>
      <c r="P1119" s="30">
        <f t="shared" si="913"/>
        <v>0</v>
      </c>
      <c r="Q1119" s="31">
        <f t="shared" si="911"/>
        <v>0</v>
      </c>
    </row>
    <row r="1120" spans="1:17" x14ac:dyDescent="0.2">
      <c r="A1120" s="10"/>
      <c r="B1120" s="26"/>
      <c r="C1120" s="11">
        <v>2008</v>
      </c>
      <c r="D1120" s="32">
        <f>SPFI_CLB14!$D$31</f>
        <v>0.25494499999999998</v>
      </c>
      <c r="E1120" s="32"/>
      <c r="F1120" s="32"/>
      <c r="G1120" s="32"/>
      <c r="H1120" s="32"/>
      <c r="I1120" s="32"/>
      <c r="J1120" s="28">
        <f t="shared" ref="J1120" si="915">D1120*J$35</f>
        <v>0</v>
      </c>
      <c r="K1120" s="29"/>
      <c r="L1120" s="29"/>
      <c r="M1120" s="29"/>
      <c r="N1120" s="29"/>
      <c r="O1120" s="29"/>
      <c r="P1120" s="30">
        <f t="shared" si="913"/>
        <v>0</v>
      </c>
      <c r="Q1120" s="31">
        <f t="shared" si="911"/>
        <v>0</v>
      </c>
    </row>
    <row r="1121" spans="1:17" x14ac:dyDescent="0.2">
      <c r="A1121" s="10"/>
      <c r="B1121" s="26"/>
      <c r="C1121" s="11">
        <v>2009</v>
      </c>
      <c r="D1121" s="32">
        <f>SPFI_CLB14!$D$32</f>
        <v>0.52383000000000002</v>
      </c>
      <c r="E1121" s="32"/>
      <c r="F1121" s="32"/>
      <c r="G1121" s="32"/>
      <c r="H1121" s="32"/>
      <c r="I1121" s="32"/>
      <c r="J1121" s="28">
        <f t="shared" ref="J1121" si="916">D1121*J$35</f>
        <v>0</v>
      </c>
      <c r="K1121" s="29"/>
      <c r="L1121" s="29"/>
      <c r="M1121" s="29"/>
      <c r="N1121" s="29"/>
      <c r="O1121" s="29"/>
      <c r="P1121" s="30">
        <f t="shared" si="913"/>
        <v>0</v>
      </c>
      <c r="Q1121" s="31">
        <f t="shared" si="911"/>
        <v>0</v>
      </c>
    </row>
    <row r="1122" spans="1:17" x14ac:dyDescent="0.2">
      <c r="A1122" s="10"/>
      <c r="B1122" s="26"/>
      <c r="C1122" s="11">
        <v>2010</v>
      </c>
      <c r="D1122" s="32">
        <f>SPFI_CLB14!$D$33</f>
        <v>0.31394</v>
      </c>
      <c r="E1122" s="32"/>
      <c r="F1122" s="32"/>
      <c r="G1122" s="32"/>
      <c r="H1122" s="32"/>
      <c r="I1122" s="32"/>
      <c r="J1122" s="28">
        <f t="shared" ref="J1122" si="917">D1122*J$35</f>
        <v>0</v>
      </c>
      <c r="K1122" s="29"/>
      <c r="L1122" s="29"/>
      <c r="M1122" s="29"/>
      <c r="N1122" s="29"/>
      <c r="O1122" s="29"/>
      <c r="P1122" s="30">
        <f t="shared" si="913"/>
        <v>0</v>
      </c>
      <c r="Q1122" s="31">
        <f t="shared" si="911"/>
        <v>0</v>
      </c>
    </row>
    <row r="1123" spans="1:17" x14ac:dyDescent="0.2">
      <c r="A1123" s="10"/>
      <c r="B1123" s="26"/>
      <c r="C1123" s="11">
        <v>2011</v>
      </c>
      <c r="D1123" s="32">
        <f>SPFI_CLB14!$D$34</f>
        <v>0.294348</v>
      </c>
      <c r="E1123" s="32"/>
      <c r="F1123" s="32"/>
      <c r="G1123" s="32"/>
      <c r="H1123" s="32"/>
      <c r="I1123" s="32"/>
      <c r="J1123" s="28">
        <f t="shared" ref="J1123" si="918">D1123*J$35</f>
        <v>0</v>
      </c>
      <c r="K1123" s="29"/>
      <c r="L1123" s="29"/>
      <c r="M1123" s="29"/>
      <c r="N1123" s="29"/>
      <c r="O1123" s="29"/>
      <c r="P1123" s="30">
        <f t="shared" ref="P1123" si="919">SUM(J1123:O1123)</f>
        <v>0</v>
      </c>
      <c r="Q1123" s="31">
        <f t="shared" ref="Q1123" si="920">IF(C$35&gt;0,P1123/C$35,0)</f>
        <v>0</v>
      </c>
    </row>
    <row r="1124" spans="1:17" x14ac:dyDescent="0.2">
      <c r="A1124" s="10"/>
      <c r="B1124" s="26"/>
      <c r="C1124" s="11">
        <v>2012</v>
      </c>
      <c r="D1124" s="32">
        <f>SPFI_CLB14!$D$35</f>
        <v>0.34784100000000001</v>
      </c>
      <c r="E1124" s="32"/>
      <c r="F1124" s="32"/>
      <c r="G1124" s="32"/>
      <c r="H1124" s="32"/>
      <c r="I1124" s="32"/>
      <c r="J1124" s="28">
        <f t="shared" ref="J1124" si="921">D1124*J$35</f>
        <v>0</v>
      </c>
      <c r="K1124" s="29"/>
      <c r="L1124" s="29"/>
      <c r="M1124" s="29"/>
      <c r="N1124" s="29"/>
      <c r="O1124" s="29"/>
      <c r="P1124" s="30">
        <f t="shared" ref="P1124" si="922">SUM(J1124:O1124)</f>
        <v>0</v>
      </c>
      <c r="Q1124" s="31">
        <f t="shared" ref="Q1124" si="923">IF(C$35&gt;0,P1124/C$35,0)</f>
        <v>0</v>
      </c>
    </row>
    <row r="1125" spans="1:17" x14ac:dyDescent="0.2">
      <c r="A1125" s="5" t="s">
        <v>14</v>
      </c>
      <c r="B1125" s="21">
        <v>2</v>
      </c>
      <c r="C1125" s="6">
        <v>1982</v>
      </c>
      <c r="D1125" s="27">
        <f>SPFI_CLB14!$D$5</f>
        <v>0.98153299999999999</v>
      </c>
      <c r="E1125" s="27"/>
      <c r="F1125" s="27"/>
      <c r="G1125" s="27"/>
      <c r="H1125" s="27"/>
      <c r="I1125" s="27"/>
      <c r="J1125" s="33">
        <f t="shared" ref="J1125:J1137" si="924">D1125*J$36</f>
        <v>0</v>
      </c>
      <c r="K1125" s="27"/>
      <c r="L1125" s="27"/>
      <c r="M1125" s="27"/>
      <c r="N1125" s="27"/>
      <c r="O1125" s="27"/>
      <c r="P1125" s="34">
        <f t="shared" si="913"/>
        <v>0</v>
      </c>
      <c r="Q1125" s="35">
        <f t="shared" ref="Q1125:Q1141" si="925">IF(C$36&gt;0,P1125/C$36,0)</f>
        <v>0</v>
      </c>
    </row>
    <row r="1126" spans="1:17" x14ac:dyDescent="0.2">
      <c r="A1126" s="10"/>
      <c r="B1126" s="26"/>
      <c r="C1126" s="11">
        <v>1983</v>
      </c>
      <c r="D1126" s="32">
        <f>SPFI_CLB14!$D$6</f>
        <v>0.93659899999999996</v>
      </c>
      <c r="E1126" s="32"/>
      <c r="F1126" s="32"/>
      <c r="G1126" s="32"/>
      <c r="H1126" s="32"/>
      <c r="I1126" s="32"/>
      <c r="J1126" s="28">
        <f t="shared" si="924"/>
        <v>0</v>
      </c>
      <c r="K1126" s="29"/>
      <c r="L1126" s="29"/>
      <c r="M1126" s="29"/>
      <c r="N1126" s="29"/>
      <c r="O1126" s="29"/>
      <c r="P1126" s="30">
        <f t="shared" ref="P1126:P1137" si="926">SUM(J1126:O1126)</f>
        <v>0</v>
      </c>
      <c r="Q1126" s="31">
        <f t="shared" si="925"/>
        <v>0</v>
      </c>
    </row>
    <row r="1127" spans="1:17" x14ac:dyDescent="0.2">
      <c r="A1127" s="10"/>
      <c r="B1127" s="26"/>
      <c r="C1127" s="11">
        <v>1984</v>
      </c>
      <c r="D1127" s="32">
        <f>SPFI_CLB14!$D$7</f>
        <v>0.92793599999999998</v>
      </c>
      <c r="E1127" s="32"/>
      <c r="F1127" s="32"/>
      <c r="G1127" s="32"/>
      <c r="H1127" s="32"/>
      <c r="I1127" s="32"/>
      <c r="J1127" s="28">
        <f t="shared" si="924"/>
        <v>0</v>
      </c>
      <c r="K1127" s="29"/>
      <c r="L1127" s="29"/>
      <c r="M1127" s="29"/>
      <c r="N1127" s="29"/>
      <c r="O1127" s="29"/>
      <c r="P1127" s="30">
        <f t="shared" si="926"/>
        <v>0</v>
      </c>
      <c r="Q1127" s="31">
        <f t="shared" si="925"/>
        <v>0</v>
      </c>
    </row>
    <row r="1128" spans="1:17" x14ac:dyDescent="0.2">
      <c r="A1128" s="10"/>
      <c r="B1128" s="26"/>
      <c r="C1128" s="11">
        <v>1985</v>
      </c>
      <c r="D1128" s="32">
        <f>SPFI_CLB14!$D$8</f>
        <v>0.90386500000000003</v>
      </c>
      <c r="E1128" s="32"/>
      <c r="F1128" s="32"/>
      <c r="G1128" s="32"/>
      <c r="H1128" s="32"/>
      <c r="I1128" s="32"/>
      <c r="J1128" s="28">
        <f t="shared" si="924"/>
        <v>0</v>
      </c>
      <c r="K1128" s="29"/>
      <c r="L1128" s="29"/>
      <c r="M1128" s="29"/>
      <c r="N1128" s="29"/>
      <c r="O1128" s="29"/>
      <c r="P1128" s="30">
        <f t="shared" si="926"/>
        <v>0</v>
      </c>
      <c r="Q1128" s="31">
        <f t="shared" si="925"/>
        <v>0</v>
      </c>
    </row>
    <row r="1129" spans="1:17" x14ac:dyDescent="0.2">
      <c r="A1129" s="10"/>
      <c r="B1129" s="26"/>
      <c r="C1129" s="11">
        <v>1986</v>
      </c>
      <c r="D1129" s="32">
        <f>SPFI_CLB14!$D$9</f>
        <v>0.73087500000000005</v>
      </c>
      <c r="E1129" s="32"/>
      <c r="F1129" s="32"/>
      <c r="G1129" s="32"/>
      <c r="H1129" s="32"/>
      <c r="I1129" s="32"/>
      <c r="J1129" s="28">
        <f t="shared" si="924"/>
        <v>0</v>
      </c>
      <c r="K1129" s="29"/>
      <c r="L1129" s="29"/>
      <c r="M1129" s="29"/>
      <c r="N1129" s="29"/>
      <c r="O1129" s="29"/>
      <c r="P1129" s="30">
        <f t="shared" si="926"/>
        <v>0</v>
      </c>
      <c r="Q1129" s="31">
        <f t="shared" si="925"/>
        <v>0</v>
      </c>
    </row>
    <row r="1130" spans="1:17" x14ac:dyDescent="0.2">
      <c r="A1130" s="10"/>
      <c r="B1130" s="26"/>
      <c r="C1130" s="11">
        <v>1987</v>
      </c>
      <c r="D1130" s="32">
        <f>SPFI_CLB14!$D$10</f>
        <v>0.71733499999999994</v>
      </c>
      <c r="E1130" s="32"/>
      <c r="F1130" s="32"/>
      <c r="G1130" s="32"/>
      <c r="H1130" s="32"/>
      <c r="I1130" s="32"/>
      <c r="J1130" s="28">
        <f t="shared" si="924"/>
        <v>0</v>
      </c>
      <c r="K1130" s="29"/>
      <c r="L1130" s="29"/>
      <c r="M1130" s="29"/>
      <c r="N1130" s="29"/>
      <c r="O1130" s="29"/>
      <c r="P1130" s="30">
        <f t="shared" si="926"/>
        <v>0</v>
      </c>
      <c r="Q1130" s="31">
        <f t="shared" si="925"/>
        <v>0</v>
      </c>
    </row>
    <row r="1131" spans="1:17" x14ac:dyDescent="0.2">
      <c r="A1131" s="10"/>
      <c r="B1131" s="26"/>
      <c r="C1131" s="11">
        <v>1988</v>
      </c>
      <c r="D1131" s="32">
        <f>SPFI_CLB14!$D$11</f>
        <v>0.64558800000000005</v>
      </c>
      <c r="E1131" s="32"/>
      <c r="F1131" s="32"/>
      <c r="G1131" s="32"/>
      <c r="H1131" s="32"/>
      <c r="I1131" s="32"/>
      <c r="J1131" s="28">
        <f t="shared" si="924"/>
        <v>0</v>
      </c>
      <c r="K1131" s="29"/>
      <c r="L1131" s="29"/>
      <c r="M1131" s="29"/>
      <c r="N1131" s="29"/>
      <c r="O1131" s="29"/>
      <c r="P1131" s="30">
        <f t="shared" si="926"/>
        <v>0</v>
      </c>
      <c r="Q1131" s="31">
        <f t="shared" si="925"/>
        <v>0</v>
      </c>
    </row>
    <row r="1132" spans="1:17" x14ac:dyDescent="0.2">
      <c r="A1132" s="10"/>
      <c r="B1132" s="26"/>
      <c r="C1132" s="11">
        <v>1989</v>
      </c>
      <c r="D1132" s="32">
        <f>SPFI_CLB14!$D$12</f>
        <v>0.65287700000000004</v>
      </c>
      <c r="E1132" s="32"/>
      <c r="F1132" s="32"/>
      <c r="G1132" s="32"/>
      <c r="H1132" s="32"/>
      <c r="I1132" s="32"/>
      <c r="J1132" s="28">
        <f t="shared" si="924"/>
        <v>0</v>
      </c>
      <c r="K1132" s="29"/>
      <c r="L1132" s="29"/>
      <c r="M1132" s="29"/>
      <c r="N1132" s="29"/>
      <c r="O1132" s="29"/>
      <c r="P1132" s="30">
        <f t="shared" si="926"/>
        <v>0</v>
      </c>
      <c r="Q1132" s="31">
        <f t="shared" si="925"/>
        <v>0</v>
      </c>
    </row>
    <row r="1133" spans="1:17" x14ac:dyDescent="0.2">
      <c r="A1133" s="10"/>
      <c r="B1133" s="26"/>
      <c r="C1133" s="11">
        <v>1990</v>
      </c>
      <c r="D1133" s="32">
        <f>SPFI_CLB14!$D$13</f>
        <v>0.56965100000000002</v>
      </c>
      <c r="E1133" s="32"/>
      <c r="F1133" s="32"/>
      <c r="G1133" s="32"/>
      <c r="H1133" s="32"/>
      <c r="I1133" s="32"/>
      <c r="J1133" s="28">
        <f t="shared" si="924"/>
        <v>0</v>
      </c>
      <c r="K1133" s="29"/>
      <c r="L1133" s="29"/>
      <c r="M1133" s="29"/>
      <c r="N1133" s="29"/>
      <c r="O1133" s="29"/>
      <c r="P1133" s="30">
        <f t="shared" si="926"/>
        <v>0</v>
      </c>
      <c r="Q1133" s="31">
        <f t="shared" si="925"/>
        <v>0</v>
      </c>
    </row>
    <row r="1134" spans="1:17" x14ac:dyDescent="0.2">
      <c r="A1134" s="10"/>
      <c r="B1134" s="26"/>
      <c r="C1134" s="11">
        <v>1991</v>
      </c>
      <c r="D1134" s="32">
        <f>SPFI_CLB14!$D$14</f>
        <v>0.62776900000000002</v>
      </c>
      <c r="E1134" s="32"/>
      <c r="F1134" s="32"/>
      <c r="G1134" s="32"/>
      <c r="H1134" s="32"/>
      <c r="I1134" s="32"/>
      <c r="J1134" s="28">
        <f t="shared" si="924"/>
        <v>0</v>
      </c>
      <c r="K1134" s="29"/>
      <c r="L1134" s="29"/>
      <c r="M1134" s="29"/>
      <c r="N1134" s="29"/>
      <c r="O1134" s="29"/>
      <c r="P1134" s="30">
        <f t="shared" si="926"/>
        <v>0</v>
      </c>
      <c r="Q1134" s="31">
        <f t="shared" si="925"/>
        <v>0</v>
      </c>
    </row>
    <row r="1135" spans="1:17" x14ac:dyDescent="0.2">
      <c r="A1135" s="10"/>
      <c r="B1135" s="26"/>
      <c r="C1135" s="11">
        <v>1992</v>
      </c>
      <c r="D1135" s="32">
        <f>SPFI_CLB14!$D$15</f>
        <v>0.43504100000000001</v>
      </c>
      <c r="E1135" s="32"/>
      <c r="F1135" s="32"/>
      <c r="G1135" s="32"/>
      <c r="H1135" s="32"/>
      <c r="I1135" s="32"/>
      <c r="J1135" s="28">
        <f t="shared" si="924"/>
        <v>0</v>
      </c>
      <c r="K1135" s="29"/>
      <c r="L1135" s="29"/>
      <c r="M1135" s="29"/>
      <c r="N1135" s="29"/>
      <c r="O1135" s="29"/>
      <c r="P1135" s="30">
        <f t="shared" si="926"/>
        <v>0</v>
      </c>
      <c r="Q1135" s="31">
        <f t="shared" si="925"/>
        <v>0</v>
      </c>
    </row>
    <row r="1136" spans="1:17" x14ac:dyDescent="0.2">
      <c r="A1136" s="10"/>
      <c r="B1136" s="26"/>
      <c r="C1136" s="11">
        <v>1993</v>
      </c>
      <c r="D1136" s="32">
        <f>SPFI_CLB14!$D$16</f>
        <v>0.499164</v>
      </c>
      <c r="E1136" s="32"/>
      <c r="F1136" s="32"/>
      <c r="G1136" s="32"/>
      <c r="H1136" s="32"/>
      <c r="I1136" s="32"/>
      <c r="J1136" s="28">
        <f t="shared" si="924"/>
        <v>0</v>
      </c>
      <c r="K1136" s="29"/>
      <c r="L1136" s="29"/>
      <c r="M1136" s="29"/>
      <c r="N1136" s="29"/>
      <c r="O1136" s="29"/>
      <c r="P1136" s="30">
        <f t="shared" si="926"/>
        <v>0</v>
      </c>
      <c r="Q1136" s="31">
        <f t="shared" si="925"/>
        <v>0</v>
      </c>
    </row>
    <row r="1137" spans="1:17" x14ac:dyDescent="0.2">
      <c r="A1137" s="10"/>
      <c r="B1137" s="26"/>
      <c r="C1137" s="11">
        <v>1994</v>
      </c>
      <c r="D1137" s="32">
        <f>SPFI_CLB14!$D$17</f>
        <v>0.59591300000000003</v>
      </c>
      <c r="E1137" s="32"/>
      <c r="F1137" s="32"/>
      <c r="G1137" s="32"/>
      <c r="H1137" s="32"/>
      <c r="I1137" s="32"/>
      <c r="J1137" s="28">
        <f t="shared" si="924"/>
        <v>0</v>
      </c>
      <c r="K1137" s="29"/>
      <c r="L1137" s="29"/>
      <c r="M1137" s="29"/>
      <c r="N1137" s="29"/>
      <c r="O1137" s="29"/>
      <c r="P1137" s="30">
        <f t="shared" si="926"/>
        <v>0</v>
      </c>
      <c r="Q1137" s="31">
        <f t="shared" si="925"/>
        <v>0</v>
      </c>
    </row>
    <row r="1138" spans="1:17" x14ac:dyDescent="0.2">
      <c r="A1138" s="10"/>
      <c r="B1138" s="26"/>
      <c r="C1138" s="11">
        <v>1995</v>
      </c>
      <c r="D1138" s="32">
        <f>SPFI_CLB14!$D$18</f>
        <v>0.25400800000000001</v>
      </c>
      <c r="E1138" s="32"/>
      <c r="F1138" s="32"/>
      <c r="G1138" s="32"/>
      <c r="H1138" s="32"/>
      <c r="I1138" s="32"/>
      <c r="J1138" s="28">
        <f t="shared" ref="J1138" si="927">D1138*J$36</f>
        <v>0</v>
      </c>
      <c r="K1138" s="29"/>
      <c r="L1138" s="29"/>
      <c r="M1138" s="29"/>
      <c r="N1138" s="29"/>
      <c r="O1138" s="29"/>
      <c r="P1138" s="30">
        <f>SUM(J1138:O1138)</f>
        <v>0</v>
      </c>
      <c r="Q1138" s="31">
        <f t="shared" si="925"/>
        <v>0</v>
      </c>
    </row>
    <row r="1139" spans="1:17" x14ac:dyDescent="0.2">
      <c r="A1139" s="10"/>
      <c r="B1139" s="26"/>
      <c r="C1139" s="11">
        <v>1996</v>
      </c>
      <c r="D1139" s="32">
        <f>SPFI_CLB14!$D$19</f>
        <v>0</v>
      </c>
      <c r="E1139" s="32"/>
      <c r="F1139" s="32"/>
      <c r="G1139" s="32"/>
      <c r="H1139" s="32"/>
      <c r="I1139" s="32"/>
      <c r="J1139" s="28">
        <f t="shared" ref="J1139" si="928">D1139*J$36</f>
        <v>0</v>
      </c>
      <c r="K1139" s="29"/>
      <c r="L1139" s="29"/>
      <c r="M1139" s="29"/>
      <c r="N1139" s="29"/>
      <c r="O1139" s="29"/>
      <c r="P1139" s="30">
        <f>SUM(J1139:O1139)</f>
        <v>0</v>
      </c>
      <c r="Q1139" s="31">
        <f t="shared" si="925"/>
        <v>0</v>
      </c>
    </row>
    <row r="1140" spans="1:17" x14ac:dyDescent="0.2">
      <c r="A1140" s="10"/>
      <c r="B1140" s="26"/>
      <c r="C1140" s="11">
        <v>1997</v>
      </c>
      <c r="D1140" s="32">
        <f>SPFI_CLB14!$D$20</f>
        <v>0.201487</v>
      </c>
      <c r="E1140" s="32"/>
      <c r="F1140" s="32"/>
      <c r="G1140" s="32"/>
      <c r="H1140" s="32"/>
      <c r="I1140" s="32"/>
      <c r="J1140" s="28">
        <f t="shared" ref="J1140" si="929">D1140*J$36</f>
        <v>0</v>
      </c>
      <c r="K1140" s="29"/>
      <c r="L1140" s="29"/>
      <c r="M1140" s="29"/>
      <c r="N1140" s="29"/>
      <c r="O1140" s="29"/>
      <c r="P1140" s="30">
        <f>SUM(J1140:O1140)</f>
        <v>0</v>
      </c>
      <c r="Q1140" s="31">
        <f t="shared" si="925"/>
        <v>0</v>
      </c>
    </row>
    <row r="1141" spans="1:17" x14ac:dyDescent="0.2">
      <c r="A1141" s="10"/>
      <c r="B1141" s="26"/>
      <c r="C1141" s="11">
        <v>1998</v>
      </c>
      <c r="D1141" s="32">
        <f>SPFI_CLB14!$D$21</f>
        <v>0.37506400000000001</v>
      </c>
      <c r="E1141" s="32"/>
      <c r="F1141" s="32"/>
      <c r="G1141" s="32"/>
      <c r="H1141" s="32"/>
      <c r="I1141" s="32"/>
      <c r="J1141" s="28">
        <f t="shared" ref="J1141" si="930">D1141*J$36</f>
        <v>0</v>
      </c>
      <c r="K1141" s="29"/>
      <c r="L1141" s="29"/>
      <c r="M1141" s="29"/>
      <c r="N1141" s="29"/>
      <c r="O1141" s="29"/>
      <c r="P1141" s="30">
        <f>SUM(J1141:O1141)</f>
        <v>0</v>
      </c>
      <c r="Q1141" s="31">
        <f t="shared" si="925"/>
        <v>0</v>
      </c>
    </row>
    <row r="1142" spans="1:17" x14ac:dyDescent="0.2">
      <c r="A1142" s="10"/>
      <c r="B1142" s="26"/>
      <c r="C1142" s="11">
        <v>1999</v>
      </c>
      <c r="D1142" s="32">
        <f>SPFI_CLB14!$D$22</f>
        <v>0.29823699999999997</v>
      </c>
      <c r="E1142" s="32"/>
      <c r="F1142" s="32"/>
      <c r="G1142" s="32"/>
      <c r="H1142" s="32"/>
      <c r="I1142" s="32"/>
      <c r="J1142" s="28">
        <f t="shared" ref="J1142" si="931">D1142*J$36</f>
        <v>0</v>
      </c>
      <c r="K1142" s="29"/>
      <c r="L1142" s="29"/>
      <c r="M1142" s="29"/>
      <c r="N1142" s="29"/>
      <c r="O1142" s="29"/>
      <c r="P1142" s="30">
        <f>SUM(J1142:O1142)</f>
        <v>0</v>
      </c>
      <c r="Q1142" s="31">
        <f t="shared" ref="Q1142:Q1147" si="932">IF(C$36&gt;0,P1142/C$36,0)</f>
        <v>0</v>
      </c>
    </row>
    <row r="1143" spans="1:17" x14ac:dyDescent="0.2">
      <c r="A1143" s="10"/>
      <c r="B1143" s="26"/>
      <c r="C1143" s="11">
        <v>2000</v>
      </c>
      <c r="D1143" s="32">
        <f>SPFI_CLB14!$D$23</f>
        <v>8.4414000000000003E-2</v>
      </c>
      <c r="E1143" s="32"/>
      <c r="F1143" s="32"/>
      <c r="G1143" s="32"/>
      <c r="H1143" s="32"/>
      <c r="I1143" s="32"/>
      <c r="J1143" s="28">
        <f t="shared" ref="J1143" si="933">D1143*J$36</f>
        <v>0</v>
      </c>
      <c r="K1143" s="29"/>
      <c r="L1143" s="29"/>
      <c r="M1143" s="29"/>
      <c r="N1143" s="29"/>
      <c r="O1143" s="29"/>
      <c r="P1143" s="30">
        <f t="shared" ref="P1143:P1148" si="934">SUM(J1143:O1143)</f>
        <v>0</v>
      </c>
      <c r="Q1143" s="31">
        <f t="shared" si="932"/>
        <v>0</v>
      </c>
    </row>
    <row r="1144" spans="1:17" x14ac:dyDescent="0.2">
      <c r="A1144" s="10"/>
      <c r="B1144" s="26"/>
      <c r="C1144" s="11">
        <v>2001</v>
      </c>
      <c r="D1144" s="32">
        <f>SPFI_CLB14!$D$24</f>
        <v>7.8909000000000007E-2</v>
      </c>
      <c r="E1144" s="32"/>
      <c r="F1144" s="32"/>
      <c r="G1144" s="32"/>
      <c r="H1144" s="32"/>
      <c r="I1144" s="32"/>
      <c r="J1144" s="28">
        <f t="shared" ref="J1144" si="935">D1144*J$36</f>
        <v>0</v>
      </c>
      <c r="K1144" s="29"/>
      <c r="L1144" s="29"/>
      <c r="M1144" s="29"/>
      <c r="N1144" s="29"/>
      <c r="O1144" s="29"/>
      <c r="P1144" s="30">
        <f t="shared" si="934"/>
        <v>0</v>
      </c>
      <c r="Q1144" s="31">
        <f t="shared" si="932"/>
        <v>0</v>
      </c>
    </row>
    <row r="1145" spans="1:17" x14ac:dyDescent="0.2">
      <c r="A1145" s="10"/>
      <c r="B1145" s="26"/>
      <c r="C1145" s="11">
        <v>2002</v>
      </c>
      <c r="D1145" s="32">
        <f>SPFI_CLB14!$D$25</f>
        <v>0.29974699999999999</v>
      </c>
      <c r="E1145" s="32"/>
      <c r="F1145" s="32"/>
      <c r="G1145" s="32"/>
      <c r="H1145" s="32"/>
      <c r="I1145" s="32"/>
      <c r="J1145" s="28">
        <f t="shared" ref="J1145" si="936">D1145*J$36</f>
        <v>0</v>
      </c>
      <c r="K1145" s="29"/>
      <c r="L1145" s="29"/>
      <c r="M1145" s="29"/>
      <c r="N1145" s="29"/>
      <c r="O1145" s="29"/>
      <c r="P1145" s="30">
        <f t="shared" si="934"/>
        <v>0</v>
      </c>
      <c r="Q1145" s="31">
        <f t="shared" si="932"/>
        <v>0</v>
      </c>
    </row>
    <row r="1146" spans="1:17" x14ac:dyDescent="0.2">
      <c r="A1146" s="10"/>
      <c r="B1146" s="26"/>
      <c r="C1146" s="11">
        <v>2003</v>
      </c>
      <c r="D1146" s="32">
        <f>SPFI_CLB14!$D$26</f>
        <v>0.20691100000000001</v>
      </c>
      <c r="E1146" s="32"/>
      <c r="F1146" s="32"/>
      <c r="G1146" s="32"/>
      <c r="H1146" s="32"/>
      <c r="I1146" s="32"/>
      <c r="J1146" s="28">
        <f t="shared" ref="J1146" si="937">D1146*J$36</f>
        <v>0</v>
      </c>
      <c r="K1146" s="29"/>
      <c r="L1146" s="29"/>
      <c r="M1146" s="29"/>
      <c r="N1146" s="29"/>
      <c r="O1146" s="29"/>
      <c r="P1146" s="30">
        <f t="shared" si="934"/>
        <v>0</v>
      </c>
      <c r="Q1146" s="31">
        <f t="shared" si="932"/>
        <v>0</v>
      </c>
    </row>
    <row r="1147" spans="1:17" x14ac:dyDescent="0.2">
      <c r="A1147" s="10"/>
      <c r="B1147" s="26"/>
      <c r="C1147" s="11">
        <v>2004</v>
      </c>
      <c r="D1147" s="32">
        <f>SPFI_CLB14!$D$27</f>
        <v>0.269237</v>
      </c>
      <c r="E1147" s="32"/>
      <c r="F1147" s="32"/>
      <c r="G1147" s="32"/>
      <c r="H1147" s="32"/>
      <c r="I1147" s="32"/>
      <c r="J1147" s="28">
        <f t="shared" ref="J1147" si="938">D1147*J$36</f>
        <v>0</v>
      </c>
      <c r="K1147" s="29"/>
      <c r="L1147" s="29"/>
      <c r="M1147" s="29"/>
      <c r="N1147" s="29"/>
      <c r="O1147" s="29"/>
      <c r="P1147" s="30">
        <f t="shared" si="934"/>
        <v>0</v>
      </c>
      <c r="Q1147" s="31">
        <f t="shared" si="932"/>
        <v>0</v>
      </c>
    </row>
    <row r="1148" spans="1:17" x14ac:dyDescent="0.2">
      <c r="A1148" s="10"/>
      <c r="B1148" s="26"/>
      <c r="C1148" s="11">
        <v>2005</v>
      </c>
      <c r="D1148" s="32">
        <f>SPFI_CLB14!$D$28</f>
        <v>0.37848700000000002</v>
      </c>
      <c r="E1148" s="32"/>
      <c r="F1148" s="32"/>
      <c r="G1148" s="32"/>
      <c r="H1148" s="32"/>
      <c r="I1148" s="32"/>
      <c r="J1148" s="28">
        <f t="shared" ref="J1148" si="939">D1148*J$36</f>
        <v>0</v>
      </c>
      <c r="K1148" s="29"/>
      <c r="L1148" s="29"/>
      <c r="M1148" s="29"/>
      <c r="N1148" s="29"/>
      <c r="O1148" s="29"/>
      <c r="P1148" s="30">
        <f t="shared" si="934"/>
        <v>0</v>
      </c>
      <c r="Q1148" s="31">
        <f t="shared" ref="Q1148:Q1153" si="940">IF(C$36&gt;0,P1148/C$36,0)</f>
        <v>0</v>
      </c>
    </row>
    <row r="1149" spans="1:17" x14ac:dyDescent="0.2">
      <c r="A1149" s="10"/>
      <c r="B1149" s="26"/>
      <c r="C1149" s="11">
        <v>2006</v>
      </c>
      <c r="D1149" s="32">
        <f>SPFI_CLB14!$D$29</f>
        <v>0.381023</v>
      </c>
      <c r="E1149" s="32"/>
      <c r="F1149" s="32"/>
      <c r="G1149" s="32"/>
      <c r="H1149" s="32"/>
      <c r="I1149" s="32"/>
      <c r="J1149" s="28">
        <f t="shared" ref="J1149" si="941">D1149*J$36</f>
        <v>0</v>
      </c>
      <c r="K1149" s="29"/>
      <c r="L1149" s="29"/>
      <c r="M1149" s="29"/>
      <c r="N1149" s="29"/>
      <c r="O1149" s="29"/>
      <c r="P1149" s="30">
        <f t="shared" ref="P1149:P1156" si="942">SUM(J1149:O1149)</f>
        <v>0</v>
      </c>
      <c r="Q1149" s="31">
        <f t="shared" si="940"/>
        <v>0</v>
      </c>
    </row>
    <row r="1150" spans="1:17" x14ac:dyDescent="0.2">
      <c r="A1150" s="10"/>
      <c r="B1150" s="26"/>
      <c r="C1150" s="11">
        <v>2007</v>
      </c>
      <c r="D1150" s="32">
        <f>SPFI_CLB14!$D$30</f>
        <v>0.356512</v>
      </c>
      <c r="E1150" s="32"/>
      <c r="F1150" s="32"/>
      <c r="G1150" s="32"/>
      <c r="H1150" s="32"/>
      <c r="I1150" s="32"/>
      <c r="J1150" s="28">
        <f t="shared" ref="J1150" si="943">D1150*J$36</f>
        <v>0</v>
      </c>
      <c r="K1150" s="29"/>
      <c r="L1150" s="29"/>
      <c r="M1150" s="29"/>
      <c r="N1150" s="29"/>
      <c r="O1150" s="29"/>
      <c r="P1150" s="30">
        <f t="shared" si="942"/>
        <v>0</v>
      </c>
      <c r="Q1150" s="31">
        <f t="shared" si="940"/>
        <v>0</v>
      </c>
    </row>
    <row r="1151" spans="1:17" x14ac:dyDescent="0.2">
      <c r="A1151" s="10"/>
      <c r="B1151" s="26"/>
      <c r="C1151" s="11">
        <v>2008</v>
      </c>
      <c r="D1151" s="32">
        <f>SPFI_CLB14!$D$31</f>
        <v>0.25494499999999998</v>
      </c>
      <c r="E1151" s="32"/>
      <c r="F1151" s="32"/>
      <c r="G1151" s="32"/>
      <c r="H1151" s="32"/>
      <c r="I1151" s="32"/>
      <c r="J1151" s="28">
        <f t="shared" ref="J1151" si="944">D1151*J$36</f>
        <v>0</v>
      </c>
      <c r="K1151" s="29"/>
      <c r="L1151" s="29"/>
      <c r="M1151" s="29"/>
      <c r="N1151" s="29"/>
      <c r="O1151" s="29"/>
      <c r="P1151" s="30">
        <f t="shared" si="942"/>
        <v>0</v>
      </c>
      <c r="Q1151" s="31">
        <f t="shared" si="940"/>
        <v>0</v>
      </c>
    </row>
    <row r="1152" spans="1:17" x14ac:dyDescent="0.2">
      <c r="A1152" s="10"/>
      <c r="B1152" s="26"/>
      <c r="C1152" s="11">
        <v>2009</v>
      </c>
      <c r="D1152" s="32">
        <f>SPFI_CLB14!$D$32</f>
        <v>0.52383000000000002</v>
      </c>
      <c r="E1152" s="32"/>
      <c r="F1152" s="32"/>
      <c r="G1152" s="32"/>
      <c r="H1152" s="32"/>
      <c r="I1152" s="32"/>
      <c r="J1152" s="28">
        <f t="shared" ref="J1152" si="945">D1152*J$36</f>
        <v>0</v>
      </c>
      <c r="K1152" s="29"/>
      <c r="L1152" s="29"/>
      <c r="M1152" s="29"/>
      <c r="N1152" s="29"/>
      <c r="O1152" s="29"/>
      <c r="P1152" s="30">
        <f t="shared" si="942"/>
        <v>0</v>
      </c>
      <c r="Q1152" s="31">
        <f t="shared" si="940"/>
        <v>0</v>
      </c>
    </row>
    <row r="1153" spans="1:17" x14ac:dyDescent="0.2">
      <c r="A1153" s="10"/>
      <c r="B1153" s="26"/>
      <c r="C1153" s="11">
        <v>2010</v>
      </c>
      <c r="D1153" s="32">
        <f>SPFI_CLB14!$D$33</f>
        <v>0.31394</v>
      </c>
      <c r="E1153" s="32"/>
      <c r="F1153" s="32"/>
      <c r="G1153" s="32"/>
      <c r="H1153" s="32"/>
      <c r="I1153" s="32"/>
      <c r="J1153" s="28">
        <f t="shared" ref="J1153" si="946">D1153*J$36</f>
        <v>0</v>
      </c>
      <c r="K1153" s="29"/>
      <c r="L1153" s="29"/>
      <c r="M1153" s="29"/>
      <c r="N1153" s="29"/>
      <c r="O1153" s="29"/>
      <c r="P1153" s="30">
        <f t="shared" si="942"/>
        <v>0</v>
      </c>
      <c r="Q1153" s="31">
        <f t="shared" si="940"/>
        <v>0</v>
      </c>
    </row>
    <row r="1154" spans="1:17" x14ac:dyDescent="0.2">
      <c r="A1154" s="10"/>
      <c r="B1154" s="26"/>
      <c r="C1154" s="11">
        <v>2011</v>
      </c>
      <c r="D1154" s="32">
        <f>SPFI_CLB14!$D$34</f>
        <v>0.294348</v>
      </c>
      <c r="E1154" s="32"/>
      <c r="F1154" s="32"/>
      <c r="G1154" s="32"/>
      <c r="H1154" s="32"/>
      <c r="I1154" s="32"/>
      <c r="J1154" s="28">
        <f t="shared" ref="J1154" si="947">D1154*J$36</f>
        <v>0</v>
      </c>
      <c r="K1154" s="29"/>
      <c r="L1154" s="29"/>
      <c r="M1154" s="29"/>
      <c r="N1154" s="29"/>
      <c r="O1154" s="29"/>
      <c r="P1154" s="30">
        <f t="shared" ref="P1154" si="948">SUM(J1154:O1154)</f>
        <v>0</v>
      </c>
      <c r="Q1154" s="31">
        <f t="shared" ref="Q1154" si="949">IF(C$36&gt;0,P1154/C$36,0)</f>
        <v>0</v>
      </c>
    </row>
    <row r="1155" spans="1:17" x14ac:dyDescent="0.2">
      <c r="A1155" s="10"/>
      <c r="B1155" s="26"/>
      <c r="C1155" s="11">
        <v>2012</v>
      </c>
      <c r="D1155" s="32">
        <f>SPFI_CLB14!$D$35</f>
        <v>0.34784100000000001</v>
      </c>
      <c r="E1155" s="32"/>
      <c r="F1155" s="32"/>
      <c r="G1155" s="32"/>
      <c r="H1155" s="32"/>
      <c r="I1155" s="32"/>
      <c r="J1155" s="28">
        <f t="shared" ref="J1155" si="950">D1155*J$36</f>
        <v>0</v>
      </c>
      <c r="K1155" s="29"/>
      <c r="L1155" s="29"/>
      <c r="M1155" s="29"/>
      <c r="N1155" s="29"/>
      <c r="O1155" s="29"/>
      <c r="P1155" s="30">
        <f t="shared" ref="P1155" si="951">SUM(J1155:O1155)</f>
        <v>0</v>
      </c>
      <c r="Q1155" s="31">
        <f t="shared" ref="Q1155" si="952">IF(C$36&gt;0,P1155/C$36,0)</f>
        <v>0</v>
      </c>
    </row>
    <row r="1156" spans="1:17" x14ac:dyDescent="0.2">
      <c r="A1156" s="5" t="s">
        <v>14</v>
      </c>
      <c r="B1156" s="21">
        <v>3</v>
      </c>
      <c r="C1156" s="6">
        <v>1982</v>
      </c>
      <c r="D1156" s="27">
        <f>SPFI_CLB14!$D$5</f>
        <v>0.98153299999999999</v>
      </c>
      <c r="E1156" s="27"/>
      <c r="F1156" s="27"/>
      <c r="G1156" s="27"/>
      <c r="H1156" s="27"/>
      <c r="I1156" s="27"/>
      <c r="J1156" s="33">
        <f t="shared" ref="J1156:J1168" si="953">D1156*J$37</f>
        <v>0</v>
      </c>
      <c r="K1156" s="27"/>
      <c r="L1156" s="27"/>
      <c r="M1156" s="27"/>
      <c r="N1156" s="27"/>
      <c r="O1156" s="27"/>
      <c r="P1156" s="34">
        <f t="shared" si="942"/>
        <v>0</v>
      </c>
      <c r="Q1156" s="35">
        <f t="shared" ref="Q1156:Q1172" si="954">IF(C$37&gt;0,P1156/C$37,0)</f>
        <v>0</v>
      </c>
    </row>
    <row r="1157" spans="1:17" x14ac:dyDescent="0.2">
      <c r="A1157" s="10"/>
      <c r="B1157" s="26"/>
      <c r="C1157" s="11">
        <v>1983</v>
      </c>
      <c r="D1157" s="32">
        <f>SPFI_CLB14!$D$6</f>
        <v>0.93659899999999996</v>
      </c>
      <c r="E1157" s="32"/>
      <c r="F1157" s="32"/>
      <c r="G1157" s="32"/>
      <c r="H1157" s="32"/>
      <c r="I1157" s="32"/>
      <c r="J1157" s="28">
        <f t="shared" si="953"/>
        <v>0</v>
      </c>
      <c r="K1157" s="29"/>
      <c r="L1157" s="29"/>
      <c r="M1157" s="29"/>
      <c r="N1157" s="29"/>
      <c r="O1157" s="29"/>
      <c r="P1157" s="30">
        <f t="shared" ref="P1157:P1168" si="955">SUM(J1157:O1157)</f>
        <v>0</v>
      </c>
      <c r="Q1157" s="31">
        <f t="shared" si="954"/>
        <v>0</v>
      </c>
    </row>
    <row r="1158" spans="1:17" x14ac:dyDescent="0.2">
      <c r="A1158" s="10"/>
      <c r="B1158" s="26"/>
      <c r="C1158" s="11">
        <v>1984</v>
      </c>
      <c r="D1158" s="32">
        <f>SPFI_CLB14!$D$7</f>
        <v>0.92793599999999998</v>
      </c>
      <c r="E1158" s="32"/>
      <c r="F1158" s="32"/>
      <c r="G1158" s="32"/>
      <c r="H1158" s="32"/>
      <c r="I1158" s="32"/>
      <c r="J1158" s="28">
        <f t="shared" si="953"/>
        <v>0</v>
      </c>
      <c r="K1158" s="29"/>
      <c r="L1158" s="29"/>
      <c r="M1158" s="29"/>
      <c r="N1158" s="29"/>
      <c r="O1158" s="29"/>
      <c r="P1158" s="30">
        <f t="shared" si="955"/>
        <v>0</v>
      </c>
      <c r="Q1158" s="31">
        <f t="shared" si="954"/>
        <v>0</v>
      </c>
    </row>
    <row r="1159" spans="1:17" x14ac:dyDescent="0.2">
      <c r="A1159" s="10"/>
      <c r="B1159" s="26"/>
      <c r="C1159" s="11">
        <v>1985</v>
      </c>
      <c r="D1159" s="32">
        <f>SPFI_CLB14!$D$8</f>
        <v>0.90386500000000003</v>
      </c>
      <c r="E1159" s="32"/>
      <c r="F1159" s="32"/>
      <c r="G1159" s="32"/>
      <c r="H1159" s="32"/>
      <c r="I1159" s="32"/>
      <c r="J1159" s="28">
        <f t="shared" si="953"/>
        <v>0</v>
      </c>
      <c r="K1159" s="29"/>
      <c r="L1159" s="29"/>
      <c r="M1159" s="29"/>
      <c r="N1159" s="29"/>
      <c r="O1159" s="29"/>
      <c r="P1159" s="30">
        <f t="shared" si="955"/>
        <v>0</v>
      </c>
      <c r="Q1159" s="31">
        <f t="shared" si="954"/>
        <v>0</v>
      </c>
    </row>
    <row r="1160" spans="1:17" x14ac:dyDescent="0.2">
      <c r="A1160" s="10"/>
      <c r="B1160" s="26"/>
      <c r="C1160" s="11">
        <v>1986</v>
      </c>
      <c r="D1160" s="32">
        <f>SPFI_CLB14!$D$9</f>
        <v>0.73087500000000005</v>
      </c>
      <c r="E1160" s="32"/>
      <c r="F1160" s="32"/>
      <c r="G1160" s="32"/>
      <c r="H1160" s="32"/>
      <c r="I1160" s="32"/>
      <c r="J1160" s="28">
        <f t="shared" si="953"/>
        <v>0</v>
      </c>
      <c r="K1160" s="29"/>
      <c r="L1160" s="29"/>
      <c r="M1160" s="29"/>
      <c r="N1160" s="29"/>
      <c r="O1160" s="29"/>
      <c r="P1160" s="30">
        <f t="shared" si="955"/>
        <v>0</v>
      </c>
      <c r="Q1160" s="31">
        <f t="shared" si="954"/>
        <v>0</v>
      </c>
    </row>
    <row r="1161" spans="1:17" x14ac:dyDescent="0.2">
      <c r="A1161" s="10"/>
      <c r="B1161" s="26"/>
      <c r="C1161" s="11">
        <v>1987</v>
      </c>
      <c r="D1161" s="32">
        <f>SPFI_CLB14!$D$10</f>
        <v>0.71733499999999994</v>
      </c>
      <c r="E1161" s="32"/>
      <c r="F1161" s="32"/>
      <c r="G1161" s="32"/>
      <c r="H1161" s="32"/>
      <c r="I1161" s="32"/>
      <c r="J1161" s="28">
        <f t="shared" si="953"/>
        <v>0</v>
      </c>
      <c r="K1161" s="29"/>
      <c r="L1161" s="29"/>
      <c r="M1161" s="29"/>
      <c r="N1161" s="29"/>
      <c r="O1161" s="29"/>
      <c r="P1161" s="30">
        <f t="shared" si="955"/>
        <v>0</v>
      </c>
      <c r="Q1161" s="31">
        <f t="shared" si="954"/>
        <v>0</v>
      </c>
    </row>
    <row r="1162" spans="1:17" x14ac:dyDescent="0.2">
      <c r="A1162" s="10"/>
      <c r="B1162" s="26"/>
      <c r="C1162" s="11">
        <v>1988</v>
      </c>
      <c r="D1162" s="32">
        <f>SPFI_CLB14!$D$11</f>
        <v>0.64558800000000005</v>
      </c>
      <c r="E1162" s="32"/>
      <c r="F1162" s="32"/>
      <c r="G1162" s="32"/>
      <c r="H1162" s="32"/>
      <c r="I1162" s="32"/>
      <c r="J1162" s="28">
        <f t="shared" si="953"/>
        <v>0</v>
      </c>
      <c r="K1162" s="29"/>
      <c r="L1162" s="29"/>
      <c r="M1162" s="29"/>
      <c r="N1162" s="29"/>
      <c r="O1162" s="29"/>
      <c r="P1162" s="30">
        <f t="shared" si="955"/>
        <v>0</v>
      </c>
      <c r="Q1162" s="31">
        <f t="shared" si="954"/>
        <v>0</v>
      </c>
    </row>
    <row r="1163" spans="1:17" x14ac:dyDescent="0.2">
      <c r="A1163" s="10"/>
      <c r="B1163" s="26"/>
      <c r="C1163" s="11">
        <v>1989</v>
      </c>
      <c r="D1163" s="32">
        <f>SPFI_CLB14!$D$12</f>
        <v>0.65287700000000004</v>
      </c>
      <c r="E1163" s="32"/>
      <c r="F1163" s="32"/>
      <c r="G1163" s="32"/>
      <c r="H1163" s="32"/>
      <c r="I1163" s="32"/>
      <c r="J1163" s="28">
        <f t="shared" si="953"/>
        <v>0</v>
      </c>
      <c r="K1163" s="29"/>
      <c r="L1163" s="29"/>
      <c r="M1163" s="29"/>
      <c r="N1163" s="29"/>
      <c r="O1163" s="29"/>
      <c r="P1163" s="30">
        <f t="shared" si="955"/>
        <v>0</v>
      </c>
      <c r="Q1163" s="31">
        <f t="shared" si="954"/>
        <v>0</v>
      </c>
    </row>
    <row r="1164" spans="1:17" x14ac:dyDescent="0.2">
      <c r="A1164" s="10"/>
      <c r="B1164" s="26"/>
      <c r="C1164" s="11">
        <v>1990</v>
      </c>
      <c r="D1164" s="32">
        <f>SPFI_CLB14!$D$13</f>
        <v>0.56965100000000002</v>
      </c>
      <c r="E1164" s="32"/>
      <c r="F1164" s="32"/>
      <c r="G1164" s="32"/>
      <c r="H1164" s="32"/>
      <c r="I1164" s="32"/>
      <c r="J1164" s="28">
        <f t="shared" si="953"/>
        <v>0</v>
      </c>
      <c r="K1164" s="29"/>
      <c r="L1164" s="29"/>
      <c r="M1164" s="29"/>
      <c r="N1164" s="29"/>
      <c r="O1164" s="29"/>
      <c r="P1164" s="30">
        <f t="shared" si="955"/>
        <v>0</v>
      </c>
      <c r="Q1164" s="31">
        <f t="shared" si="954"/>
        <v>0</v>
      </c>
    </row>
    <row r="1165" spans="1:17" x14ac:dyDescent="0.2">
      <c r="A1165" s="10"/>
      <c r="B1165" s="26"/>
      <c r="C1165" s="11">
        <v>1991</v>
      </c>
      <c r="D1165" s="32">
        <f>SPFI_CLB14!$D$14</f>
        <v>0.62776900000000002</v>
      </c>
      <c r="E1165" s="32"/>
      <c r="F1165" s="32"/>
      <c r="G1165" s="32"/>
      <c r="H1165" s="32"/>
      <c r="I1165" s="32"/>
      <c r="J1165" s="28">
        <f t="shared" si="953"/>
        <v>0</v>
      </c>
      <c r="K1165" s="29"/>
      <c r="L1165" s="29"/>
      <c r="M1165" s="29"/>
      <c r="N1165" s="29"/>
      <c r="O1165" s="29"/>
      <c r="P1165" s="30">
        <f t="shared" si="955"/>
        <v>0</v>
      </c>
      <c r="Q1165" s="31">
        <f t="shared" si="954"/>
        <v>0</v>
      </c>
    </row>
    <row r="1166" spans="1:17" x14ac:dyDescent="0.2">
      <c r="A1166" s="10"/>
      <c r="B1166" s="26"/>
      <c r="C1166" s="11">
        <v>1992</v>
      </c>
      <c r="D1166" s="32">
        <f>SPFI_CLB14!$D$15</f>
        <v>0.43504100000000001</v>
      </c>
      <c r="E1166" s="32"/>
      <c r="F1166" s="32"/>
      <c r="G1166" s="32"/>
      <c r="H1166" s="32"/>
      <c r="I1166" s="32"/>
      <c r="J1166" s="28">
        <f t="shared" si="953"/>
        <v>0</v>
      </c>
      <c r="K1166" s="29"/>
      <c r="L1166" s="29"/>
      <c r="M1166" s="29"/>
      <c r="N1166" s="29"/>
      <c r="O1166" s="29"/>
      <c r="P1166" s="30">
        <f t="shared" si="955"/>
        <v>0</v>
      </c>
      <c r="Q1166" s="31">
        <f t="shared" si="954"/>
        <v>0</v>
      </c>
    </row>
    <row r="1167" spans="1:17" x14ac:dyDescent="0.2">
      <c r="A1167" s="10"/>
      <c r="B1167" s="26"/>
      <c r="C1167" s="11">
        <v>1993</v>
      </c>
      <c r="D1167" s="32">
        <f>SPFI_CLB14!$D$16</f>
        <v>0.499164</v>
      </c>
      <c r="E1167" s="32"/>
      <c r="F1167" s="32"/>
      <c r="G1167" s="32"/>
      <c r="H1167" s="32"/>
      <c r="I1167" s="32"/>
      <c r="J1167" s="28">
        <f t="shared" si="953"/>
        <v>0</v>
      </c>
      <c r="K1167" s="29"/>
      <c r="L1167" s="29"/>
      <c r="M1167" s="29"/>
      <c r="N1167" s="29"/>
      <c r="O1167" s="29"/>
      <c r="P1167" s="30">
        <f t="shared" si="955"/>
        <v>0</v>
      </c>
      <c r="Q1167" s="31">
        <f t="shared" si="954"/>
        <v>0</v>
      </c>
    </row>
    <row r="1168" spans="1:17" x14ac:dyDescent="0.2">
      <c r="A1168" s="10"/>
      <c r="B1168" s="26"/>
      <c r="C1168" s="11">
        <v>1994</v>
      </c>
      <c r="D1168" s="32">
        <f>SPFI_CLB14!$D$17</f>
        <v>0.59591300000000003</v>
      </c>
      <c r="E1168" s="32"/>
      <c r="F1168" s="32"/>
      <c r="G1168" s="32"/>
      <c r="H1168" s="32"/>
      <c r="I1168" s="32"/>
      <c r="J1168" s="28">
        <f t="shared" si="953"/>
        <v>0</v>
      </c>
      <c r="K1168" s="29"/>
      <c r="L1168" s="29"/>
      <c r="M1168" s="29"/>
      <c r="N1168" s="29"/>
      <c r="O1168" s="29"/>
      <c r="P1168" s="30">
        <f t="shared" si="955"/>
        <v>0</v>
      </c>
      <c r="Q1168" s="31">
        <f t="shared" si="954"/>
        <v>0</v>
      </c>
    </row>
    <row r="1169" spans="1:17" x14ac:dyDescent="0.2">
      <c r="A1169" s="10"/>
      <c r="B1169" s="26"/>
      <c r="C1169" s="11">
        <v>1995</v>
      </c>
      <c r="D1169" s="32">
        <f>SPFI_CLB14!$D$18</f>
        <v>0.25400800000000001</v>
      </c>
      <c r="E1169" s="32"/>
      <c r="F1169" s="32"/>
      <c r="G1169" s="32"/>
      <c r="H1169" s="32"/>
      <c r="I1169" s="32"/>
      <c r="J1169" s="28">
        <f t="shared" ref="J1169" si="956">D1169*J$37</f>
        <v>0</v>
      </c>
      <c r="K1169" s="29"/>
      <c r="L1169" s="29"/>
      <c r="M1169" s="29"/>
      <c r="N1169" s="29"/>
      <c r="O1169" s="29"/>
      <c r="P1169" s="30">
        <f>SUM(J1169:O1169)</f>
        <v>0</v>
      </c>
      <c r="Q1169" s="31">
        <f t="shared" si="954"/>
        <v>0</v>
      </c>
    </row>
    <row r="1170" spans="1:17" x14ac:dyDescent="0.2">
      <c r="A1170" s="10"/>
      <c r="B1170" s="26"/>
      <c r="C1170" s="11">
        <v>1996</v>
      </c>
      <c r="D1170" s="32">
        <f>SPFI_CLB14!$D$19</f>
        <v>0</v>
      </c>
      <c r="E1170" s="32"/>
      <c r="F1170" s="32"/>
      <c r="G1170" s="32"/>
      <c r="H1170" s="32"/>
      <c r="I1170" s="32"/>
      <c r="J1170" s="28">
        <f t="shared" ref="J1170" si="957">D1170*J$37</f>
        <v>0</v>
      </c>
      <c r="K1170" s="29"/>
      <c r="L1170" s="29"/>
      <c r="M1170" s="29"/>
      <c r="N1170" s="29"/>
      <c r="O1170" s="29"/>
      <c r="P1170" s="30">
        <f>SUM(J1170:O1170)</f>
        <v>0</v>
      </c>
      <c r="Q1170" s="31">
        <f t="shared" si="954"/>
        <v>0</v>
      </c>
    </row>
    <row r="1171" spans="1:17" x14ac:dyDescent="0.2">
      <c r="A1171" s="10"/>
      <c r="B1171" s="26"/>
      <c r="C1171" s="11">
        <v>1997</v>
      </c>
      <c r="D1171" s="32">
        <f>SPFI_CLB14!$D$20</f>
        <v>0.201487</v>
      </c>
      <c r="E1171" s="32"/>
      <c r="F1171" s="32"/>
      <c r="G1171" s="32"/>
      <c r="H1171" s="32"/>
      <c r="I1171" s="32"/>
      <c r="J1171" s="28">
        <f t="shared" ref="J1171" si="958">D1171*J$37</f>
        <v>0</v>
      </c>
      <c r="K1171" s="29"/>
      <c r="L1171" s="29"/>
      <c r="M1171" s="29"/>
      <c r="N1171" s="29"/>
      <c r="O1171" s="29"/>
      <c r="P1171" s="30">
        <f>SUM(J1171:O1171)</f>
        <v>0</v>
      </c>
      <c r="Q1171" s="31">
        <f t="shared" si="954"/>
        <v>0</v>
      </c>
    </row>
    <row r="1172" spans="1:17" x14ac:dyDescent="0.2">
      <c r="A1172" s="10"/>
      <c r="B1172" s="26"/>
      <c r="C1172" s="11">
        <v>1998</v>
      </c>
      <c r="D1172" s="32">
        <f>SPFI_CLB14!$D$21</f>
        <v>0.37506400000000001</v>
      </c>
      <c r="E1172" s="32"/>
      <c r="F1172" s="32"/>
      <c r="G1172" s="32"/>
      <c r="H1172" s="32"/>
      <c r="I1172" s="32"/>
      <c r="J1172" s="28">
        <f t="shared" ref="J1172" si="959">D1172*J$37</f>
        <v>0</v>
      </c>
      <c r="K1172" s="29"/>
      <c r="L1172" s="29"/>
      <c r="M1172" s="29"/>
      <c r="N1172" s="29"/>
      <c r="O1172" s="29"/>
      <c r="P1172" s="30">
        <f>SUM(J1172:O1172)</f>
        <v>0</v>
      </c>
      <c r="Q1172" s="31">
        <f t="shared" si="954"/>
        <v>0</v>
      </c>
    </row>
    <row r="1173" spans="1:17" x14ac:dyDescent="0.2">
      <c r="A1173" s="10"/>
      <c r="B1173" s="26"/>
      <c r="C1173" s="11">
        <v>1999</v>
      </c>
      <c r="D1173" s="32">
        <f>SPFI_CLB14!$D$22</f>
        <v>0.29823699999999997</v>
      </c>
      <c r="E1173" s="32"/>
      <c r="F1173" s="32"/>
      <c r="G1173" s="32"/>
      <c r="H1173" s="32"/>
      <c r="I1173" s="32"/>
      <c r="J1173" s="28">
        <f t="shared" ref="J1173" si="960">D1173*J$37</f>
        <v>0</v>
      </c>
      <c r="K1173" s="29"/>
      <c r="L1173" s="29"/>
      <c r="M1173" s="29"/>
      <c r="N1173" s="29"/>
      <c r="O1173" s="29"/>
      <c r="P1173" s="30">
        <f>SUM(J1173:O1173)</f>
        <v>0</v>
      </c>
      <c r="Q1173" s="31">
        <f t="shared" ref="Q1173:Q1178" si="961">IF(C$37&gt;0,P1173/C$37,0)</f>
        <v>0</v>
      </c>
    </row>
    <row r="1174" spans="1:17" x14ac:dyDescent="0.2">
      <c r="A1174" s="10"/>
      <c r="B1174" s="26"/>
      <c r="C1174" s="11">
        <v>2000</v>
      </c>
      <c r="D1174" s="32">
        <f>SPFI_CLB14!$D$23</f>
        <v>8.4414000000000003E-2</v>
      </c>
      <c r="E1174" s="32"/>
      <c r="F1174" s="32"/>
      <c r="G1174" s="32"/>
      <c r="H1174" s="32"/>
      <c r="I1174" s="32"/>
      <c r="J1174" s="28">
        <f t="shared" ref="J1174" si="962">D1174*J$37</f>
        <v>0</v>
      </c>
      <c r="K1174" s="29"/>
      <c r="L1174" s="29"/>
      <c r="M1174" s="29"/>
      <c r="N1174" s="29"/>
      <c r="O1174" s="29"/>
      <c r="P1174" s="30">
        <f t="shared" ref="P1174:P1179" si="963">SUM(J1174:O1174)</f>
        <v>0</v>
      </c>
      <c r="Q1174" s="31">
        <f t="shared" si="961"/>
        <v>0</v>
      </c>
    </row>
    <row r="1175" spans="1:17" x14ac:dyDescent="0.2">
      <c r="A1175" s="10"/>
      <c r="B1175" s="26"/>
      <c r="C1175" s="11">
        <v>2001</v>
      </c>
      <c r="D1175" s="32">
        <f>SPFI_CLB14!$D$24</f>
        <v>7.8909000000000007E-2</v>
      </c>
      <c r="E1175" s="32"/>
      <c r="F1175" s="32"/>
      <c r="G1175" s="32"/>
      <c r="H1175" s="32"/>
      <c r="I1175" s="32"/>
      <c r="J1175" s="28">
        <f t="shared" ref="J1175" si="964">D1175*J$37</f>
        <v>0</v>
      </c>
      <c r="K1175" s="29"/>
      <c r="L1175" s="29"/>
      <c r="M1175" s="29"/>
      <c r="N1175" s="29"/>
      <c r="O1175" s="29"/>
      <c r="P1175" s="30">
        <f t="shared" si="963"/>
        <v>0</v>
      </c>
      <c r="Q1175" s="31">
        <f t="shared" si="961"/>
        <v>0</v>
      </c>
    </row>
    <row r="1176" spans="1:17" x14ac:dyDescent="0.2">
      <c r="A1176" s="10"/>
      <c r="B1176" s="26"/>
      <c r="C1176" s="11">
        <v>2002</v>
      </c>
      <c r="D1176" s="32">
        <f>SPFI_CLB14!$D$25</f>
        <v>0.29974699999999999</v>
      </c>
      <c r="E1176" s="32"/>
      <c r="F1176" s="32"/>
      <c r="G1176" s="32"/>
      <c r="H1176" s="32"/>
      <c r="I1176" s="32"/>
      <c r="J1176" s="28">
        <f t="shared" ref="J1176" si="965">D1176*J$37</f>
        <v>0</v>
      </c>
      <c r="K1176" s="29"/>
      <c r="L1176" s="29"/>
      <c r="M1176" s="29"/>
      <c r="N1176" s="29"/>
      <c r="O1176" s="29"/>
      <c r="P1176" s="30">
        <f t="shared" si="963"/>
        <v>0</v>
      </c>
      <c r="Q1176" s="31">
        <f t="shared" si="961"/>
        <v>0</v>
      </c>
    </row>
    <row r="1177" spans="1:17" x14ac:dyDescent="0.2">
      <c r="A1177" s="10"/>
      <c r="B1177" s="26"/>
      <c r="C1177" s="11">
        <v>2003</v>
      </c>
      <c r="D1177" s="32">
        <f>SPFI_CLB14!$D$26</f>
        <v>0.20691100000000001</v>
      </c>
      <c r="E1177" s="32"/>
      <c r="F1177" s="32"/>
      <c r="G1177" s="32"/>
      <c r="H1177" s="32"/>
      <c r="I1177" s="32"/>
      <c r="J1177" s="28">
        <f t="shared" ref="J1177" si="966">D1177*J$37</f>
        <v>0</v>
      </c>
      <c r="K1177" s="29"/>
      <c r="L1177" s="29"/>
      <c r="M1177" s="29"/>
      <c r="N1177" s="29"/>
      <c r="O1177" s="29"/>
      <c r="P1177" s="30">
        <f t="shared" si="963"/>
        <v>0</v>
      </c>
      <c r="Q1177" s="31">
        <f t="shared" si="961"/>
        <v>0</v>
      </c>
    </row>
    <row r="1178" spans="1:17" x14ac:dyDescent="0.2">
      <c r="A1178" s="10"/>
      <c r="B1178" s="26"/>
      <c r="C1178" s="11">
        <v>2004</v>
      </c>
      <c r="D1178" s="32">
        <f>SPFI_CLB14!$D$27</f>
        <v>0.269237</v>
      </c>
      <c r="E1178" s="32"/>
      <c r="F1178" s="32"/>
      <c r="G1178" s="32"/>
      <c r="H1178" s="32"/>
      <c r="I1178" s="32"/>
      <c r="J1178" s="28">
        <f t="shared" ref="J1178" si="967">D1178*J$37</f>
        <v>0</v>
      </c>
      <c r="K1178" s="29"/>
      <c r="L1178" s="29"/>
      <c r="M1178" s="29"/>
      <c r="N1178" s="29"/>
      <c r="O1178" s="29"/>
      <c r="P1178" s="30">
        <f t="shared" si="963"/>
        <v>0</v>
      </c>
      <c r="Q1178" s="31">
        <f t="shared" si="961"/>
        <v>0</v>
      </c>
    </row>
    <row r="1179" spans="1:17" x14ac:dyDescent="0.2">
      <c r="A1179" s="10"/>
      <c r="B1179" s="26"/>
      <c r="C1179" s="11">
        <v>2005</v>
      </c>
      <c r="D1179" s="32">
        <f>SPFI_CLB14!$D$28</f>
        <v>0.37848700000000002</v>
      </c>
      <c r="E1179" s="32"/>
      <c r="F1179" s="32"/>
      <c r="G1179" s="32"/>
      <c r="H1179" s="32"/>
      <c r="I1179" s="32"/>
      <c r="J1179" s="28">
        <f t="shared" ref="J1179" si="968">D1179*J$37</f>
        <v>0</v>
      </c>
      <c r="K1179" s="29"/>
      <c r="L1179" s="29"/>
      <c r="M1179" s="29"/>
      <c r="N1179" s="29"/>
      <c r="O1179" s="29"/>
      <c r="P1179" s="30">
        <f t="shared" si="963"/>
        <v>0</v>
      </c>
      <c r="Q1179" s="31">
        <f t="shared" ref="Q1179:Q1184" si="969">IF(C$37&gt;0,P1179/C$37,0)</f>
        <v>0</v>
      </c>
    </row>
    <row r="1180" spans="1:17" x14ac:dyDescent="0.2">
      <c r="A1180" s="10"/>
      <c r="B1180" s="26"/>
      <c r="C1180" s="11">
        <v>2006</v>
      </c>
      <c r="D1180" s="32">
        <f>SPFI_CLB14!$D$29</f>
        <v>0.381023</v>
      </c>
      <c r="E1180" s="32"/>
      <c r="F1180" s="32"/>
      <c r="G1180" s="32"/>
      <c r="H1180" s="32"/>
      <c r="I1180" s="32"/>
      <c r="J1180" s="28">
        <f t="shared" ref="J1180" si="970">D1180*J$37</f>
        <v>0</v>
      </c>
      <c r="K1180" s="29"/>
      <c r="L1180" s="29"/>
      <c r="M1180" s="29"/>
      <c r="N1180" s="29"/>
      <c r="O1180" s="29"/>
      <c r="P1180" s="30">
        <f t="shared" ref="P1180:P1187" si="971">SUM(J1180:O1180)</f>
        <v>0</v>
      </c>
      <c r="Q1180" s="31">
        <f t="shared" si="969"/>
        <v>0</v>
      </c>
    </row>
    <row r="1181" spans="1:17" x14ac:dyDescent="0.2">
      <c r="A1181" s="10"/>
      <c r="B1181" s="26"/>
      <c r="C1181" s="11">
        <v>2007</v>
      </c>
      <c r="D1181" s="32">
        <f>SPFI_CLB14!$D$30</f>
        <v>0.356512</v>
      </c>
      <c r="E1181" s="32"/>
      <c r="F1181" s="32"/>
      <c r="G1181" s="32"/>
      <c r="H1181" s="32"/>
      <c r="I1181" s="32"/>
      <c r="J1181" s="28">
        <f t="shared" ref="J1181" si="972">D1181*J$37</f>
        <v>0</v>
      </c>
      <c r="K1181" s="29"/>
      <c r="L1181" s="29"/>
      <c r="M1181" s="29"/>
      <c r="N1181" s="29"/>
      <c r="O1181" s="29"/>
      <c r="P1181" s="30">
        <f t="shared" si="971"/>
        <v>0</v>
      </c>
      <c r="Q1181" s="31">
        <f t="shared" si="969"/>
        <v>0</v>
      </c>
    </row>
    <row r="1182" spans="1:17" x14ac:dyDescent="0.2">
      <c r="A1182" s="10"/>
      <c r="B1182" s="26"/>
      <c r="C1182" s="11">
        <v>2008</v>
      </c>
      <c r="D1182" s="32">
        <f>SPFI_CLB14!$D$31</f>
        <v>0.25494499999999998</v>
      </c>
      <c r="E1182" s="32"/>
      <c r="F1182" s="32"/>
      <c r="G1182" s="32"/>
      <c r="H1182" s="32"/>
      <c r="I1182" s="32"/>
      <c r="J1182" s="28">
        <f t="shared" ref="J1182" si="973">D1182*J$37</f>
        <v>0</v>
      </c>
      <c r="K1182" s="29"/>
      <c r="L1182" s="29"/>
      <c r="M1182" s="29"/>
      <c r="N1182" s="29"/>
      <c r="O1182" s="29"/>
      <c r="P1182" s="30">
        <f t="shared" si="971"/>
        <v>0</v>
      </c>
      <c r="Q1182" s="31">
        <f t="shared" si="969"/>
        <v>0</v>
      </c>
    </row>
    <row r="1183" spans="1:17" x14ac:dyDescent="0.2">
      <c r="A1183" s="10"/>
      <c r="B1183" s="26"/>
      <c r="C1183" s="11">
        <v>2009</v>
      </c>
      <c r="D1183" s="32">
        <f>SPFI_CLB14!$D$32</f>
        <v>0.52383000000000002</v>
      </c>
      <c r="E1183" s="32"/>
      <c r="F1183" s="32"/>
      <c r="G1183" s="32"/>
      <c r="H1183" s="32"/>
      <c r="I1183" s="32"/>
      <c r="J1183" s="28">
        <f t="shared" ref="J1183" si="974">D1183*J$37</f>
        <v>0</v>
      </c>
      <c r="K1183" s="29"/>
      <c r="L1183" s="29"/>
      <c r="M1183" s="29"/>
      <c r="N1183" s="29"/>
      <c r="O1183" s="29"/>
      <c r="P1183" s="30">
        <f t="shared" si="971"/>
        <v>0</v>
      </c>
      <c r="Q1183" s="31">
        <f t="shared" si="969"/>
        <v>0</v>
      </c>
    </row>
    <row r="1184" spans="1:17" x14ac:dyDescent="0.2">
      <c r="A1184" s="10"/>
      <c r="B1184" s="26"/>
      <c r="C1184" s="11">
        <v>2010</v>
      </c>
      <c r="D1184" s="32">
        <f>SPFI_CLB14!$D$33</f>
        <v>0.31394</v>
      </c>
      <c r="E1184" s="32"/>
      <c r="F1184" s="32"/>
      <c r="G1184" s="32"/>
      <c r="H1184" s="32"/>
      <c r="I1184" s="32"/>
      <c r="J1184" s="28">
        <f t="shared" ref="J1184" si="975">D1184*J$37</f>
        <v>0</v>
      </c>
      <c r="K1184" s="29"/>
      <c r="L1184" s="29"/>
      <c r="M1184" s="29"/>
      <c r="N1184" s="29"/>
      <c r="O1184" s="29"/>
      <c r="P1184" s="30">
        <f t="shared" si="971"/>
        <v>0</v>
      </c>
      <c r="Q1184" s="31">
        <f t="shared" si="969"/>
        <v>0</v>
      </c>
    </row>
    <row r="1185" spans="1:17" x14ac:dyDescent="0.2">
      <c r="A1185" s="10"/>
      <c r="B1185" s="26"/>
      <c r="C1185" s="11">
        <v>2011</v>
      </c>
      <c r="D1185" s="32">
        <f>SPFI_CLB14!$D$34</f>
        <v>0.294348</v>
      </c>
      <c r="E1185" s="32"/>
      <c r="F1185" s="32"/>
      <c r="G1185" s="32"/>
      <c r="H1185" s="32"/>
      <c r="I1185" s="32"/>
      <c r="J1185" s="28">
        <f t="shared" ref="J1185" si="976">D1185*J$37</f>
        <v>0</v>
      </c>
      <c r="K1185" s="29"/>
      <c r="L1185" s="29"/>
      <c r="M1185" s="29"/>
      <c r="N1185" s="29"/>
      <c r="O1185" s="29"/>
      <c r="P1185" s="30">
        <f t="shared" ref="P1185" si="977">SUM(J1185:O1185)</f>
        <v>0</v>
      </c>
      <c r="Q1185" s="31">
        <f t="shared" ref="Q1185" si="978">IF(C$37&gt;0,P1185/C$37,0)</f>
        <v>0</v>
      </c>
    </row>
    <row r="1186" spans="1:17" x14ac:dyDescent="0.2">
      <c r="A1186" s="10"/>
      <c r="B1186" s="26"/>
      <c r="C1186" s="11">
        <v>2012</v>
      </c>
      <c r="D1186" s="32">
        <f>SPFI_CLB14!$D$35</f>
        <v>0.34784100000000001</v>
      </c>
      <c r="E1186" s="32"/>
      <c r="F1186" s="32"/>
      <c r="G1186" s="32"/>
      <c r="H1186" s="32"/>
      <c r="I1186" s="32"/>
      <c r="J1186" s="28">
        <f t="shared" ref="J1186" si="979">D1186*J$37</f>
        <v>0</v>
      </c>
      <c r="K1186" s="29"/>
      <c r="L1186" s="29"/>
      <c r="M1186" s="29"/>
      <c r="N1186" s="29"/>
      <c r="O1186" s="29"/>
      <c r="P1186" s="30">
        <f t="shared" ref="P1186" si="980">SUM(J1186:O1186)</f>
        <v>0</v>
      </c>
      <c r="Q1186" s="31">
        <f t="shared" ref="Q1186" si="981">IF(C$37&gt;0,P1186/C$37,0)</f>
        <v>0</v>
      </c>
    </row>
    <row r="1187" spans="1:17" x14ac:dyDescent="0.2">
      <c r="A1187" s="5" t="s">
        <v>14</v>
      </c>
      <c r="B1187" s="21">
        <v>4</v>
      </c>
      <c r="C1187" s="6">
        <v>1982</v>
      </c>
      <c r="D1187" s="27">
        <f>SPFI_CLB14!$D$5</f>
        <v>0.98153299999999999</v>
      </c>
      <c r="E1187" s="27"/>
      <c r="F1187" s="27"/>
      <c r="G1187" s="27"/>
      <c r="H1187" s="27"/>
      <c r="I1187" s="27"/>
      <c r="J1187" s="33">
        <f t="shared" ref="J1187:J1199" si="982">D1187*J$38</f>
        <v>0</v>
      </c>
      <c r="K1187" s="27"/>
      <c r="L1187" s="27"/>
      <c r="M1187" s="27"/>
      <c r="N1187" s="27"/>
      <c r="O1187" s="27"/>
      <c r="P1187" s="34">
        <f t="shared" si="971"/>
        <v>0</v>
      </c>
      <c r="Q1187" s="35">
        <f t="shared" ref="Q1187:Q1203" si="983">IF(C$38&gt;0,P1187/C$38,0)</f>
        <v>0</v>
      </c>
    </row>
    <row r="1188" spans="1:17" x14ac:dyDescent="0.2">
      <c r="A1188" s="10"/>
      <c r="B1188" s="26"/>
      <c r="C1188" s="11">
        <v>1983</v>
      </c>
      <c r="D1188" s="32">
        <f>SPFI_CLB14!$D$6</f>
        <v>0.93659899999999996</v>
      </c>
      <c r="E1188" s="32"/>
      <c r="F1188" s="32"/>
      <c r="G1188" s="32"/>
      <c r="H1188" s="32"/>
      <c r="I1188" s="32"/>
      <c r="J1188" s="28">
        <f t="shared" si="982"/>
        <v>0</v>
      </c>
      <c r="K1188" s="29"/>
      <c r="L1188" s="29"/>
      <c r="M1188" s="29"/>
      <c r="N1188" s="29"/>
      <c r="O1188" s="29"/>
      <c r="P1188" s="30">
        <f t="shared" ref="P1188:P1199" si="984">SUM(J1188:O1188)</f>
        <v>0</v>
      </c>
      <c r="Q1188" s="31">
        <f t="shared" si="983"/>
        <v>0</v>
      </c>
    </row>
    <row r="1189" spans="1:17" x14ac:dyDescent="0.2">
      <c r="A1189" s="10"/>
      <c r="B1189" s="26"/>
      <c r="C1189" s="11">
        <v>1984</v>
      </c>
      <c r="D1189" s="32">
        <f>SPFI_CLB14!$D$7</f>
        <v>0.92793599999999998</v>
      </c>
      <c r="E1189" s="32"/>
      <c r="F1189" s="32"/>
      <c r="G1189" s="32"/>
      <c r="H1189" s="32"/>
      <c r="I1189" s="32"/>
      <c r="J1189" s="28">
        <f t="shared" si="982"/>
        <v>0</v>
      </c>
      <c r="K1189" s="29"/>
      <c r="L1189" s="29"/>
      <c r="M1189" s="29"/>
      <c r="N1189" s="29"/>
      <c r="O1189" s="29"/>
      <c r="P1189" s="30">
        <f t="shared" si="984"/>
        <v>0</v>
      </c>
      <c r="Q1189" s="31">
        <f t="shared" si="983"/>
        <v>0</v>
      </c>
    </row>
    <row r="1190" spans="1:17" x14ac:dyDescent="0.2">
      <c r="A1190" s="10"/>
      <c r="B1190" s="26"/>
      <c r="C1190" s="11">
        <v>1985</v>
      </c>
      <c r="D1190" s="32">
        <f>SPFI_CLB14!$D$8</f>
        <v>0.90386500000000003</v>
      </c>
      <c r="E1190" s="32"/>
      <c r="F1190" s="32"/>
      <c r="G1190" s="32"/>
      <c r="H1190" s="32"/>
      <c r="I1190" s="32"/>
      <c r="J1190" s="28">
        <f t="shared" si="982"/>
        <v>0</v>
      </c>
      <c r="K1190" s="29"/>
      <c r="L1190" s="29"/>
      <c r="M1190" s="29"/>
      <c r="N1190" s="29"/>
      <c r="O1190" s="29"/>
      <c r="P1190" s="30">
        <f t="shared" si="984"/>
        <v>0</v>
      </c>
      <c r="Q1190" s="31">
        <f t="shared" si="983"/>
        <v>0</v>
      </c>
    </row>
    <row r="1191" spans="1:17" x14ac:dyDescent="0.2">
      <c r="A1191" s="10"/>
      <c r="B1191" s="26"/>
      <c r="C1191" s="11">
        <v>1986</v>
      </c>
      <c r="D1191" s="32">
        <f>SPFI_CLB14!$D$9</f>
        <v>0.73087500000000005</v>
      </c>
      <c r="E1191" s="32"/>
      <c r="F1191" s="32"/>
      <c r="G1191" s="32"/>
      <c r="H1191" s="32"/>
      <c r="I1191" s="32"/>
      <c r="J1191" s="28">
        <f t="shared" si="982"/>
        <v>0</v>
      </c>
      <c r="K1191" s="29"/>
      <c r="L1191" s="29"/>
      <c r="M1191" s="29"/>
      <c r="N1191" s="29"/>
      <c r="O1191" s="29"/>
      <c r="P1191" s="30">
        <f t="shared" si="984"/>
        <v>0</v>
      </c>
      <c r="Q1191" s="31">
        <f t="shared" si="983"/>
        <v>0</v>
      </c>
    </row>
    <row r="1192" spans="1:17" x14ac:dyDescent="0.2">
      <c r="A1192" s="10"/>
      <c r="B1192" s="26"/>
      <c r="C1192" s="11">
        <v>1987</v>
      </c>
      <c r="D1192" s="32">
        <f>SPFI_CLB14!$D$10</f>
        <v>0.71733499999999994</v>
      </c>
      <c r="E1192" s="32"/>
      <c r="F1192" s="32"/>
      <c r="G1192" s="32"/>
      <c r="H1192" s="32"/>
      <c r="I1192" s="32"/>
      <c r="J1192" s="28">
        <f t="shared" si="982"/>
        <v>0</v>
      </c>
      <c r="K1192" s="29"/>
      <c r="L1192" s="29"/>
      <c r="M1192" s="29"/>
      <c r="N1192" s="29"/>
      <c r="O1192" s="29"/>
      <c r="P1192" s="30">
        <f t="shared" si="984"/>
        <v>0</v>
      </c>
      <c r="Q1192" s="31">
        <f t="shared" si="983"/>
        <v>0</v>
      </c>
    </row>
    <row r="1193" spans="1:17" x14ac:dyDescent="0.2">
      <c r="A1193" s="10"/>
      <c r="B1193" s="26"/>
      <c r="C1193" s="11">
        <v>1988</v>
      </c>
      <c r="D1193" s="32">
        <f>SPFI_CLB14!$D$11</f>
        <v>0.64558800000000005</v>
      </c>
      <c r="E1193" s="32"/>
      <c r="F1193" s="32"/>
      <c r="G1193" s="32"/>
      <c r="H1193" s="32"/>
      <c r="I1193" s="32"/>
      <c r="J1193" s="28">
        <f t="shared" si="982"/>
        <v>0</v>
      </c>
      <c r="K1193" s="29"/>
      <c r="L1193" s="29"/>
      <c r="M1193" s="29"/>
      <c r="N1193" s="29"/>
      <c r="O1193" s="29"/>
      <c r="P1193" s="30">
        <f t="shared" si="984"/>
        <v>0</v>
      </c>
      <c r="Q1193" s="31">
        <f t="shared" si="983"/>
        <v>0</v>
      </c>
    </row>
    <row r="1194" spans="1:17" x14ac:dyDescent="0.2">
      <c r="A1194" s="10"/>
      <c r="B1194" s="26"/>
      <c r="C1194" s="11">
        <v>1989</v>
      </c>
      <c r="D1194" s="32">
        <f>SPFI_CLB14!$D$12</f>
        <v>0.65287700000000004</v>
      </c>
      <c r="E1194" s="32"/>
      <c r="F1194" s="32"/>
      <c r="G1194" s="32"/>
      <c r="H1194" s="32"/>
      <c r="I1194" s="32"/>
      <c r="J1194" s="28">
        <f t="shared" si="982"/>
        <v>0</v>
      </c>
      <c r="K1194" s="29"/>
      <c r="L1194" s="29"/>
      <c r="M1194" s="29"/>
      <c r="N1194" s="29"/>
      <c r="O1194" s="29"/>
      <c r="P1194" s="30">
        <f t="shared" si="984"/>
        <v>0</v>
      </c>
      <c r="Q1194" s="31">
        <f t="shared" si="983"/>
        <v>0</v>
      </c>
    </row>
    <row r="1195" spans="1:17" x14ac:dyDescent="0.2">
      <c r="A1195" s="10"/>
      <c r="B1195" s="26"/>
      <c r="C1195" s="11">
        <v>1990</v>
      </c>
      <c r="D1195" s="32">
        <f>SPFI_CLB14!$D$13</f>
        <v>0.56965100000000002</v>
      </c>
      <c r="E1195" s="32"/>
      <c r="F1195" s="32"/>
      <c r="G1195" s="32"/>
      <c r="H1195" s="32"/>
      <c r="I1195" s="32"/>
      <c r="J1195" s="28">
        <f t="shared" si="982"/>
        <v>0</v>
      </c>
      <c r="K1195" s="29"/>
      <c r="L1195" s="29"/>
      <c r="M1195" s="29"/>
      <c r="N1195" s="29"/>
      <c r="O1195" s="29"/>
      <c r="P1195" s="30">
        <f t="shared" si="984"/>
        <v>0</v>
      </c>
      <c r="Q1195" s="31">
        <f t="shared" si="983"/>
        <v>0</v>
      </c>
    </row>
    <row r="1196" spans="1:17" x14ac:dyDescent="0.2">
      <c r="A1196" s="10"/>
      <c r="B1196" s="26"/>
      <c r="C1196" s="11">
        <v>1991</v>
      </c>
      <c r="D1196" s="32">
        <f>SPFI_CLB14!$D$14</f>
        <v>0.62776900000000002</v>
      </c>
      <c r="E1196" s="32"/>
      <c r="F1196" s="32"/>
      <c r="G1196" s="32"/>
      <c r="H1196" s="32"/>
      <c r="I1196" s="32"/>
      <c r="J1196" s="28">
        <f t="shared" si="982"/>
        <v>0</v>
      </c>
      <c r="K1196" s="29"/>
      <c r="L1196" s="29"/>
      <c r="M1196" s="29"/>
      <c r="N1196" s="29"/>
      <c r="O1196" s="29"/>
      <c r="P1196" s="30">
        <f t="shared" si="984"/>
        <v>0</v>
      </c>
      <c r="Q1196" s="31">
        <f t="shared" si="983"/>
        <v>0</v>
      </c>
    </row>
    <row r="1197" spans="1:17" x14ac:dyDescent="0.2">
      <c r="A1197" s="10"/>
      <c r="B1197" s="26"/>
      <c r="C1197" s="11">
        <v>1992</v>
      </c>
      <c r="D1197" s="32">
        <f>SPFI_CLB14!$D$15</f>
        <v>0.43504100000000001</v>
      </c>
      <c r="E1197" s="32"/>
      <c r="F1197" s="32"/>
      <c r="G1197" s="32"/>
      <c r="H1197" s="32"/>
      <c r="I1197" s="32"/>
      <c r="J1197" s="28">
        <f t="shared" si="982"/>
        <v>0</v>
      </c>
      <c r="K1197" s="29"/>
      <c r="L1197" s="29"/>
      <c r="M1197" s="29"/>
      <c r="N1197" s="29"/>
      <c r="O1197" s="29"/>
      <c r="P1197" s="30">
        <f t="shared" si="984"/>
        <v>0</v>
      </c>
      <c r="Q1197" s="31">
        <f t="shared" si="983"/>
        <v>0</v>
      </c>
    </row>
    <row r="1198" spans="1:17" x14ac:dyDescent="0.2">
      <c r="A1198" s="10"/>
      <c r="B1198" s="26"/>
      <c r="C1198" s="11">
        <v>1993</v>
      </c>
      <c r="D1198" s="32">
        <f>SPFI_CLB14!$D$16</f>
        <v>0.499164</v>
      </c>
      <c r="E1198" s="32"/>
      <c r="F1198" s="32"/>
      <c r="G1198" s="32"/>
      <c r="H1198" s="32"/>
      <c r="I1198" s="32"/>
      <c r="J1198" s="28">
        <f t="shared" si="982"/>
        <v>0</v>
      </c>
      <c r="K1198" s="29"/>
      <c r="L1198" s="29"/>
      <c r="M1198" s="29"/>
      <c r="N1198" s="29"/>
      <c r="O1198" s="29"/>
      <c r="P1198" s="30">
        <f t="shared" si="984"/>
        <v>0</v>
      </c>
      <c r="Q1198" s="31">
        <f t="shared" si="983"/>
        <v>0</v>
      </c>
    </row>
    <row r="1199" spans="1:17" x14ac:dyDescent="0.2">
      <c r="A1199" s="10"/>
      <c r="B1199" s="26"/>
      <c r="C1199" s="11">
        <v>1994</v>
      </c>
      <c r="D1199" s="32">
        <f>SPFI_CLB14!$D$17</f>
        <v>0.59591300000000003</v>
      </c>
      <c r="E1199" s="32"/>
      <c r="F1199" s="32"/>
      <c r="G1199" s="32"/>
      <c r="H1199" s="32"/>
      <c r="I1199" s="32"/>
      <c r="J1199" s="28">
        <f t="shared" si="982"/>
        <v>0</v>
      </c>
      <c r="K1199" s="29"/>
      <c r="L1199" s="29"/>
      <c r="M1199" s="29"/>
      <c r="N1199" s="29"/>
      <c r="O1199" s="29"/>
      <c r="P1199" s="30">
        <f t="shared" si="984"/>
        <v>0</v>
      </c>
      <c r="Q1199" s="31">
        <f t="shared" si="983"/>
        <v>0</v>
      </c>
    </row>
    <row r="1200" spans="1:17" x14ac:dyDescent="0.2">
      <c r="A1200" s="10"/>
      <c r="B1200" s="26"/>
      <c r="C1200" s="11">
        <v>1995</v>
      </c>
      <c r="D1200" s="32">
        <f>SPFI_CLB14!$D$18</f>
        <v>0.25400800000000001</v>
      </c>
      <c r="E1200" s="32"/>
      <c r="F1200" s="32"/>
      <c r="G1200" s="32"/>
      <c r="H1200" s="32"/>
      <c r="I1200" s="32"/>
      <c r="J1200" s="28">
        <f t="shared" ref="J1200" si="985">D1200*J$38</f>
        <v>0</v>
      </c>
      <c r="K1200" s="29"/>
      <c r="L1200" s="29"/>
      <c r="M1200" s="29"/>
      <c r="N1200" s="29"/>
      <c r="O1200" s="29"/>
      <c r="P1200" s="30">
        <f>SUM(J1200:O1200)</f>
        <v>0</v>
      </c>
      <c r="Q1200" s="31">
        <f t="shared" si="983"/>
        <v>0</v>
      </c>
    </row>
    <row r="1201" spans="1:17" x14ac:dyDescent="0.2">
      <c r="A1201" s="10"/>
      <c r="B1201" s="26"/>
      <c r="C1201" s="11">
        <v>1996</v>
      </c>
      <c r="D1201" s="32">
        <f>SPFI_CLB14!$D$19</f>
        <v>0</v>
      </c>
      <c r="E1201" s="32"/>
      <c r="F1201" s="32"/>
      <c r="G1201" s="32"/>
      <c r="H1201" s="32"/>
      <c r="I1201" s="32"/>
      <c r="J1201" s="28">
        <f t="shared" ref="J1201" si="986">D1201*J$38</f>
        <v>0</v>
      </c>
      <c r="K1201" s="29"/>
      <c r="L1201" s="29"/>
      <c r="M1201" s="29"/>
      <c r="N1201" s="29"/>
      <c r="O1201" s="29"/>
      <c r="P1201" s="30">
        <f>SUM(J1201:O1201)</f>
        <v>0</v>
      </c>
      <c r="Q1201" s="31">
        <f t="shared" si="983"/>
        <v>0</v>
      </c>
    </row>
    <row r="1202" spans="1:17" x14ac:dyDescent="0.2">
      <c r="A1202" s="10"/>
      <c r="B1202" s="26"/>
      <c r="C1202" s="11">
        <v>1997</v>
      </c>
      <c r="D1202" s="32">
        <f>SPFI_CLB14!$D$20</f>
        <v>0.201487</v>
      </c>
      <c r="E1202" s="32"/>
      <c r="F1202" s="32"/>
      <c r="G1202" s="32"/>
      <c r="H1202" s="32"/>
      <c r="I1202" s="32"/>
      <c r="J1202" s="28">
        <f t="shared" ref="J1202" si="987">D1202*J$38</f>
        <v>0</v>
      </c>
      <c r="K1202" s="29"/>
      <c r="L1202" s="29"/>
      <c r="M1202" s="29"/>
      <c r="N1202" s="29"/>
      <c r="O1202" s="29"/>
      <c r="P1202" s="30">
        <f>SUM(J1202:O1202)</f>
        <v>0</v>
      </c>
      <c r="Q1202" s="31">
        <f t="shared" si="983"/>
        <v>0</v>
      </c>
    </row>
    <row r="1203" spans="1:17" x14ac:dyDescent="0.2">
      <c r="A1203" s="10"/>
      <c r="B1203" s="26"/>
      <c r="C1203" s="11">
        <v>1998</v>
      </c>
      <c r="D1203" s="32">
        <f>SPFI_CLB14!$D$21</f>
        <v>0.37506400000000001</v>
      </c>
      <c r="E1203" s="32"/>
      <c r="F1203" s="32"/>
      <c r="G1203" s="32"/>
      <c r="H1203" s="32"/>
      <c r="I1203" s="32"/>
      <c r="J1203" s="28">
        <f t="shared" ref="J1203" si="988">D1203*J$38</f>
        <v>0</v>
      </c>
      <c r="K1203" s="29"/>
      <c r="L1203" s="29"/>
      <c r="M1203" s="29"/>
      <c r="N1203" s="29"/>
      <c r="O1203" s="29"/>
      <c r="P1203" s="30">
        <f>SUM(J1203:O1203)</f>
        <v>0</v>
      </c>
      <c r="Q1203" s="31">
        <f t="shared" si="983"/>
        <v>0</v>
      </c>
    </row>
    <row r="1204" spans="1:17" x14ac:dyDescent="0.2">
      <c r="A1204" s="10"/>
      <c r="B1204" s="26"/>
      <c r="C1204" s="11">
        <v>1999</v>
      </c>
      <c r="D1204" s="32">
        <f>SPFI_CLB14!$D$22</f>
        <v>0.29823699999999997</v>
      </c>
      <c r="E1204" s="32"/>
      <c r="F1204" s="32"/>
      <c r="G1204" s="32"/>
      <c r="H1204" s="32"/>
      <c r="I1204" s="32"/>
      <c r="J1204" s="28">
        <f t="shared" ref="J1204" si="989">D1204*J$38</f>
        <v>0</v>
      </c>
      <c r="K1204" s="29"/>
      <c r="L1204" s="29"/>
      <c r="M1204" s="29"/>
      <c r="N1204" s="29"/>
      <c r="O1204" s="29"/>
      <c r="P1204" s="30">
        <f>SUM(J1204:O1204)</f>
        <v>0</v>
      </c>
      <c r="Q1204" s="31">
        <f t="shared" ref="Q1204:Q1209" si="990">IF(C$38&gt;0,P1204/C$38,0)</f>
        <v>0</v>
      </c>
    </row>
    <row r="1205" spans="1:17" x14ac:dyDescent="0.2">
      <c r="A1205" s="10"/>
      <c r="B1205" s="26"/>
      <c r="C1205" s="11">
        <v>2000</v>
      </c>
      <c r="D1205" s="32">
        <f>SPFI_CLB14!$D$23</f>
        <v>8.4414000000000003E-2</v>
      </c>
      <c r="E1205" s="32"/>
      <c r="F1205" s="32"/>
      <c r="G1205" s="32"/>
      <c r="H1205" s="32"/>
      <c r="I1205" s="32"/>
      <c r="J1205" s="28">
        <f t="shared" ref="J1205" si="991">D1205*J$38</f>
        <v>0</v>
      </c>
      <c r="K1205" s="29"/>
      <c r="L1205" s="29"/>
      <c r="M1205" s="29"/>
      <c r="N1205" s="29"/>
      <c r="O1205" s="29"/>
      <c r="P1205" s="30">
        <f t="shared" ref="P1205:P1210" si="992">SUM(J1205:O1205)</f>
        <v>0</v>
      </c>
      <c r="Q1205" s="31">
        <f t="shared" si="990"/>
        <v>0</v>
      </c>
    </row>
    <row r="1206" spans="1:17" x14ac:dyDescent="0.2">
      <c r="A1206" s="10"/>
      <c r="B1206" s="26"/>
      <c r="C1206" s="11">
        <v>2001</v>
      </c>
      <c r="D1206" s="32">
        <f>SPFI_CLB14!$D$24</f>
        <v>7.8909000000000007E-2</v>
      </c>
      <c r="E1206" s="32"/>
      <c r="F1206" s="32"/>
      <c r="G1206" s="32"/>
      <c r="H1206" s="32"/>
      <c r="I1206" s="32"/>
      <c r="J1206" s="28">
        <f t="shared" ref="J1206" si="993">D1206*J$38</f>
        <v>0</v>
      </c>
      <c r="K1206" s="29"/>
      <c r="L1206" s="29"/>
      <c r="M1206" s="29"/>
      <c r="N1206" s="29"/>
      <c r="O1206" s="29"/>
      <c r="P1206" s="30">
        <f t="shared" si="992"/>
        <v>0</v>
      </c>
      <c r="Q1206" s="31">
        <f t="shared" si="990"/>
        <v>0</v>
      </c>
    </row>
    <row r="1207" spans="1:17" x14ac:dyDescent="0.2">
      <c r="A1207" s="10"/>
      <c r="B1207" s="26"/>
      <c r="C1207" s="11">
        <v>2002</v>
      </c>
      <c r="D1207" s="32">
        <f>SPFI_CLB14!$D$25</f>
        <v>0.29974699999999999</v>
      </c>
      <c r="E1207" s="32"/>
      <c r="F1207" s="32"/>
      <c r="G1207" s="32"/>
      <c r="H1207" s="32"/>
      <c r="I1207" s="32"/>
      <c r="J1207" s="28">
        <f t="shared" ref="J1207" si="994">D1207*J$38</f>
        <v>0</v>
      </c>
      <c r="K1207" s="29"/>
      <c r="L1207" s="29"/>
      <c r="M1207" s="29"/>
      <c r="N1207" s="29"/>
      <c r="O1207" s="29"/>
      <c r="P1207" s="30">
        <f t="shared" si="992"/>
        <v>0</v>
      </c>
      <c r="Q1207" s="31">
        <f t="shared" si="990"/>
        <v>0</v>
      </c>
    </row>
    <row r="1208" spans="1:17" x14ac:dyDescent="0.2">
      <c r="A1208" s="10"/>
      <c r="B1208" s="26"/>
      <c r="C1208" s="11">
        <v>2003</v>
      </c>
      <c r="D1208" s="32">
        <f>SPFI_CLB14!$D$26</f>
        <v>0.20691100000000001</v>
      </c>
      <c r="E1208" s="32"/>
      <c r="F1208" s="32"/>
      <c r="G1208" s="32"/>
      <c r="H1208" s="32"/>
      <c r="I1208" s="32"/>
      <c r="J1208" s="28">
        <f t="shared" ref="J1208" si="995">D1208*J$38</f>
        <v>0</v>
      </c>
      <c r="K1208" s="29"/>
      <c r="L1208" s="29"/>
      <c r="M1208" s="29"/>
      <c r="N1208" s="29"/>
      <c r="O1208" s="29"/>
      <c r="P1208" s="30">
        <f t="shared" si="992"/>
        <v>0</v>
      </c>
      <c r="Q1208" s="31">
        <f t="shared" si="990"/>
        <v>0</v>
      </c>
    </row>
    <row r="1209" spans="1:17" x14ac:dyDescent="0.2">
      <c r="A1209" s="10"/>
      <c r="B1209" s="26"/>
      <c r="C1209" s="11">
        <v>2004</v>
      </c>
      <c r="D1209" s="32">
        <f>SPFI_CLB14!$D$27</f>
        <v>0.269237</v>
      </c>
      <c r="E1209" s="32"/>
      <c r="F1209" s="32"/>
      <c r="G1209" s="32"/>
      <c r="H1209" s="32"/>
      <c r="I1209" s="32"/>
      <c r="J1209" s="28">
        <f t="shared" ref="J1209" si="996">D1209*J$38</f>
        <v>0</v>
      </c>
      <c r="K1209" s="29"/>
      <c r="L1209" s="29"/>
      <c r="M1209" s="29"/>
      <c r="N1209" s="29"/>
      <c r="O1209" s="29"/>
      <c r="P1209" s="30">
        <f t="shared" si="992"/>
        <v>0</v>
      </c>
      <c r="Q1209" s="31">
        <f t="shared" si="990"/>
        <v>0</v>
      </c>
    </row>
    <row r="1210" spans="1:17" x14ac:dyDescent="0.2">
      <c r="A1210" s="10"/>
      <c r="B1210" s="26"/>
      <c r="C1210" s="11">
        <v>2005</v>
      </c>
      <c r="D1210" s="32">
        <f>SPFI_CLB14!$D$28</f>
        <v>0.37848700000000002</v>
      </c>
      <c r="E1210" s="32"/>
      <c r="F1210" s="32"/>
      <c r="G1210" s="32"/>
      <c r="H1210" s="32"/>
      <c r="I1210" s="32"/>
      <c r="J1210" s="28">
        <f t="shared" ref="J1210" si="997">D1210*J$38</f>
        <v>0</v>
      </c>
      <c r="K1210" s="29"/>
      <c r="L1210" s="29"/>
      <c r="M1210" s="29"/>
      <c r="N1210" s="29"/>
      <c r="O1210" s="29"/>
      <c r="P1210" s="30">
        <f t="shared" si="992"/>
        <v>0</v>
      </c>
      <c r="Q1210" s="31">
        <f t="shared" ref="Q1210:Q1215" si="998">IF(C$38&gt;0,P1210/C$38,0)</f>
        <v>0</v>
      </c>
    </row>
    <row r="1211" spans="1:17" x14ac:dyDescent="0.2">
      <c r="A1211" s="10"/>
      <c r="B1211" s="26"/>
      <c r="C1211" s="11">
        <v>2006</v>
      </c>
      <c r="D1211" s="32">
        <f>SPFI_CLB14!$D$29</f>
        <v>0.381023</v>
      </c>
      <c r="E1211" s="32"/>
      <c r="F1211" s="32"/>
      <c r="G1211" s="32"/>
      <c r="H1211" s="32"/>
      <c r="I1211" s="32"/>
      <c r="J1211" s="28">
        <f t="shared" ref="J1211" si="999">D1211*J$38</f>
        <v>0</v>
      </c>
      <c r="K1211" s="29"/>
      <c r="L1211" s="29"/>
      <c r="M1211" s="29"/>
      <c r="N1211" s="29"/>
      <c r="O1211" s="29"/>
      <c r="P1211" s="30">
        <f t="shared" ref="P1211:P1218" si="1000">SUM(J1211:O1211)</f>
        <v>0</v>
      </c>
      <c r="Q1211" s="31">
        <f t="shared" si="998"/>
        <v>0</v>
      </c>
    </row>
    <row r="1212" spans="1:17" x14ac:dyDescent="0.2">
      <c r="A1212" s="10"/>
      <c r="B1212" s="26"/>
      <c r="C1212" s="11">
        <v>2007</v>
      </c>
      <c r="D1212" s="32">
        <f>SPFI_CLB14!$D$30</f>
        <v>0.356512</v>
      </c>
      <c r="E1212" s="32"/>
      <c r="F1212" s="32"/>
      <c r="G1212" s="32"/>
      <c r="H1212" s="32"/>
      <c r="I1212" s="32"/>
      <c r="J1212" s="28">
        <f t="shared" ref="J1212" si="1001">D1212*J$38</f>
        <v>0</v>
      </c>
      <c r="K1212" s="29"/>
      <c r="L1212" s="29"/>
      <c r="M1212" s="29"/>
      <c r="N1212" s="29"/>
      <c r="O1212" s="29"/>
      <c r="P1212" s="30">
        <f t="shared" si="1000"/>
        <v>0</v>
      </c>
      <c r="Q1212" s="31">
        <f t="shared" si="998"/>
        <v>0</v>
      </c>
    </row>
    <row r="1213" spans="1:17" x14ac:dyDescent="0.2">
      <c r="A1213" s="10"/>
      <c r="B1213" s="26"/>
      <c r="C1213" s="11">
        <v>2008</v>
      </c>
      <c r="D1213" s="32">
        <f>SPFI_CLB14!$D$31</f>
        <v>0.25494499999999998</v>
      </c>
      <c r="E1213" s="32"/>
      <c r="F1213" s="32"/>
      <c r="G1213" s="32"/>
      <c r="H1213" s="32"/>
      <c r="I1213" s="32"/>
      <c r="J1213" s="28">
        <f t="shared" ref="J1213" si="1002">D1213*J$38</f>
        <v>0</v>
      </c>
      <c r="K1213" s="29"/>
      <c r="L1213" s="29"/>
      <c r="M1213" s="29"/>
      <c r="N1213" s="29"/>
      <c r="O1213" s="29"/>
      <c r="P1213" s="30">
        <f t="shared" si="1000"/>
        <v>0</v>
      </c>
      <c r="Q1213" s="31">
        <f t="shared" si="998"/>
        <v>0</v>
      </c>
    </row>
    <row r="1214" spans="1:17" x14ac:dyDescent="0.2">
      <c r="A1214" s="10"/>
      <c r="B1214" s="26"/>
      <c r="C1214" s="11">
        <v>2009</v>
      </c>
      <c r="D1214" s="32">
        <f>SPFI_CLB14!$D$32</f>
        <v>0.52383000000000002</v>
      </c>
      <c r="E1214" s="32"/>
      <c r="F1214" s="32"/>
      <c r="G1214" s="32"/>
      <c r="H1214" s="32"/>
      <c r="I1214" s="32"/>
      <c r="J1214" s="28">
        <f t="shared" ref="J1214" si="1003">D1214*J$38</f>
        <v>0</v>
      </c>
      <c r="K1214" s="29"/>
      <c r="L1214" s="29"/>
      <c r="M1214" s="29"/>
      <c r="N1214" s="29"/>
      <c r="O1214" s="29"/>
      <c r="P1214" s="30">
        <f t="shared" si="1000"/>
        <v>0</v>
      </c>
      <c r="Q1214" s="31">
        <f t="shared" si="998"/>
        <v>0</v>
      </c>
    </row>
    <row r="1215" spans="1:17" x14ac:dyDescent="0.2">
      <c r="A1215" s="10"/>
      <c r="B1215" s="26"/>
      <c r="C1215" s="11">
        <v>2010</v>
      </c>
      <c r="D1215" s="32">
        <f>SPFI_CLB14!$D$33</f>
        <v>0.31394</v>
      </c>
      <c r="E1215" s="32"/>
      <c r="F1215" s="32"/>
      <c r="G1215" s="32"/>
      <c r="H1215" s="32"/>
      <c r="I1215" s="32"/>
      <c r="J1215" s="28">
        <f t="shared" ref="J1215" si="1004">D1215*J$38</f>
        <v>0</v>
      </c>
      <c r="K1215" s="29"/>
      <c r="L1215" s="29"/>
      <c r="M1215" s="29"/>
      <c r="N1215" s="29"/>
      <c r="O1215" s="29"/>
      <c r="P1215" s="30">
        <f t="shared" si="1000"/>
        <v>0</v>
      </c>
      <c r="Q1215" s="31">
        <f t="shared" si="998"/>
        <v>0</v>
      </c>
    </row>
    <row r="1216" spans="1:17" x14ac:dyDescent="0.2">
      <c r="A1216" s="10"/>
      <c r="B1216" s="26"/>
      <c r="C1216" s="11">
        <v>2011</v>
      </c>
      <c r="D1216" s="32">
        <f>SPFI_CLB14!$D$34</f>
        <v>0.294348</v>
      </c>
      <c r="E1216" s="32"/>
      <c r="F1216" s="32"/>
      <c r="G1216" s="32"/>
      <c r="H1216" s="32"/>
      <c r="I1216" s="32"/>
      <c r="J1216" s="28">
        <f t="shared" ref="J1216" si="1005">D1216*J$38</f>
        <v>0</v>
      </c>
      <c r="K1216" s="29"/>
      <c r="L1216" s="29"/>
      <c r="M1216" s="29"/>
      <c r="N1216" s="29"/>
      <c r="O1216" s="29"/>
      <c r="P1216" s="30">
        <f t="shared" ref="P1216" si="1006">SUM(J1216:O1216)</f>
        <v>0</v>
      </c>
      <c r="Q1216" s="31">
        <f t="shared" ref="Q1216" si="1007">IF(C$38&gt;0,P1216/C$38,0)</f>
        <v>0</v>
      </c>
    </row>
    <row r="1217" spans="1:17" x14ac:dyDescent="0.2">
      <c r="A1217" s="10"/>
      <c r="B1217" s="26"/>
      <c r="C1217" s="11">
        <v>2012</v>
      </c>
      <c r="D1217" s="32">
        <f>SPFI_CLB14!$D$35</f>
        <v>0.34784100000000001</v>
      </c>
      <c r="E1217" s="32"/>
      <c r="F1217" s="32"/>
      <c r="G1217" s="32"/>
      <c r="H1217" s="32"/>
      <c r="I1217" s="32"/>
      <c r="J1217" s="28">
        <f t="shared" ref="J1217" si="1008">D1217*J$38</f>
        <v>0</v>
      </c>
      <c r="K1217" s="29"/>
      <c r="L1217" s="29"/>
      <c r="M1217" s="29"/>
      <c r="N1217" s="29"/>
      <c r="O1217" s="29"/>
      <c r="P1217" s="30">
        <f t="shared" ref="P1217" si="1009">SUM(J1217:O1217)</f>
        <v>0</v>
      </c>
      <c r="Q1217" s="31">
        <f t="shared" ref="Q1217" si="1010">IF(C$38&gt;0,P1217/C$38,0)</f>
        <v>0</v>
      </c>
    </row>
    <row r="1218" spans="1:17" x14ac:dyDescent="0.2">
      <c r="A1218" s="5" t="s">
        <v>14</v>
      </c>
      <c r="B1218" s="21">
        <v>5</v>
      </c>
      <c r="C1218" s="6">
        <v>1982</v>
      </c>
      <c r="D1218" s="27">
        <f>SPFI_CLB14!$D$5</f>
        <v>0.98153299999999999</v>
      </c>
      <c r="E1218" s="27"/>
      <c r="F1218" s="27"/>
      <c r="G1218" s="27"/>
      <c r="H1218" s="27"/>
      <c r="I1218" s="27"/>
      <c r="J1218" s="33">
        <f t="shared" ref="J1218:J1230" si="1011">D1218*J$39</f>
        <v>0</v>
      </c>
      <c r="K1218" s="27"/>
      <c r="L1218" s="27"/>
      <c r="M1218" s="27"/>
      <c r="N1218" s="27"/>
      <c r="O1218" s="27"/>
      <c r="P1218" s="34">
        <f t="shared" si="1000"/>
        <v>0</v>
      </c>
      <c r="Q1218" s="35">
        <f t="shared" ref="Q1218:Q1234" si="1012">IF(C$39&gt;0,P1218/C$39,0)</f>
        <v>0</v>
      </c>
    </row>
    <row r="1219" spans="1:17" x14ac:dyDescent="0.2">
      <c r="A1219" s="10"/>
      <c r="B1219" s="26"/>
      <c r="C1219" s="11">
        <v>1983</v>
      </c>
      <c r="D1219" s="32">
        <f>SPFI_CLB14!$D$6</f>
        <v>0.93659899999999996</v>
      </c>
      <c r="E1219" s="32"/>
      <c r="F1219" s="32"/>
      <c r="G1219" s="32"/>
      <c r="H1219" s="32"/>
      <c r="I1219" s="32"/>
      <c r="J1219" s="28">
        <f t="shared" si="1011"/>
        <v>0</v>
      </c>
      <c r="K1219" s="29"/>
      <c r="L1219" s="29"/>
      <c r="M1219" s="29"/>
      <c r="N1219" s="29"/>
      <c r="O1219" s="29"/>
      <c r="P1219" s="30">
        <f t="shared" ref="P1219:P1230" si="1013">SUM(J1219:O1219)</f>
        <v>0</v>
      </c>
      <c r="Q1219" s="31">
        <f t="shared" si="1012"/>
        <v>0</v>
      </c>
    </row>
    <row r="1220" spans="1:17" x14ac:dyDescent="0.2">
      <c r="A1220" s="10"/>
      <c r="B1220" s="26"/>
      <c r="C1220" s="11">
        <v>1984</v>
      </c>
      <c r="D1220" s="32">
        <f>SPFI_CLB14!$D$7</f>
        <v>0.92793599999999998</v>
      </c>
      <c r="E1220" s="32"/>
      <c r="F1220" s="32"/>
      <c r="G1220" s="32"/>
      <c r="H1220" s="32"/>
      <c r="I1220" s="32"/>
      <c r="J1220" s="28">
        <f t="shared" si="1011"/>
        <v>0</v>
      </c>
      <c r="K1220" s="29"/>
      <c r="L1220" s="29"/>
      <c r="M1220" s="29"/>
      <c r="N1220" s="29"/>
      <c r="O1220" s="29"/>
      <c r="P1220" s="30">
        <f t="shared" si="1013"/>
        <v>0</v>
      </c>
      <c r="Q1220" s="31">
        <f t="shared" si="1012"/>
        <v>0</v>
      </c>
    </row>
    <row r="1221" spans="1:17" x14ac:dyDescent="0.2">
      <c r="A1221" s="10"/>
      <c r="B1221" s="26"/>
      <c r="C1221" s="11">
        <v>1985</v>
      </c>
      <c r="D1221" s="32">
        <f>SPFI_CLB14!$D$8</f>
        <v>0.90386500000000003</v>
      </c>
      <c r="E1221" s="32"/>
      <c r="F1221" s="32"/>
      <c r="G1221" s="32"/>
      <c r="H1221" s="32"/>
      <c r="I1221" s="32"/>
      <c r="J1221" s="28">
        <f t="shared" si="1011"/>
        <v>0</v>
      </c>
      <c r="K1221" s="29"/>
      <c r="L1221" s="29"/>
      <c r="M1221" s="29"/>
      <c r="N1221" s="29"/>
      <c r="O1221" s="29"/>
      <c r="P1221" s="30">
        <f t="shared" si="1013"/>
        <v>0</v>
      </c>
      <c r="Q1221" s="31">
        <f t="shared" si="1012"/>
        <v>0</v>
      </c>
    </row>
    <row r="1222" spans="1:17" x14ac:dyDescent="0.2">
      <c r="A1222" s="10"/>
      <c r="B1222" s="26"/>
      <c r="C1222" s="11">
        <v>1986</v>
      </c>
      <c r="D1222" s="32">
        <f>SPFI_CLB14!$D$9</f>
        <v>0.73087500000000005</v>
      </c>
      <c r="E1222" s="32"/>
      <c r="F1222" s="32"/>
      <c r="G1222" s="32"/>
      <c r="H1222" s="32"/>
      <c r="I1222" s="32"/>
      <c r="J1222" s="28">
        <f t="shared" si="1011"/>
        <v>0</v>
      </c>
      <c r="K1222" s="29"/>
      <c r="L1222" s="29"/>
      <c r="M1222" s="29"/>
      <c r="N1222" s="29"/>
      <c r="O1222" s="29"/>
      <c r="P1222" s="30">
        <f t="shared" si="1013"/>
        <v>0</v>
      </c>
      <c r="Q1222" s="31">
        <f t="shared" si="1012"/>
        <v>0</v>
      </c>
    </row>
    <row r="1223" spans="1:17" x14ac:dyDescent="0.2">
      <c r="A1223" s="10"/>
      <c r="B1223" s="26"/>
      <c r="C1223" s="11">
        <v>1987</v>
      </c>
      <c r="D1223" s="32">
        <f>SPFI_CLB14!$D$10</f>
        <v>0.71733499999999994</v>
      </c>
      <c r="E1223" s="32"/>
      <c r="F1223" s="32"/>
      <c r="G1223" s="32"/>
      <c r="H1223" s="32"/>
      <c r="I1223" s="32"/>
      <c r="J1223" s="28">
        <f t="shared" si="1011"/>
        <v>0</v>
      </c>
      <c r="K1223" s="29"/>
      <c r="L1223" s="29"/>
      <c r="M1223" s="29"/>
      <c r="N1223" s="29"/>
      <c r="O1223" s="29"/>
      <c r="P1223" s="30">
        <f t="shared" si="1013"/>
        <v>0</v>
      </c>
      <c r="Q1223" s="31">
        <f t="shared" si="1012"/>
        <v>0</v>
      </c>
    </row>
    <row r="1224" spans="1:17" x14ac:dyDescent="0.2">
      <c r="A1224" s="10"/>
      <c r="B1224" s="26"/>
      <c r="C1224" s="11">
        <v>1988</v>
      </c>
      <c r="D1224" s="32">
        <f>SPFI_CLB14!$D$11</f>
        <v>0.64558800000000005</v>
      </c>
      <c r="E1224" s="32"/>
      <c r="F1224" s="32"/>
      <c r="G1224" s="32"/>
      <c r="H1224" s="32"/>
      <c r="I1224" s="32"/>
      <c r="J1224" s="28">
        <f t="shared" si="1011"/>
        <v>0</v>
      </c>
      <c r="K1224" s="29"/>
      <c r="L1224" s="29"/>
      <c r="M1224" s="29"/>
      <c r="N1224" s="29"/>
      <c r="O1224" s="29"/>
      <c r="P1224" s="30">
        <f t="shared" si="1013"/>
        <v>0</v>
      </c>
      <c r="Q1224" s="31">
        <f t="shared" si="1012"/>
        <v>0</v>
      </c>
    </row>
    <row r="1225" spans="1:17" x14ac:dyDescent="0.2">
      <c r="A1225" s="10"/>
      <c r="B1225" s="26"/>
      <c r="C1225" s="11">
        <v>1989</v>
      </c>
      <c r="D1225" s="32">
        <f>SPFI_CLB14!$D$12</f>
        <v>0.65287700000000004</v>
      </c>
      <c r="E1225" s="32"/>
      <c r="F1225" s="32"/>
      <c r="G1225" s="32"/>
      <c r="H1225" s="32"/>
      <c r="I1225" s="32"/>
      <c r="J1225" s="28">
        <f t="shared" si="1011"/>
        <v>0</v>
      </c>
      <c r="K1225" s="29"/>
      <c r="L1225" s="29"/>
      <c r="M1225" s="29"/>
      <c r="N1225" s="29"/>
      <c r="O1225" s="29"/>
      <c r="P1225" s="30">
        <f t="shared" si="1013"/>
        <v>0</v>
      </c>
      <c r="Q1225" s="31">
        <f t="shared" si="1012"/>
        <v>0</v>
      </c>
    </row>
    <row r="1226" spans="1:17" x14ac:dyDescent="0.2">
      <c r="A1226" s="10"/>
      <c r="B1226" s="26"/>
      <c r="C1226" s="11">
        <v>1990</v>
      </c>
      <c r="D1226" s="32">
        <f>SPFI_CLB14!$D$13</f>
        <v>0.56965100000000002</v>
      </c>
      <c r="E1226" s="32"/>
      <c r="F1226" s="32"/>
      <c r="G1226" s="32"/>
      <c r="H1226" s="32"/>
      <c r="I1226" s="32"/>
      <c r="J1226" s="28">
        <f t="shared" si="1011"/>
        <v>0</v>
      </c>
      <c r="K1226" s="29"/>
      <c r="L1226" s="29"/>
      <c r="M1226" s="29"/>
      <c r="N1226" s="29"/>
      <c r="O1226" s="29"/>
      <c r="P1226" s="30">
        <f t="shared" si="1013"/>
        <v>0</v>
      </c>
      <c r="Q1226" s="31">
        <f t="shared" si="1012"/>
        <v>0</v>
      </c>
    </row>
    <row r="1227" spans="1:17" x14ac:dyDescent="0.2">
      <c r="A1227" s="10"/>
      <c r="B1227" s="26"/>
      <c r="C1227" s="11">
        <v>1991</v>
      </c>
      <c r="D1227" s="32">
        <f>SPFI_CLB14!$D$14</f>
        <v>0.62776900000000002</v>
      </c>
      <c r="E1227" s="32"/>
      <c r="F1227" s="32"/>
      <c r="G1227" s="32"/>
      <c r="H1227" s="32"/>
      <c r="I1227" s="32"/>
      <c r="J1227" s="28">
        <f t="shared" si="1011"/>
        <v>0</v>
      </c>
      <c r="K1227" s="29"/>
      <c r="L1227" s="29"/>
      <c r="M1227" s="29"/>
      <c r="N1227" s="29"/>
      <c r="O1227" s="29"/>
      <c r="P1227" s="30">
        <f t="shared" si="1013"/>
        <v>0</v>
      </c>
      <c r="Q1227" s="31">
        <f t="shared" si="1012"/>
        <v>0</v>
      </c>
    </row>
    <row r="1228" spans="1:17" x14ac:dyDescent="0.2">
      <c r="A1228" s="10"/>
      <c r="B1228" s="26"/>
      <c r="C1228" s="11">
        <v>1992</v>
      </c>
      <c r="D1228" s="32">
        <f>SPFI_CLB14!$D$15</f>
        <v>0.43504100000000001</v>
      </c>
      <c r="E1228" s="32"/>
      <c r="F1228" s="32"/>
      <c r="G1228" s="32"/>
      <c r="H1228" s="32"/>
      <c r="I1228" s="32"/>
      <c r="J1228" s="28">
        <f t="shared" si="1011"/>
        <v>0</v>
      </c>
      <c r="K1228" s="29"/>
      <c r="L1228" s="29"/>
      <c r="M1228" s="29"/>
      <c r="N1228" s="29"/>
      <c r="O1228" s="29"/>
      <c r="P1228" s="30">
        <f t="shared" si="1013"/>
        <v>0</v>
      </c>
      <c r="Q1228" s="31">
        <f t="shared" si="1012"/>
        <v>0</v>
      </c>
    </row>
    <row r="1229" spans="1:17" x14ac:dyDescent="0.2">
      <c r="A1229" s="10"/>
      <c r="B1229" s="26"/>
      <c r="C1229" s="11">
        <v>1993</v>
      </c>
      <c r="D1229" s="32">
        <f>SPFI_CLB14!$D$16</f>
        <v>0.499164</v>
      </c>
      <c r="E1229" s="32"/>
      <c r="F1229" s="32"/>
      <c r="G1229" s="32"/>
      <c r="H1229" s="32"/>
      <c r="I1229" s="32"/>
      <c r="J1229" s="28">
        <f t="shared" si="1011"/>
        <v>0</v>
      </c>
      <c r="K1229" s="29"/>
      <c r="L1229" s="29"/>
      <c r="M1229" s="29"/>
      <c r="N1229" s="29"/>
      <c r="O1229" s="29"/>
      <c r="P1229" s="30">
        <f t="shared" si="1013"/>
        <v>0</v>
      </c>
      <c r="Q1229" s="31">
        <f t="shared" si="1012"/>
        <v>0</v>
      </c>
    </row>
    <row r="1230" spans="1:17" x14ac:dyDescent="0.2">
      <c r="A1230" s="10"/>
      <c r="B1230" s="26"/>
      <c r="C1230" s="11">
        <v>1994</v>
      </c>
      <c r="D1230" s="32">
        <f>SPFI_CLB14!$D$17</f>
        <v>0.59591300000000003</v>
      </c>
      <c r="E1230" s="32"/>
      <c r="F1230" s="32"/>
      <c r="G1230" s="32"/>
      <c r="H1230" s="32"/>
      <c r="I1230" s="32"/>
      <c r="J1230" s="28">
        <f t="shared" si="1011"/>
        <v>0</v>
      </c>
      <c r="K1230" s="29"/>
      <c r="L1230" s="29"/>
      <c r="M1230" s="29"/>
      <c r="N1230" s="29"/>
      <c r="O1230" s="29"/>
      <c r="P1230" s="30">
        <f t="shared" si="1013"/>
        <v>0</v>
      </c>
      <c r="Q1230" s="31">
        <f t="shared" si="1012"/>
        <v>0</v>
      </c>
    </row>
    <row r="1231" spans="1:17" x14ac:dyDescent="0.2">
      <c r="A1231" s="10"/>
      <c r="B1231" s="26"/>
      <c r="C1231" s="11">
        <v>1995</v>
      </c>
      <c r="D1231" s="32">
        <f>SPFI_CLB14!$D$18</f>
        <v>0.25400800000000001</v>
      </c>
      <c r="E1231" s="32"/>
      <c r="F1231" s="32"/>
      <c r="G1231" s="32"/>
      <c r="H1231" s="32"/>
      <c r="I1231" s="32"/>
      <c r="J1231" s="28">
        <f t="shared" ref="J1231" si="1014">D1231*J$39</f>
        <v>0</v>
      </c>
      <c r="K1231" s="29"/>
      <c r="L1231" s="29"/>
      <c r="M1231" s="29"/>
      <c r="N1231" s="29"/>
      <c r="O1231" s="29"/>
      <c r="P1231" s="30">
        <f>SUM(J1231:O1231)</f>
        <v>0</v>
      </c>
      <c r="Q1231" s="31">
        <f t="shared" si="1012"/>
        <v>0</v>
      </c>
    </row>
    <row r="1232" spans="1:17" x14ac:dyDescent="0.2">
      <c r="A1232" s="10"/>
      <c r="B1232" s="26"/>
      <c r="C1232" s="11">
        <v>1996</v>
      </c>
      <c r="D1232" s="32">
        <f>SPFI_CLB14!$D$19</f>
        <v>0</v>
      </c>
      <c r="E1232" s="32"/>
      <c r="F1232" s="32"/>
      <c r="G1232" s="32"/>
      <c r="H1232" s="32"/>
      <c r="I1232" s="32"/>
      <c r="J1232" s="28">
        <f t="shared" ref="J1232" si="1015">D1232*J$39</f>
        <v>0</v>
      </c>
      <c r="K1232" s="29"/>
      <c r="L1232" s="29"/>
      <c r="M1232" s="29"/>
      <c r="N1232" s="29"/>
      <c r="O1232" s="29"/>
      <c r="P1232" s="30">
        <f>SUM(J1232:O1232)</f>
        <v>0</v>
      </c>
      <c r="Q1232" s="31">
        <f t="shared" si="1012"/>
        <v>0</v>
      </c>
    </row>
    <row r="1233" spans="1:17" x14ac:dyDescent="0.2">
      <c r="A1233" s="10"/>
      <c r="B1233" s="26"/>
      <c r="C1233" s="11">
        <v>1997</v>
      </c>
      <c r="D1233" s="32">
        <f>SPFI_CLB14!$D$20</f>
        <v>0.201487</v>
      </c>
      <c r="E1233" s="32"/>
      <c r="F1233" s="32"/>
      <c r="G1233" s="32"/>
      <c r="H1233" s="32"/>
      <c r="I1233" s="32"/>
      <c r="J1233" s="28">
        <f t="shared" ref="J1233" si="1016">D1233*J$39</f>
        <v>0</v>
      </c>
      <c r="K1233" s="29"/>
      <c r="L1233" s="29"/>
      <c r="M1233" s="29"/>
      <c r="N1233" s="29"/>
      <c r="O1233" s="29"/>
      <c r="P1233" s="30">
        <f>SUM(J1233:O1233)</f>
        <v>0</v>
      </c>
      <c r="Q1233" s="31">
        <f t="shared" si="1012"/>
        <v>0</v>
      </c>
    </row>
    <row r="1234" spans="1:17" x14ac:dyDescent="0.2">
      <c r="A1234" s="10"/>
      <c r="B1234" s="26"/>
      <c r="C1234" s="11">
        <v>1998</v>
      </c>
      <c r="D1234" s="32">
        <f>SPFI_CLB14!$D$21</f>
        <v>0.37506400000000001</v>
      </c>
      <c r="E1234" s="32"/>
      <c r="F1234" s="32"/>
      <c r="G1234" s="32"/>
      <c r="H1234" s="32"/>
      <c r="I1234" s="32"/>
      <c r="J1234" s="28">
        <f t="shared" ref="J1234" si="1017">D1234*J$39</f>
        <v>0</v>
      </c>
      <c r="K1234" s="29"/>
      <c r="L1234" s="29"/>
      <c r="M1234" s="29"/>
      <c r="N1234" s="29"/>
      <c r="O1234" s="29"/>
      <c r="P1234" s="30">
        <f>SUM(J1234:O1234)</f>
        <v>0</v>
      </c>
      <c r="Q1234" s="31">
        <f t="shared" si="1012"/>
        <v>0</v>
      </c>
    </row>
    <row r="1235" spans="1:17" x14ac:dyDescent="0.2">
      <c r="A1235" s="10"/>
      <c r="B1235" s="26"/>
      <c r="C1235" s="11">
        <v>1999</v>
      </c>
      <c r="D1235" s="32">
        <f>SPFI_CLB14!$D$22</f>
        <v>0.29823699999999997</v>
      </c>
      <c r="E1235" s="32"/>
      <c r="F1235" s="32"/>
      <c r="G1235" s="32"/>
      <c r="H1235" s="32"/>
      <c r="I1235" s="32"/>
      <c r="J1235" s="28">
        <f t="shared" ref="J1235" si="1018">D1235*J$39</f>
        <v>0</v>
      </c>
      <c r="K1235" s="29"/>
      <c r="L1235" s="29"/>
      <c r="M1235" s="29"/>
      <c r="N1235" s="29"/>
      <c r="O1235" s="29"/>
      <c r="P1235" s="30">
        <f>SUM(J1235:O1235)</f>
        <v>0</v>
      </c>
      <c r="Q1235" s="31">
        <f t="shared" ref="Q1235:Q1240" si="1019">IF(C$39&gt;0,P1235/C$39,0)</f>
        <v>0</v>
      </c>
    </row>
    <row r="1236" spans="1:17" x14ac:dyDescent="0.2">
      <c r="A1236" s="10"/>
      <c r="B1236" s="26"/>
      <c r="C1236" s="11">
        <v>2000</v>
      </c>
      <c r="D1236" s="32">
        <f>SPFI_CLB14!$D$23</f>
        <v>8.4414000000000003E-2</v>
      </c>
      <c r="E1236" s="32"/>
      <c r="F1236" s="32"/>
      <c r="G1236" s="32"/>
      <c r="H1236" s="32"/>
      <c r="I1236" s="32"/>
      <c r="J1236" s="28">
        <f t="shared" ref="J1236" si="1020">D1236*J$39</f>
        <v>0</v>
      </c>
      <c r="K1236" s="29"/>
      <c r="L1236" s="29"/>
      <c r="M1236" s="29"/>
      <c r="N1236" s="29"/>
      <c r="O1236" s="29"/>
      <c r="P1236" s="30">
        <f t="shared" ref="P1236:P1241" si="1021">SUM(J1236:O1236)</f>
        <v>0</v>
      </c>
      <c r="Q1236" s="31">
        <f t="shared" si="1019"/>
        <v>0</v>
      </c>
    </row>
    <row r="1237" spans="1:17" x14ac:dyDescent="0.2">
      <c r="A1237" s="10"/>
      <c r="B1237" s="26"/>
      <c r="C1237" s="11">
        <v>2001</v>
      </c>
      <c r="D1237" s="32">
        <f>SPFI_CLB14!$D$24</f>
        <v>7.8909000000000007E-2</v>
      </c>
      <c r="E1237" s="32"/>
      <c r="F1237" s="32"/>
      <c r="G1237" s="32"/>
      <c r="H1237" s="32"/>
      <c r="I1237" s="32"/>
      <c r="J1237" s="28">
        <f t="shared" ref="J1237" si="1022">D1237*J$39</f>
        <v>0</v>
      </c>
      <c r="K1237" s="29"/>
      <c r="L1237" s="29"/>
      <c r="M1237" s="29"/>
      <c r="N1237" s="29"/>
      <c r="O1237" s="29"/>
      <c r="P1237" s="30">
        <f t="shared" si="1021"/>
        <v>0</v>
      </c>
      <c r="Q1237" s="31">
        <f t="shared" si="1019"/>
        <v>0</v>
      </c>
    </row>
    <row r="1238" spans="1:17" x14ac:dyDescent="0.2">
      <c r="A1238" s="10"/>
      <c r="B1238" s="26"/>
      <c r="C1238" s="11">
        <v>2002</v>
      </c>
      <c r="D1238" s="32">
        <f>SPFI_CLB14!$D$25</f>
        <v>0.29974699999999999</v>
      </c>
      <c r="E1238" s="32"/>
      <c r="F1238" s="32"/>
      <c r="G1238" s="32"/>
      <c r="H1238" s="32"/>
      <c r="I1238" s="32"/>
      <c r="J1238" s="28">
        <f t="shared" ref="J1238" si="1023">D1238*J$39</f>
        <v>0</v>
      </c>
      <c r="K1238" s="29"/>
      <c r="L1238" s="29"/>
      <c r="M1238" s="29"/>
      <c r="N1238" s="29"/>
      <c r="O1238" s="29"/>
      <c r="P1238" s="30">
        <f t="shared" si="1021"/>
        <v>0</v>
      </c>
      <c r="Q1238" s="31">
        <f t="shared" si="1019"/>
        <v>0</v>
      </c>
    </row>
    <row r="1239" spans="1:17" x14ac:dyDescent="0.2">
      <c r="A1239" s="10"/>
      <c r="B1239" s="26"/>
      <c r="C1239" s="11">
        <v>2003</v>
      </c>
      <c r="D1239" s="32">
        <f>SPFI_CLB14!$D$26</f>
        <v>0.20691100000000001</v>
      </c>
      <c r="E1239" s="32"/>
      <c r="F1239" s="32"/>
      <c r="G1239" s="32"/>
      <c r="H1239" s="32"/>
      <c r="I1239" s="32"/>
      <c r="J1239" s="28">
        <f t="shared" ref="J1239" si="1024">D1239*J$39</f>
        <v>0</v>
      </c>
      <c r="K1239" s="29"/>
      <c r="L1239" s="29"/>
      <c r="M1239" s="29"/>
      <c r="N1239" s="29"/>
      <c r="O1239" s="29"/>
      <c r="P1239" s="30">
        <f t="shared" si="1021"/>
        <v>0</v>
      </c>
      <c r="Q1239" s="31">
        <f t="shared" si="1019"/>
        <v>0</v>
      </c>
    </row>
    <row r="1240" spans="1:17" x14ac:dyDescent="0.2">
      <c r="A1240" s="10"/>
      <c r="B1240" s="26"/>
      <c r="C1240" s="11">
        <v>2004</v>
      </c>
      <c r="D1240" s="32">
        <f>SPFI_CLB14!$D$27</f>
        <v>0.269237</v>
      </c>
      <c r="E1240" s="32"/>
      <c r="F1240" s="32"/>
      <c r="G1240" s="32"/>
      <c r="H1240" s="32"/>
      <c r="I1240" s="32"/>
      <c r="J1240" s="28">
        <f t="shared" ref="J1240" si="1025">D1240*J$39</f>
        <v>0</v>
      </c>
      <c r="K1240" s="29"/>
      <c r="L1240" s="29"/>
      <c r="M1240" s="29"/>
      <c r="N1240" s="29"/>
      <c r="O1240" s="29"/>
      <c r="P1240" s="30">
        <f t="shared" si="1021"/>
        <v>0</v>
      </c>
      <c r="Q1240" s="31">
        <f t="shared" si="1019"/>
        <v>0</v>
      </c>
    </row>
    <row r="1241" spans="1:17" x14ac:dyDescent="0.2">
      <c r="A1241" s="10"/>
      <c r="B1241" s="26"/>
      <c r="C1241" s="11">
        <v>2005</v>
      </c>
      <c r="D1241" s="32">
        <f>SPFI_CLB14!$D$28</f>
        <v>0.37848700000000002</v>
      </c>
      <c r="E1241" s="32"/>
      <c r="F1241" s="32"/>
      <c r="G1241" s="32"/>
      <c r="H1241" s="32"/>
      <c r="I1241" s="32"/>
      <c r="J1241" s="28">
        <f t="shared" ref="J1241" si="1026">D1241*J$39</f>
        <v>0</v>
      </c>
      <c r="K1241" s="29"/>
      <c r="L1241" s="29"/>
      <c r="M1241" s="29"/>
      <c r="N1241" s="29"/>
      <c r="O1241" s="29"/>
      <c r="P1241" s="30">
        <f t="shared" si="1021"/>
        <v>0</v>
      </c>
      <c r="Q1241" s="31">
        <f t="shared" ref="Q1241:Q1246" si="1027">IF(C$39&gt;0,P1241/C$39,0)</f>
        <v>0</v>
      </c>
    </row>
    <row r="1242" spans="1:17" x14ac:dyDescent="0.2">
      <c r="A1242" s="10"/>
      <c r="B1242" s="26"/>
      <c r="C1242" s="11">
        <v>2006</v>
      </c>
      <c r="D1242" s="32">
        <f>SPFI_CLB14!$D$29</f>
        <v>0.381023</v>
      </c>
      <c r="E1242" s="32"/>
      <c r="F1242" s="32"/>
      <c r="G1242" s="32"/>
      <c r="H1242" s="32"/>
      <c r="I1242" s="32"/>
      <c r="J1242" s="28">
        <f t="shared" ref="J1242" si="1028">D1242*J$39</f>
        <v>0</v>
      </c>
      <c r="K1242" s="29"/>
      <c r="L1242" s="29"/>
      <c r="M1242" s="29"/>
      <c r="N1242" s="29"/>
      <c r="O1242" s="29"/>
      <c r="P1242" s="30">
        <f t="shared" ref="P1242:P1249" si="1029">SUM(J1242:O1242)</f>
        <v>0</v>
      </c>
      <c r="Q1242" s="31">
        <f t="shared" si="1027"/>
        <v>0</v>
      </c>
    </row>
    <row r="1243" spans="1:17" x14ac:dyDescent="0.2">
      <c r="A1243" s="10"/>
      <c r="B1243" s="26"/>
      <c r="C1243" s="11">
        <v>2007</v>
      </c>
      <c r="D1243" s="32">
        <f>SPFI_CLB14!$D$30</f>
        <v>0.356512</v>
      </c>
      <c r="E1243" s="32"/>
      <c r="F1243" s="32"/>
      <c r="G1243" s="32"/>
      <c r="H1243" s="32"/>
      <c r="I1243" s="32"/>
      <c r="J1243" s="28">
        <f t="shared" ref="J1243" si="1030">D1243*J$39</f>
        <v>0</v>
      </c>
      <c r="K1243" s="29"/>
      <c r="L1243" s="29"/>
      <c r="M1243" s="29"/>
      <c r="N1243" s="29"/>
      <c r="O1243" s="29"/>
      <c r="P1243" s="30">
        <f t="shared" si="1029"/>
        <v>0</v>
      </c>
      <c r="Q1243" s="31">
        <f t="shared" si="1027"/>
        <v>0</v>
      </c>
    </row>
    <row r="1244" spans="1:17" x14ac:dyDescent="0.2">
      <c r="A1244" s="10"/>
      <c r="B1244" s="26"/>
      <c r="C1244" s="11">
        <v>2008</v>
      </c>
      <c r="D1244" s="32">
        <f>SPFI_CLB14!$D$31</f>
        <v>0.25494499999999998</v>
      </c>
      <c r="E1244" s="32"/>
      <c r="F1244" s="32"/>
      <c r="G1244" s="32"/>
      <c r="H1244" s="32"/>
      <c r="I1244" s="32"/>
      <c r="J1244" s="28">
        <f t="shared" ref="J1244" si="1031">D1244*J$39</f>
        <v>0</v>
      </c>
      <c r="K1244" s="29"/>
      <c r="L1244" s="29"/>
      <c r="M1244" s="29"/>
      <c r="N1244" s="29"/>
      <c r="O1244" s="29"/>
      <c r="P1244" s="30">
        <f t="shared" si="1029"/>
        <v>0</v>
      </c>
      <c r="Q1244" s="31">
        <f t="shared" si="1027"/>
        <v>0</v>
      </c>
    </row>
    <row r="1245" spans="1:17" x14ac:dyDescent="0.2">
      <c r="A1245" s="10"/>
      <c r="B1245" s="26"/>
      <c r="C1245" s="11">
        <v>2009</v>
      </c>
      <c r="D1245" s="32">
        <f>SPFI_CLB14!$D$32</f>
        <v>0.52383000000000002</v>
      </c>
      <c r="E1245" s="32"/>
      <c r="F1245" s="32"/>
      <c r="G1245" s="32"/>
      <c r="H1245" s="32"/>
      <c r="I1245" s="32"/>
      <c r="J1245" s="28">
        <f t="shared" ref="J1245" si="1032">D1245*J$39</f>
        <v>0</v>
      </c>
      <c r="K1245" s="29"/>
      <c r="L1245" s="29"/>
      <c r="M1245" s="29"/>
      <c r="N1245" s="29"/>
      <c r="O1245" s="29"/>
      <c r="P1245" s="30">
        <f t="shared" si="1029"/>
        <v>0</v>
      </c>
      <c r="Q1245" s="31">
        <f t="shared" si="1027"/>
        <v>0</v>
      </c>
    </row>
    <row r="1246" spans="1:17" x14ac:dyDescent="0.2">
      <c r="A1246" s="10"/>
      <c r="B1246" s="26"/>
      <c r="C1246" s="11">
        <v>2010</v>
      </c>
      <c r="D1246" s="32">
        <f>SPFI_CLB14!$D$33</f>
        <v>0.31394</v>
      </c>
      <c r="E1246" s="32"/>
      <c r="F1246" s="32"/>
      <c r="G1246" s="32"/>
      <c r="H1246" s="32"/>
      <c r="I1246" s="32"/>
      <c r="J1246" s="28">
        <f t="shared" ref="J1246" si="1033">D1246*J$39</f>
        <v>0</v>
      </c>
      <c r="K1246" s="29"/>
      <c r="L1246" s="29"/>
      <c r="M1246" s="29"/>
      <c r="N1246" s="29"/>
      <c r="O1246" s="29"/>
      <c r="P1246" s="30">
        <f t="shared" si="1029"/>
        <v>0</v>
      </c>
      <c r="Q1246" s="31">
        <f t="shared" si="1027"/>
        <v>0</v>
      </c>
    </row>
    <row r="1247" spans="1:17" x14ac:dyDescent="0.2">
      <c r="A1247" s="10"/>
      <c r="B1247" s="26"/>
      <c r="C1247" s="11">
        <v>2011</v>
      </c>
      <c r="D1247" s="32">
        <f>SPFI_CLB14!$D$34</f>
        <v>0.294348</v>
      </c>
      <c r="E1247" s="32"/>
      <c r="F1247" s="32"/>
      <c r="G1247" s="32"/>
      <c r="H1247" s="32"/>
      <c r="I1247" s="32"/>
      <c r="J1247" s="28">
        <f t="shared" ref="J1247" si="1034">D1247*J$39</f>
        <v>0</v>
      </c>
      <c r="K1247" s="29"/>
      <c r="L1247" s="29"/>
      <c r="M1247" s="29"/>
      <c r="N1247" s="29"/>
      <c r="O1247" s="29"/>
      <c r="P1247" s="30">
        <f t="shared" ref="P1247" si="1035">SUM(J1247:O1247)</f>
        <v>0</v>
      </c>
      <c r="Q1247" s="31">
        <f t="shared" ref="Q1247" si="1036">IF(C$39&gt;0,P1247/C$39,0)</f>
        <v>0</v>
      </c>
    </row>
    <row r="1248" spans="1:17" x14ac:dyDescent="0.2">
      <c r="A1248" s="10"/>
      <c r="B1248" s="26"/>
      <c r="C1248" s="11">
        <v>2012</v>
      </c>
      <c r="D1248" s="32">
        <f>SPFI_CLB14!$D$35</f>
        <v>0.34784100000000001</v>
      </c>
      <c r="E1248" s="32"/>
      <c r="F1248" s="32"/>
      <c r="G1248" s="32"/>
      <c r="H1248" s="32"/>
      <c r="I1248" s="32"/>
      <c r="J1248" s="28">
        <f t="shared" ref="J1248" si="1037">D1248*J$39</f>
        <v>0</v>
      </c>
      <c r="K1248" s="29"/>
      <c r="L1248" s="29"/>
      <c r="M1248" s="29"/>
      <c r="N1248" s="29"/>
      <c r="O1248" s="29"/>
      <c r="P1248" s="30">
        <f t="shared" ref="P1248" si="1038">SUM(J1248:O1248)</f>
        <v>0</v>
      </c>
      <c r="Q1248" s="31">
        <f t="shared" ref="Q1248" si="1039">IF(C$39&gt;0,P1248/C$39,0)</f>
        <v>0</v>
      </c>
    </row>
    <row r="1249" spans="1:17" x14ac:dyDescent="0.2">
      <c r="A1249" s="5" t="s">
        <v>15</v>
      </c>
      <c r="B1249" s="21">
        <v>2</v>
      </c>
      <c r="C1249" s="6">
        <v>1982</v>
      </c>
      <c r="D1249" s="27">
        <f>SPFI_CLB14!$D$5</f>
        <v>0.98153299999999999</v>
      </c>
      <c r="E1249" s="27"/>
      <c r="F1249" s="27"/>
      <c r="G1249" s="27"/>
      <c r="H1249" s="27"/>
      <c r="I1249" s="27"/>
      <c r="J1249" s="33">
        <f t="shared" ref="J1249:J1261" si="1040">D1249*J$40</f>
        <v>0</v>
      </c>
      <c r="K1249" s="27"/>
      <c r="L1249" s="27"/>
      <c r="M1249" s="27"/>
      <c r="N1249" s="27"/>
      <c r="O1249" s="27"/>
      <c r="P1249" s="34">
        <f t="shared" si="1029"/>
        <v>0</v>
      </c>
      <c r="Q1249" s="35">
        <f t="shared" ref="Q1249:Q1265" si="1041">IF(C$40&gt;0,P1249/C$40,0)</f>
        <v>0</v>
      </c>
    </row>
    <row r="1250" spans="1:17" x14ac:dyDescent="0.2">
      <c r="A1250" s="10"/>
      <c r="B1250" s="26"/>
      <c r="C1250" s="11">
        <v>1983</v>
      </c>
      <c r="D1250" s="32">
        <f>SPFI_CLB14!$D$6</f>
        <v>0.93659899999999996</v>
      </c>
      <c r="E1250" s="32"/>
      <c r="F1250" s="32"/>
      <c r="G1250" s="32"/>
      <c r="H1250" s="32"/>
      <c r="I1250" s="32"/>
      <c r="J1250" s="28">
        <f t="shared" si="1040"/>
        <v>0</v>
      </c>
      <c r="K1250" s="29"/>
      <c r="L1250" s="29"/>
      <c r="M1250" s="29"/>
      <c r="N1250" s="29"/>
      <c r="O1250" s="29"/>
      <c r="P1250" s="30">
        <f t="shared" ref="P1250:P1261" si="1042">SUM(J1250:O1250)</f>
        <v>0</v>
      </c>
      <c r="Q1250" s="31">
        <f t="shared" si="1041"/>
        <v>0</v>
      </c>
    </row>
    <row r="1251" spans="1:17" x14ac:dyDescent="0.2">
      <c r="A1251" s="10"/>
      <c r="B1251" s="26"/>
      <c r="C1251" s="11">
        <v>1984</v>
      </c>
      <c r="D1251" s="32">
        <f>SPFI_CLB14!$D$7</f>
        <v>0.92793599999999998</v>
      </c>
      <c r="E1251" s="32"/>
      <c r="F1251" s="32"/>
      <c r="G1251" s="32"/>
      <c r="H1251" s="32"/>
      <c r="I1251" s="32"/>
      <c r="J1251" s="28">
        <f t="shared" si="1040"/>
        <v>0</v>
      </c>
      <c r="K1251" s="29"/>
      <c r="L1251" s="29"/>
      <c r="M1251" s="29"/>
      <c r="N1251" s="29"/>
      <c r="O1251" s="29"/>
      <c r="P1251" s="30">
        <f t="shared" si="1042"/>
        <v>0</v>
      </c>
      <c r="Q1251" s="31">
        <f t="shared" si="1041"/>
        <v>0</v>
      </c>
    </row>
    <row r="1252" spans="1:17" x14ac:dyDescent="0.2">
      <c r="A1252" s="10"/>
      <c r="B1252" s="26"/>
      <c r="C1252" s="11">
        <v>1985</v>
      </c>
      <c r="D1252" s="32">
        <f>SPFI_CLB14!$D$8</f>
        <v>0.90386500000000003</v>
      </c>
      <c r="E1252" s="32"/>
      <c r="F1252" s="32"/>
      <c r="G1252" s="32"/>
      <c r="H1252" s="32"/>
      <c r="I1252" s="32"/>
      <c r="J1252" s="28">
        <f t="shared" si="1040"/>
        <v>0</v>
      </c>
      <c r="K1252" s="29"/>
      <c r="L1252" s="29"/>
      <c r="M1252" s="29"/>
      <c r="N1252" s="29"/>
      <c r="O1252" s="29"/>
      <c r="P1252" s="30">
        <f t="shared" si="1042"/>
        <v>0</v>
      </c>
      <c r="Q1252" s="31">
        <f t="shared" si="1041"/>
        <v>0</v>
      </c>
    </row>
    <row r="1253" spans="1:17" x14ac:dyDescent="0.2">
      <c r="A1253" s="10"/>
      <c r="B1253" s="26"/>
      <c r="C1253" s="11">
        <v>1986</v>
      </c>
      <c r="D1253" s="32">
        <f>SPFI_CLB14!$D$9</f>
        <v>0.73087500000000005</v>
      </c>
      <c r="E1253" s="32"/>
      <c r="F1253" s="32"/>
      <c r="G1253" s="32"/>
      <c r="H1253" s="32"/>
      <c r="I1253" s="32"/>
      <c r="J1253" s="28">
        <f t="shared" si="1040"/>
        <v>0</v>
      </c>
      <c r="K1253" s="29"/>
      <c r="L1253" s="29"/>
      <c r="M1253" s="29"/>
      <c r="N1253" s="29"/>
      <c r="O1253" s="29"/>
      <c r="P1253" s="30">
        <f t="shared" si="1042"/>
        <v>0</v>
      </c>
      <c r="Q1253" s="31">
        <f t="shared" si="1041"/>
        <v>0</v>
      </c>
    </row>
    <row r="1254" spans="1:17" x14ac:dyDescent="0.2">
      <c r="A1254" s="10"/>
      <c r="B1254" s="26"/>
      <c r="C1254" s="11">
        <v>1987</v>
      </c>
      <c r="D1254" s="32">
        <f>SPFI_CLB14!$D$10</f>
        <v>0.71733499999999994</v>
      </c>
      <c r="E1254" s="32"/>
      <c r="F1254" s="32"/>
      <c r="G1254" s="32"/>
      <c r="H1254" s="32"/>
      <c r="I1254" s="32"/>
      <c r="J1254" s="28">
        <f t="shared" si="1040"/>
        <v>0</v>
      </c>
      <c r="K1254" s="29"/>
      <c r="L1254" s="29"/>
      <c r="M1254" s="29"/>
      <c r="N1254" s="29"/>
      <c r="O1254" s="29"/>
      <c r="P1254" s="30">
        <f t="shared" si="1042"/>
        <v>0</v>
      </c>
      <c r="Q1254" s="31">
        <f t="shared" si="1041"/>
        <v>0</v>
      </c>
    </row>
    <row r="1255" spans="1:17" x14ac:dyDescent="0.2">
      <c r="A1255" s="10"/>
      <c r="B1255" s="26"/>
      <c r="C1255" s="11">
        <v>1988</v>
      </c>
      <c r="D1255" s="32">
        <f>SPFI_CLB14!$D$11</f>
        <v>0.64558800000000005</v>
      </c>
      <c r="E1255" s="32"/>
      <c r="F1255" s="32"/>
      <c r="G1255" s="32"/>
      <c r="H1255" s="32"/>
      <c r="I1255" s="32"/>
      <c r="J1255" s="28">
        <f t="shared" si="1040"/>
        <v>0</v>
      </c>
      <c r="K1255" s="29"/>
      <c r="L1255" s="29"/>
      <c r="M1255" s="29"/>
      <c r="N1255" s="29"/>
      <c r="O1255" s="29"/>
      <c r="P1255" s="30">
        <f t="shared" si="1042"/>
        <v>0</v>
      </c>
      <c r="Q1255" s="31">
        <f t="shared" si="1041"/>
        <v>0</v>
      </c>
    </row>
    <row r="1256" spans="1:17" x14ac:dyDescent="0.2">
      <c r="A1256" s="10"/>
      <c r="B1256" s="26"/>
      <c r="C1256" s="11">
        <v>1989</v>
      </c>
      <c r="D1256" s="32">
        <f>SPFI_CLB14!$D$12</f>
        <v>0.65287700000000004</v>
      </c>
      <c r="E1256" s="32"/>
      <c r="F1256" s="32"/>
      <c r="G1256" s="32"/>
      <c r="H1256" s="32"/>
      <c r="I1256" s="32"/>
      <c r="J1256" s="28">
        <f t="shared" si="1040"/>
        <v>0</v>
      </c>
      <c r="K1256" s="29"/>
      <c r="L1256" s="29"/>
      <c r="M1256" s="29"/>
      <c r="N1256" s="29"/>
      <c r="O1256" s="29"/>
      <c r="P1256" s="30">
        <f t="shared" si="1042"/>
        <v>0</v>
      </c>
      <c r="Q1256" s="31">
        <f t="shared" si="1041"/>
        <v>0</v>
      </c>
    </row>
    <row r="1257" spans="1:17" x14ac:dyDescent="0.2">
      <c r="A1257" s="10"/>
      <c r="B1257" s="26"/>
      <c r="C1257" s="11">
        <v>1990</v>
      </c>
      <c r="D1257" s="32">
        <f>SPFI_CLB14!$D$13</f>
        <v>0.56965100000000002</v>
      </c>
      <c r="E1257" s="32"/>
      <c r="F1257" s="32"/>
      <c r="G1257" s="32"/>
      <c r="H1257" s="32"/>
      <c r="I1257" s="32"/>
      <c r="J1257" s="28">
        <f t="shared" si="1040"/>
        <v>0</v>
      </c>
      <c r="K1257" s="29"/>
      <c r="L1257" s="29"/>
      <c r="M1257" s="29"/>
      <c r="N1257" s="29"/>
      <c r="O1257" s="29"/>
      <c r="P1257" s="30">
        <f t="shared" si="1042"/>
        <v>0</v>
      </c>
      <c r="Q1257" s="31">
        <f t="shared" si="1041"/>
        <v>0</v>
      </c>
    </row>
    <row r="1258" spans="1:17" x14ac:dyDescent="0.2">
      <c r="A1258" s="10"/>
      <c r="B1258" s="26"/>
      <c r="C1258" s="11">
        <v>1991</v>
      </c>
      <c r="D1258" s="32">
        <f>SPFI_CLB14!$D$14</f>
        <v>0.62776900000000002</v>
      </c>
      <c r="E1258" s="32"/>
      <c r="F1258" s="32"/>
      <c r="G1258" s="32"/>
      <c r="H1258" s="32"/>
      <c r="I1258" s="32"/>
      <c r="J1258" s="28">
        <f t="shared" si="1040"/>
        <v>0</v>
      </c>
      <c r="K1258" s="29"/>
      <c r="L1258" s="29"/>
      <c r="M1258" s="29"/>
      <c r="N1258" s="29"/>
      <c r="O1258" s="29"/>
      <c r="P1258" s="30">
        <f t="shared" si="1042"/>
        <v>0</v>
      </c>
      <c r="Q1258" s="31">
        <f t="shared" si="1041"/>
        <v>0</v>
      </c>
    </row>
    <row r="1259" spans="1:17" x14ac:dyDescent="0.2">
      <c r="A1259" s="10"/>
      <c r="B1259" s="26"/>
      <c r="C1259" s="11">
        <v>1992</v>
      </c>
      <c r="D1259" s="32">
        <f>SPFI_CLB14!$D$15</f>
        <v>0.43504100000000001</v>
      </c>
      <c r="E1259" s="32"/>
      <c r="F1259" s="32"/>
      <c r="G1259" s="32"/>
      <c r="H1259" s="32"/>
      <c r="I1259" s="32"/>
      <c r="J1259" s="28">
        <f t="shared" si="1040"/>
        <v>0</v>
      </c>
      <c r="K1259" s="29"/>
      <c r="L1259" s="29"/>
      <c r="M1259" s="29"/>
      <c r="N1259" s="29"/>
      <c r="O1259" s="29"/>
      <c r="P1259" s="30">
        <f t="shared" si="1042"/>
        <v>0</v>
      </c>
      <c r="Q1259" s="31">
        <f t="shared" si="1041"/>
        <v>0</v>
      </c>
    </row>
    <row r="1260" spans="1:17" x14ac:dyDescent="0.2">
      <c r="A1260" s="10"/>
      <c r="B1260" s="26"/>
      <c r="C1260" s="11">
        <v>1993</v>
      </c>
      <c r="D1260" s="32">
        <f>SPFI_CLB14!$D$16</f>
        <v>0.499164</v>
      </c>
      <c r="E1260" s="32"/>
      <c r="F1260" s="32"/>
      <c r="G1260" s="32"/>
      <c r="H1260" s="32"/>
      <c r="I1260" s="32"/>
      <c r="J1260" s="28">
        <f t="shared" si="1040"/>
        <v>0</v>
      </c>
      <c r="K1260" s="29"/>
      <c r="L1260" s="29"/>
      <c r="M1260" s="29"/>
      <c r="N1260" s="29"/>
      <c r="O1260" s="29"/>
      <c r="P1260" s="30">
        <f t="shared" si="1042"/>
        <v>0</v>
      </c>
      <c r="Q1260" s="31">
        <f t="shared" si="1041"/>
        <v>0</v>
      </c>
    </row>
    <row r="1261" spans="1:17" x14ac:dyDescent="0.2">
      <c r="A1261" s="10"/>
      <c r="B1261" s="26"/>
      <c r="C1261" s="11">
        <v>1994</v>
      </c>
      <c r="D1261" s="32">
        <f>SPFI_CLB14!$D$17</f>
        <v>0.59591300000000003</v>
      </c>
      <c r="E1261" s="32"/>
      <c r="F1261" s="32"/>
      <c r="G1261" s="32"/>
      <c r="H1261" s="32"/>
      <c r="I1261" s="32"/>
      <c r="J1261" s="28">
        <f t="shared" si="1040"/>
        <v>0</v>
      </c>
      <c r="K1261" s="29"/>
      <c r="L1261" s="29"/>
      <c r="M1261" s="29"/>
      <c r="N1261" s="29"/>
      <c r="O1261" s="29"/>
      <c r="P1261" s="30">
        <f t="shared" si="1042"/>
        <v>0</v>
      </c>
      <c r="Q1261" s="31">
        <f t="shared" si="1041"/>
        <v>0</v>
      </c>
    </row>
    <row r="1262" spans="1:17" x14ac:dyDescent="0.2">
      <c r="A1262" s="10"/>
      <c r="B1262" s="26"/>
      <c r="C1262" s="11">
        <v>1995</v>
      </c>
      <c r="D1262" s="32">
        <f>SPFI_CLB14!$D$18</f>
        <v>0.25400800000000001</v>
      </c>
      <c r="E1262" s="32"/>
      <c r="F1262" s="32"/>
      <c r="G1262" s="32"/>
      <c r="H1262" s="32"/>
      <c r="I1262" s="32"/>
      <c r="J1262" s="28">
        <f t="shared" ref="J1262" si="1043">D1262*J$40</f>
        <v>0</v>
      </c>
      <c r="K1262" s="29"/>
      <c r="L1262" s="29"/>
      <c r="M1262" s="29"/>
      <c r="N1262" s="29"/>
      <c r="O1262" s="29"/>
      <c r="P1262" s="30">
        <f>SUM(J1262:O1262)</f>
        <v>0</v>
      </c>
      <c r="Q1262" s="31">
        <f t="shared" si="1041"/>
        <v>0</v>
      </c>
    </row>
    <row r="1263" spans="1:17" x14ac:dyDescent="0.2">
      <c r="A1263" s="10"/>
      <c r="B1263" s="26"/>
      <c r="C1263" s="11">
        <v>1996</v>
      </c>
      <c r="D1263" s="32">
        <f>SPFI_CLB14!$D$19</f>
        <v>0</v>
      </c>
      <c r="E1263" s="32"/>
      <c r="F1263" s="32"/>
      <c r="G1263" s="32"/>
      <c r="H1263" s="32"/>
      <c r="I1263" s="32"/>
      <c r="J1263" s="28">
        <f t="shared" ref="J1263" si="1044">D1263*J$40</f>
        <v>0</v>
      </c>
      <c r="K1263" s="29"/>
      <c r="L1263" s="29"/>
      <c r="M1263" s="29"/>
      <c r="N1263" s="29"/>
      <c r="O1263" s="29"/>
      <c r="P1263" s="30">
        <f>SUM(J1263:O1263)</f>
        <v>0</v>
      </c>
      <c r="Q1263" s="31">
        <f t="shared" si="1041"/>
        <v>0</v>
      </c>
    </row>
    <row r="1264" spans="1:17" x14ac:dyDescent="0.2">
      <c r="A1264" s="10"/>
      <c r="B1264" s="26"/>
      <c r="C1264" s="11">
        <v>1997</v>
      </c>
      <c r="D1264" s="32">
        <f>SPFI_CLB14!$D$20</f>
        <v>0.201487</v>
      </c>
      <c r="E1264" s="32"/>
      <c r="F1264" s="32"/>
      <c r="G1264" s="32"/>
      <c r="H1264" s="32"/>
      <c r="I1264" s="32"/>
      <c r="J1264" s="28">
        <f t="shared" ref="J1264" si="1045">D1264*J$40</f>
        <v>0</v>
      </c>
      <c r="K1264" s="29"/>
      <c r="L1264" s="29"/>
      <c r="M1264" s="29"/>
      <c r="N1264" s="29"/>
      <c r="O1264" s="29"/>
      <c r="P1264" s="30">
        <f>SUM(J1264:O1264)</f>
        <v>0</v>
      </c>
      <c r="Q1264" s="31">
        <f t="shared" si="1041"/>
        <v>0</v>
      </c>
    </row>
    <row r="1265" spans="1:17" x14ac:dyDescent="0.2">
      <c r="A1265" s="10"/>
      <c r="B1265" s="26"/>
      <c r="C1265" s="11">
        <v>1998</v>
      </c>
      <c r="D1265" s="32">
        <f>SPFI_CLB14!$D$21</f>
        <v>0.37506400000000001</v>
      </c>
      <c r="E1265" s="32"/>
      <c r="F1265" s="32"/>
      <c r="G1265" s="32"/>
      <c r="H1265" s="32"/>
      <c r="I1265" s="32"/>
      <c r="J1265" s="28">
        <f t="shared" ref="J1265" si="1046">D1265*J$40</f>
        <v>0</v>
      </c>
      <c r="K1265" s="29"/>
      <c r="L1265" s="29"/>
      <c r="M1265" s="29"/>
      <c r="N1265" s="29"/>
      <c r="O1265" s="29"/>
      <c r="P1265" s="30">
        <f>SUM(J1265:O1265)</f>
        <v>0</v>
      </c>
      <c r="Q1265" s="31">
        <f t="shared" si="1041"/>
        <v>0</v>
      </c>
    </row>
    <row r="1266" spans="1:17" x14ac:dyDescent="0.2">
      <c r="A1266" s="10"/>
      <c r="B1266" s="26"/>
      <c r="C1266" s="11">
        <v>1999</v>
      </c>
      <c r="D1266" s="32">
        <f>SPFI_CLB14!$D$22</f>
        <v>0.29823699999999997</v>
      </c>
      <c r="E1266" s="32"/>
      <c r="F1266" s="32"/>
      <c r="G1266" s="32"/>
      <c r="H1266" s="32"/>
      <c r="I1266" s="32"/>
      <c r="J1266" s="28">
        <f t="shared" ref="J1266" si="1047">D1266*J$40</f>
        <v>0</v>
      </c>
      <c r="K1266" s="29"/>
      <c r="L1266" s="29"/>
      <c r="M1266" s="29"/>
      <c r="N1266" s="29"/>
      <c r="O1266" s="29"/>
      <c r="P1266" s="30">
        <f>SUM(J1266:O1266)</f>
        <v>0</v>
      </c>
      <c r="Q1266" s="31">
        <f t="shared" ref="Q1266:Q1271" si="1048">IF(C$40&gt;0,P1266/C$40,0)</f>
        <v>0</v>
      </c>
    </row>
    <row r="1267" spans="1:17" x14ac:dyDescent="0.2">
      <c r="A1267" s="10"/>
      <c r="B1267" s="26"/>
      <c r="C1267" s="11">
        <v>2000</v>
      </c>
      <c r="D1267" s="32">
        <f>SPFI_CLB14!$D$23</f>
        <v>8.4414000000000003E-2</v>
      </c>
      <c r="E1267" s="32"/>
      <c r="F1267" s="32"/>
      <c r="G1267" s="32"/>
      <c r="H1267" s="32"/>
      <c r="I1267" s="32"/>
      <c r="J1267" s="28">
        <f t="shared" ref="J1267" si="1049">D1267*J$40</f>
        <v>0</v>
      </c>
      <c r="K1267" s="29"/>
      <c r="L1267" s="29"/>
      <c r="M1267" s="29"/>
      <c r="N1267" s="29"/>
      <c r="O1267" s="29"/>
      <c r="P1267" s="30">
        <f t="shared" ref="P1267:P1272" si="1050">SUM(J1267:O1267)</f>
        <v>0</v>
      </c>
      <c r="Q1267" s="31">
        <f t="shared" si="1048"/>
        <v>0</v>
      </c>
    </row>
    <row r="1268" spans="1:17" x14ac:dyDescent="0.2">
      <c r="A1268" s="10"/>
      <c r="B1268" s="26"/>
      <c r="C1268" s="11">
        <v>2001</v>
      </c>
      <c r="D1268" s="32">
        <f>SPFI_CLB14!$D$24</f>
        <v>7.8909000000000007E-2</v>
      </c>
      <c r="E1268" s="32"/>
      <c r="F1268" s="32"/>
      <c r="G1268" s="32"/>
      <c r="H1268" s="32"/>
      <c r="I1268" s="32"/>
      <c r="J1268" s="28">
        <f t="shared" ref="J1268" si="1051">D1268*J$40</f>
        <v>0</v>
      </c>
      <c r="K1268" s="29"/>
      <c r="L1268" s="29"/>
      <c r="M1268" s="29"/>
      <c r="N1268" s="29"/>
      <c r="O1268" s="29"/>
      <c r="P1268" s="30">
        <f t="shared" si="1050"/>
        <v>0</v>
      </c>
      <c r="Q1268" s="31">
        <f t="shared" si="1048"/>
        <v>0</v>
      </c>
    </row>
    <row r="1269" spans="1:17" x14ac:dyDescent="0.2">
      <c r="A1269" s="10"/>
      <c r="B1269" s="26"/>
      <c r="C1269" s="11">
        <v>2002</v>
      </c>
      <c r="D1269" s="32">
        <f>SPFI_CLB14!$D$25</f>
        <v>0.29974699999999999</v>
      </c>
      <c r="E1269" s="32"/>
      <c r="F1269" s="32"/>
      <c r="G1269" s="32"/>
      <c r="H1269" s="32"/>
      <c r="I1269" s="32"/>
      <c r="J1269" s="28">
        <f t="shared" ref="J1269" si="1052">D1269*J$40</f>
        <v>0</v>
      </c>
      <c r="K1269" s="29"/>
      <c r="L1269" s="29"/>
      <c r="M1269" s="29"/>
      <c r="N1269" s="29"/>
      <c r="O1269" s="29"/>
      <c r="P1269" s="30">
        <f t="shared" si="1050"/>
        <v>0</v>
      </c>
      <c r="Q1269" s="31">
        <f t="shared" si="1048"/>
        <v>0</v>
      </c>
    </row>
    <row r="1270" spans="1:17" x14ac:dyDescent="0.2">
      <c r="A1270" s="10"/>
      <c r="B1270" s="26"/>
      <c r="C1270" s="11">
        <v>2003</v>
      </c>
      <c r="D1270" s="32">
        <f>SPFI_CLB14!$D$26</f>
        <v>0.20691100000000001</v>
      </c>
      <c r="E1270" s="32"/>
      <c r="F1270" s="32"/>
      <c r="G1270" s="32"/>
      <c r="H1270" s="32"/>
      <c r="I1270" s="32"/>
      <c r="J1270" s="28">
        <f t="shared" ref="J1270" si="1053">D1270*J$40</f>
        <v>0</v>
      </c>
      <c r="K1270" s="29"/>
      <c r="L1270" s="29"/>
      <c r="M1270" s="29"/>
      <c r="N1270" s="29"/>
      <c r="O1270" s="29"/>
      <c r="P1270" s="30">
        <f t="shared" si="1050"/>
        <v>0</v>
      </c>
      <c r="Q1270" s="31">
        <f t="shared" si="1048"/>
        <v>0</v>
      </c>
    </row>
    <row r="1271" spans="1:17" x14ac:dyDescent="0.2">
      <c r="A1271" s="10"/>
      <c r="B1271" s="26"/>
      <c r="C1271" s="11">
        <v>2004</v>
      </c>
      <c r="D1271" s="32">
        <f>SPFI_CLB14!$D$27</f>
        <v>0.269237</v>
      </c>
      <c r="E1271" s="32"/>
      <c r="F1271" s="32"/>
      <c r="G1271" s="32"/>
      <c r="H1271" s="32"/>
      <c r="I1271" s="32"/>
      <c r="J1271" s="28">
        <f t="shared" ref="J1271" si="1054">D1271*J$40</f>
        <v>0</v>
      </c>
      <c r="K1271" s="29"/>
      <c r="L1271" s="29"/>
      <c r="M1271" s="29"/>
      <c r="N1271" s="29"/>
      <c r="O1271" s="29"/>
      <c r="P1271" s="30">
        <f t="shared" si="1050"/>
        <v>0</v>
      </c>
      <c r="Q1271" s="31">
        <f t="shared" si="1048"/>
        <v>0</v>
      </c>
    </row>
    <row r="1272" spans="1:17" x14ac:dyDescent="0.2">
      <c r="A1272" s="10"/>
      <c r="B1272" s="26"/>
      <c r="C1272" s="11">
        <v>2005</v>
      </c>
      <c r="D1272" s="32">
        <f>SPFI_CLB14!$D$28</f>
        <v>0.37848700000000002</v>
      </c>
      <c r="E1272" s="32"/>
      <c r="F1272" s="32"/>
      <c r="G1272" s="32"/>
      <c r="H1272" s="32"/>
      <c r="I1272" s="32"/>
      <c r="J1272" s="28">
        <f t="shared" ref="J1272" si="1055">D1272*J$40</f>
        <v>0</v>
      </c>
      <c r="K1272" s="29"/>
      <c r="L1272" s="29"/>
      <c r="M1272" s="29"/>
      <c r="N1272" s="29"/>
      <c r="O1272" s="29"/>
      <c r="P1272" s="30">
        <f t="shared" si="1050"/>
        <v>0</v>
      </c>
      <c r="Q1272" s="31">
        <f t="shared" ref="Q1272:Q1277" si="1056">IF(C$40&gt;0,P1272/C$40,0)</f>
        <v>0</v>
      </c>
    </row>
    <row r="1273" spans="1:17" x14ac:dyDescent="0.2">
      <c r="A1273" s="10"/>
      <c r="B1273" s="26"/>
      <c r="C1273" s="11">
        <v>2006</v>
      </c>
      <c r="D1273" s="32">
        <f>SPFI_CLB14!$D$29</f>
        <v>0.381023</v>
      </c>
      <c r="E1273" s="32"/>
      <c r="F1273" s="32"/>
      <c r="G1273" s="32"/>
      <c r="H1273" s="32"/>
      <c r="I1273" s="32"/>
      <c r="J1273" s="28">
        <f t="shared" ref="J1273" si="1057">D1273*J$40</f>
        <v>0</v>
      </c>
      <c r="K1273" s="29"/>
      <c r="L1273" s="29"/>
      <c r="M1273" s="29"/>
      <c r="N1273" s="29"/>
      <c r="O1273" s="29"/>
      <c r="P1273" s="30">
        <f t="shared" ref="P1273:P1280" si="1058">SUM(J1273:O1273)</f>
        <v>0</v>
      </c>
      <c r="Q1273" s="31">
        <f t="shared" si="1056"/>
        <v>0</v>
      </c>
    </row>
    <row r="1274" spans="1:17" x14ac:dyDescent="0.2">
      <c r="A1274" s="10"/>
      <c r="B1274" s="26"/>
      <c r="C1274" s="11">
        <v>2007</v>
      </c>
      <c r="D1274" s="32">
        <f>SPFI_CLB14!$D$30</f>
        <v>0.356512</v>
      </c>
      <c r="E1274" s="32"/>
      <c r="F1274" s="32"/>
      <c r="G1274" s="32"/>
      <c r="H1274" s="32"/>
      <c r="I1274" s="32"/>
      <c r="J1274" s="28">
        <f t="shared" ref="J1274" si="1059">D1274*J$40</f>
        <v>0</v>
      </c>
      <c r="K1274" s="29"/>
      <c r="L1274" s="29"/>
      <c r="M1274" s="29"/>
      <c r="N1274" s="29"/>
      <c r="O1274" s="29"/>
      <c r="P1274" s="30">
        <f t="shared" si="1058"/>
        <v>0</v>
      </c>
      <c r="Q1274" s="31">
        <f t="shared" si="1056"/>
        <v>0</v>
      </c>
    </row>
    <row r="1275" spans="1:17" x14ac:dyDescent="0.2">
      <c r="A1275" s="10"/>
      <c r="B1275" s="26"/>
      <c r="C1275" s="11">
        <v>2008</v>
      </c>
      <c r="D1275" s="32">
        <f>SPFI_CLB14!$D$31</f>
        <v>0.25494499999999998</v>
      </c>
      <c r="E1275" s="32"/>
      <c r="F1275" s="32"/>
      <c r="G1275" s="32"/>
      <c r="H1275" s="32"/>
      <c r="I1275" s="32"/>
      <c r="J1275" s="28">
        <f t="shared" ref="J1275" si="1060">D1275*J$40</f>
        <v>0</v>
      </c>
      <c r="K1275" s="29"/>
      <c r="L1275" s="29"/>
      <c r="M1275" s="29"/>
      <c r="N1275" s="29"/>
      <c r="O1275" s="29"/>
      <c r="P1275" s="30">
        <f t="shared" si="1058"/>
        <v>0</v>
      </c>
      <c r="Q1275" s="31">
        <f t="shared" si="1056"/>
        <v>0</v>
      </c>
    </row>
    <row r="1276" spans="1:17" x14ac:dyDescent="0.2">
      <c r="A1276" s="10"/>
      <c r="B1276" s="26"/>
      <c r="C1276" s="11">
        <v>2009</v>
      </c>
      <c r="D1276" s="32">
        <f>SPFI_CLB14!$D$32</f>
        <v>0.52383000000000002</v>
      </c>
      <c r="E1276" s="32"/>
      <c r="F1276" s="32"/>
      <c r="G1276" s="32"/>
      <c r="H1276" s="32"/>
      <c r="I1276" s="32"/>
      <c r="J1276" s="28">
        <f t="shared" ref="J1276" si="1061">D1276*J$40</f>
        <v>0</v>
      </c>
      <c r="K1276" s="29"/>
      <c r="L1276" s="29"/>
      <c r="M1276" s="29"/>
      <c r="N1276" s="29"/>
      <c r="O1276" s="29"/>
      <c r="P1276" s="30">
        <f t="shared" si="1058"/>
        <v>0</v>
      </c>
      <c r="Q1276" s="31">
        <f t="shared" si="1056"/>
        <v>0</v>
      </c>
    </row>
    <row r="1277" spans="1:17" x14ac:dyDescent="0.2">
      <c r="A1277" s="10"/>
      <c r="B1277" s="26"/>
      <c r="C1277" s="11">
        <v>2010</v>
      </c>
      <c r="D1277" s="32">
        <f>SPFI_CLB14!$D$33</f>
        <v>0.31394</v>
      </c>
      <c r="E1277" s="32"/>
      <c r="F1277" s="32"/>
      <c r="G1277" s="32"/>
      <c r="H1277" s="32"/>
      <c r="I1277" s="32"/>
      <c r="J1277" s="28">
        <f t="shared" ref="J1277" si="1062">D1277*J$40</f>
        <v>0</v>
      </c>
      <c r="K1277" s="29"/>
      <c r="L1277" s="29"/>
      <c r="M1277" s="29"/>
      <c r="N1277" s="29"/>
      <c r="O1277" s="29"/>
      <c r="P1277" s="30">
        <f t="shared" si="1058"/>
        <v>0</v>
      </c>
      <c r="Q1277" s="31">
        <f t="shared" si="1056"/>
        <v>0</v>
      </c>
    </row>
    <row r="1278" spans="1:17" x14ac:dyDescent="0.2">
      <c r="A1278" s="10"/>
      <c r="B1278" s="26"/>
      <c r="C1278" s="11">
        <v>2011</v>
      </c>
      <c r="D1278" s="32">
        <f>SPFI_CLB14!$D$34</f>
        <v>0.294348</v>
      </c>
      <c r="E1278" s="32"/>
      <c r="F1278" s="32"/>
      <c r="G1278" s="32"/>
      <c r="H1278" s="32"/>
      <c r="I1278" s="32"/>
      <c r="J1278" s="28">
        <f t="shared" ref="J1278" si="1063">D1278*J$40</f>
        <v>0</v>
      </c>
      <c r="K1278" s="29"/>
      <c r="L1278" s="29"/>
      <c r="M1278" s="29"/>
      <c r="N1278" s="29"/>
      <c r="O1278" s="29"/>
      <c r="P1278" s="30">
        <f t="shared" ref="P1278" si="1064">SUM(J1278:O1278)</f>
        <v>0</v>
      </c>
      <c r="Q1278" s="31">
        <f t="shared" ref="Q1278" si="1065">IF(C$40&gt;0,P1278/C$40,0)</f>
        <v>0</v>
      </c>
    </row>
    <row r="1279" spans="1:17" x14ac:dyDescent="0.2">
      <c r="A1279" s="10"/>
      <c r="B1279" s="26"/>
      <c r="C1279" s="11">
        <v>2012</v>
      </c>
      <c r="D1279" s="32">
        <f>SPFI_CLB14!$D$35</f>
        <v>0.34784100000000001</v>
      </c>
      <c r="E1279" s="32"/>
      <c r="F1279" s="32"/>
      <c r="G1279" s="32"/>
      <c r="H1279" s="32"/>
      <c r="I1279" s="32"/>
      <c r="J1279" s="28">
        <f t="shared" ref="J1279" si="1066">D1279*J$40</f>
        <v>0</v>
      </c>
      <c r="K1279" s="29"/>
      <c r="L1279" s="29"/>
      <c r="M1279" s="29"/>
      <c r="N1279" s="29"/>
      <c r="O1279" s="29"/>
      <c r="P1279" s="30">
        <f t="shared" ref="P1279" si="1067">SUM(J1279:O1279)</f>
        <v>0</v>
      </c>
      <c r="Q1279" s="31">
        <f t="shared" ref="Q1279" si="1068">IF(C$40&gt;0,P1279/C$40,0)</f>
        <v>0</v>
      </c>
    </row>
    <row r="1280" spans="1:17" x14ac:dyDescent="0.2">
      <c r="A1280" s="5" t="s">
        <v>15</v>
      </c>
      <c r="B1280" s="21">
        <v>3</v>
      </c>
      <c r="C1280" s="6">
        <v>1982</v>
      </c>
      <c r="D1280" s="27">
        <f>SPFI_CLB14!$D$5</f>
        <v>0.98153299999999999</v>
      </c>
      <c r="E1280" s="27"/>
      <c r="F1280" s="27"/>
      <c r="G1280" s="27"/>
      <c r="H1280" s="27"/>
      <c r="I1280" s="27"/>
      <c r="J1280" s="33">
        <f t="shared" ref="J1280:J1292" si="1069">D1280*J$41</f>
        <v>0</v>
      </c>
      <c r="K1280" s="27"/>
      <c r="L1280" s="27"/>
      <c r="M1280" s="27"/>
      <c r="N1280" s="27"/>
      <c r="O1280" s="27"/>
      <c r="P1280" s="34">
        <f t="shared" si="1058"/>
        <v>0</v>
      </c>
      <c r="Q1280" s="35">
        <f t="shared" ref="Q1280:Q1296" si="1070">IF(C$41&gt;0,P1280/C$41,0)</f>
        <v>0</v>
      </c>
    </row>
    <row r="1281" spans="1:17" x14ac:dyDescent="0.2">
      <c r="A1281" s="10"/>
      <c r="B1281" s="26"/>
      <c r="C1281" s="11">
        <v>1983</v>
      </c>
      <c r="D1281" s="32">
        <f>SPFI_CLB14!$D$6</f>
        <v>0.93659899999999996</v>
      </c>
      <c r="E1281" s="32"/>
      <c r="F1281" s="32"/>
      <c r="G1281" s="32"/>
      <c r="H1281" s="32"/>
      <c r="I1281" s="32"/>
      <c r="J1281" s="28">
        <f t="shared" si="1069"/>
        <v>0</v>
      </c>
      <c r="K1281" s="29"/>
      <c r="L1281" s="29"/>
      <c r="M1281" s="29"/>
      <c r="N1281" s="29"/>
      <c r="O1281" s="29"/>
      <c r="P1281" s="30">
        <f t="shared" ref="P1281:P1292" si="1071">SUM(J1281:O1281)</f>
        <v>0</v>
      </c>
      <c r="Q1281" s="31">
        <f t="shared" si="1070"/>
        <v>0</v>
      </c>
    </row>
    <row r="1282" spans="1:17" x14ac:dyDescent="0.2">
      <c r="A1282" s="10"/>
      <c r="B1282" s="26"/>
      <c r="C1282" s="11">
        <v>1984</v>
      </c>
      <c r="D1282" s="32">
        <f>SPFI_CLB14!$D$7</f>
        <v>0.92793599999999998</v>
      </c>
      <c r="E1282" s="32"/>
      <c r="F1282" s="32"/>
      <c r="G1282" s="32"/>
      <c r="H1282" s="32"/>
      <c r="I1282" s="32"/>
      <c r="J1282" s="28">
        <f t="shared" si="1069"/>
        <v>0</v>
      </c>
      <c r="K1282" s="29"/>
      <c r="L1282" s="29"/>
      <c r="M1282" s="29"/>
      <c r="N1282" s="29"/>
      <c r="O1282" s="29"/>
      <c r="P1282" s="30">
        <f t="shared" si="1071"/>
        <v>0</v>
      </c>
      <c r="Q1282" s="31">
        <f t="shared" si="1070"/>
        <v>0</v>
      </c>
    </row>
    <row r="1283" spans="1:17" x14ac:dyDescent="0.2">
      <c r="A1283" s="10"/>
      <c r="B1283" s="26"/>
      <c r="C1283" s="11">
        <v>1985</v>
      </c>
      <c r="D1283" s="32">
        <f>SPFI_CLB14!$D$8</f>
        <v>0.90386500000000003</v>
      </c>
      <c r="E1283" s="32"/>
      <c r="F1283" s="32"/>
      <c r="G1283" s="32"/>
      <c r="H1283" s="32"/>
      <c r="I1283" s="32"/>
      <c r="J1283" s="28">
        <f t="shared" si="1069"/>
        <v>0</v>
      </c>
      <c r="K1283" s="29"/>
      <c r="L1283" s="29"/>
      <c r="M1283" s="29"/>
      <c r="N1283" s="29"/>
      <c r="O1283" s="29"/>
      <c r="P1283" s="30">
        <f t="shared" si="1071"/>
        <v>0</v>
      </c>
      <c r="Q1283" s="31">
        <f t="shared" si="1070"/>
        <v>0</v>
      </c>
    </row>
    <row r="1284" spans="1:17" x14ac:dyDescent="0.2">
      <c r="A1284" s="10"/>
      <c r="B1284" s="26"/>
      <c r="C1284" s="11">
        <v>1986</v>
      </c>
      <c r="D1284" s="32">
        <f>SPFI_CLB14!$D$9</f>
        <v>0.73087500000000005</v>
      </c>
      <c r="E1284" s="32"/>
      <c r="F1284" s="32"/>
      <c r="G1284" s="32"/>
      <c r="H1284" s="32"/>
      <c r="I1284" s="32"/>
      <c r="J1284" s="28">
        <f t="shared" si="1069"/>
        <v>0</v>
      </c>
      <c r="K1284" s="29"/>
      <c r="L1284" s="29"/>
      <c r="M1284" s="29"/>
      <c r="N1284" s="29"/>
      <c r="O1284" s="29"/>
      <c r="P1284" s="30">
        <f t="shared" si="1071"/>
        <v>0</v>
      </c>
      <c r="Q1284" s="31">
        <f t="shared" si="1070"/>
        <v>0</v>
      </c>
    </row>
    <row r="1285" spans="1:17" x14ac:dyDescent="0.2">
      <c r="A1285" s="10"/>
      <c r="B1285" s="26"/>
      <c r="C1285" s="11">
        <v>1987</v>
      </c>
      <c r="D1285" s="32">
        <f>SPFI_CLB14!$D$10</f>
        <v>0.71733499999999994</v>
      </c>
      <c r="E1285" s="32"/>
      <c r="F1285" s="32"/>
      <c r="G1285" s="32"/>
      <c r="H1285" s="32"/>
      <c r="I1285" s="32"/>
      <c r="J1285" s="28">
        <f t="shared" si="1069"/>
        <v>0</v>
      </c>
      <c r="K1285" s="29"/>
      <c r="L1285" s="29"/>
      <c r="M1285" s="29"/>
      <c r="N1285" s="29"/>
      <c r="O1285" s="29"/>
      <c r="P1285" s="30">
        <f t="shared" si="1071"/>
        <v>0</v>
      </c>
      <c r="Q1285" s="31">
        <f t="shared" si="1070"/>
        <v>0</v>
      </c>
    </row>
    <row r="1286" spans="1:17" x14ac:dyDescent="0.2">
      <c r="A1286" s="10"/>
      <c r="B1286" s="26"/>
      <c r="C1286" s="11">
        <v>1988</v>
      </c>
      <c r="D1286" s="32">
        <f>SPFI_CLB14!$D$11</f>
        <v>0.64558800000000005</v>
      </c>
      <c r="E1286" s="32"/>
      <c r="F1286" s="32"/>
      <c r="G1286" s="32"/>
      <c r="H1286" s="32"/>
      <c r="I1286" s="32"/>
      <c r="J1286" s="28">
        <f t="shared" si="1069"/>
        <v>0</v>
      </c>
      <c r="K1286" s="29"/>
      <c r="L1286" s="29"/>
      <c r="M1286" s="29"/>
      <c r="N1286" s="29"/>
      <c r="O1286" s="29"/>
      <c r="P1286" s="30">
        <f t="shared" si="1071"/>
        <v>0</v>
      </c>
      <c r="Q1286" s="31">
        <f t="shared" si="1070"/>
        <v>0</v>
      </c>
    </row>
    <row r="1287" spans="1:17" x14ac:dyDescent="0.2">
      <c r="A1287" s="10"/>
      <c r="B1287" s="26"/>
      <c r="C1287" s="11">
        <v>1989</v>
      </c>
      <c r="D1287" s="32">
        <f>SPFI_CLB14!$D$12</f>
        <v>0.65287700000000004</v>
      </c>
      <c r="E1287" s="32"/>
      <c r="F1287" s="32"/>
      <c r="G1287" s="32"/>
      <c r="H1287" s="32"/>
      <c r="I1287" s="32"/>
      <c r="J1287" s="28">
        <f t="shared" si="1069"/>
        <v>0</v>
      </c>
      <c r="K1287" s="29"/>
      <c r="L1287" s="29"/>
      <c r="M1287" s="29"/>
      <c r="N1287" s="29"/>
      <c r="O1287" s="29"/>
      <c r="P1287" s="30">
        <f t="shared" si="1071"/>
        <v>0</v>
      </c>
      <c r="Q1287" s="31">
        <f t="shared" si="1070"/>
        <v>0</v>
      </c>
    </row>
    <row r="1288" spans="1:17" x14ac:dyDescent="0.2">
      <c r="A1288" s="10"/>
      <c r="B1288" s="26"/>
      <c r="C1288" s="11">
        <v>1990</v>
      </c>
      <c r="D1288" s="32">
        <f>SPFI_CLB14!$D$13</f>
        <v>0.56965100000000002</v>
      </c>
      <c r="E1288" s="32"/>
      <c r="F1288" s="32"/>
      <c r="G1288" s="32"/>
      <c r="H1288" s="32"/>
      <c r="I1288" s="32"/>
      <c r="J1288" s="28">
        <f t="shared" si="1069"/>
        <v>0</v>
      </c>
      <c r="K1288" s="29"/>
      <c r="L1288" s="29"/>
      <c r="M1288" s="29"/>
      <c r="N1288" s="29"/>
      <c r="O1288" s="29"/>
      <c r="P1288" s="30">
        <f t="shared" si="1071"/>
        <v>0</v>
      </c>
      <c r="Q1288" s="31">
        <f t="shared" si="1070"/>
        <v>0</v>
      </c>
    </row>
    <row r="1289" spans="1:17" x14ac:dyDescent="0.2">
      <c r="A1289" s="10"/>
      <c r="B1289" s="26"/>
      <c r="C1289" s="11">
        <v>1991</v>
      </c>
      <c r="D1289" s="32">
        <f>SPFI_CLB14!$D$14</f>
        <v>0.62776900000000002</v>
      </c>
      <c r="E1289" s="32"/>
      <c r="F1289" s="32"/>
      <c r="G1289" s="32"/>
      <c r="H1289" s="32"/>
      <c r="I1289" s="32"/>
      <c r="J1289" s="28">
        <f t="shared" si="1069"/>
        <v>0</v>
      </c>
      <c r="K1289" s="29"/>
      <c r="L1289" s="29"/>
      <c r="M1289" s="29"/>
      <c r="N1289" s="29"/>
      <c r="O1289" s="29"/>
      <c r="P1289" s="30">
        <f t="shared" si="1071"/>
        <v>0</v>
      </c>
      <c r="Q1289" s="31">
        <f t="shared" si="1070"/>
        <v>0</v>
      </c>
    </row>
    <row r="1290" spans="1:17" x14ac:dyDescent="0.2">
      <c r="A1290" s="10"/>
      <c r="B1290" s="26"/>
      <c r="C1290" s="11">
        <v>1992</v>
      </c>
      <c r="D1290" s="32">
        <f>SPFI_CLB14!$D$15</f>
        <v>0.43504100000000001</v>
      </c>
      <c r="E1290" s="32"/>
      <c r="F1290" s="32"/>
      <c r="G1290" s="32"/>
      <c r="H1290" s="32"/>
      <c r="I1290" s="32"/>
      <c r="J1290" s="28">
        <f t="shared" si="1069"/>
        <v>0</v>
      </c>
      <c r="K1290" s="29"/>
      <c r="L1290" s="29"/>
      <c r="M1290" s="29"/>
      <c r="N1290" s="29"/>
      <c r="O1290" s="29"/>
      <c r="P1290" s="30">
        <f t="shared" si="1071"/>
        <v>0</v>
      </c>
      <c r="Q1290" s="31">
        <f t="shared" si="1070"/>
        <v>0</v>
      </c>
    </row>
    <row r="1291" spans="1:17" x14ac:dyDescent="0.2">
      <c r="A1291" s="10"/>
      <c r="B1291" s="26"/>
      <c r="C1291" s="11">
        <v>1993</v>
      </c>
      <c r="D1291" s="32">
        <f>SPFI_CLB14!$D$16</f>
        <v>0.499164</v>
      </c>
      <c r="E1291" s="32"/>
      <c r="F1291" s="32"/>
      <c r="G1291" s="32"/>
      <c r="H1291" s="32"/>
      <c r="I1291" s="32"/>
      <c r="J1291" s="28">
        <f t="shared" si="1069"/>
        <v>0</v>
      </c>
      <c r="K1291" s="29"/>
      <c r="L1291" s="29"/>
      <c r="M1291" s="29"/>
      <c r="N1291" s="29"/>
      <c r="O1291" s="29"/>
      <c r="P1291" s="30">
        <f t="shared" si="1071"/>
        <v>0</v>
      </c>
      <c r="Q1291" s="31">
        <f t="shared" si="1070"/>
        <v>0</v>
      </c>
    </row>
    <row r="1292" spans="1:17" x14ac:dyDescent="0.2">
      <c r="A1292" s="10"/>
      <c r="B1292" s="26"/>
      <c r="C1292" s="11">
        <v>1994</v>
      </c>
      <c r="D1292" s="32">
        <f>SPFI_CLB14!$D$17</f>
        <v>0.59591300000000003</v>
      </c>
      <c r="E1292" s="32"/>
      <c r="F1292" s="32"/>
      <c r="G1292" s="32"/>
      <c r="H1292" s="32"/>
      <c r="I1292" s="32"/>
      <c r="J1292" s="28">
        <f t="shared" si="1069"/>
        <v>0</v>
      </c>
      <c r="K1292" s="29"/>
      <c r="L1292" s="29"/>
      <c r="M1292" s="29"/>
      <c r="N1292" s="29"/>
      <c r="O1292" s="29"/>
      <c r="P1292" s="30">
        <f t="shared" si="1071"/>
        <v>0</v>
      </c>
      <c r="Q1292" s="31">
        <f t="shared" si="1070"/>
        <v>0</v>
      </c>
    </row>
    <row r="1293" spans="1:17" x14ac:dyDescent="0.2">
      <c r="A1293" s="10"/>
      <c r="B1293" s="26"/>
      <c r="C1293" s="11">
        <v>1995</v>
      </c>
      <c r="D1293" s="32">
        <f>SPFI_CLB14!$D$18</f>
        <v>0.25400800000000001</v>
      </c>
      <c r="E1293" s="32"/>
      <c r="F1293" s="32"/>
      <c r="G1293" s="32"/>
      <c r="H1293" s="32"/>
      <c r="I1293" s="32"/>
      <c r="J1293" s="28">
        <f t="shared" ref="J1293" si="1072">D1293*J$41</f>
        <v>0</v>
      </c>
      <c r="K1293" s="29"/>
      <c r="L1293" s="29"/>
      <c r="M1293" s="29"/>
      <c r="N1293" s="29"/>
      <c r="O1293" s="29"/>
      <c r="P1293" s="30">
        <f>SUM(J1293:O1293)</f>
        <v>0</v>
      </c>
      <c r="Q1293" s="31">
        <f t="shared" si="1070"/>
        <v>0</v>
      </c>
    </row>
    <row r="1294" spans="1:17" x14ac:dyDescent="0.2">
      <c r="A1294" s="10"/>
      <c r="B1294" s="26"/>
      <c r="C1294" s="11">
        <v>1996</v>
      </c>
      <c r="D1294" s="32">
        <f>SPFI_CLB14!$D$19</f>
        <v>0</v>
      </c>
      <c r="E1294" s="32"/>
      <c r="F1294" s="32"/>
      <c r="G1294" s="32"/>
      <c r="H1294" s="32"/>
      <c r="I1294" s="32"/>
      <c r="J1294" s="28">
        <f t="shared" ref="J1294" si="1073">D1294*J$41</f>
        <v>0</v>
      </c>
      <c r="K1294" s="29"/>
      <c r="L1294" s="29"/>
      <c r="M1294" s="29"/>
      <c r="N1294" s="29"/>
      <c r="O1294" s="29"/>
      <c r="P1294" s="30">
        <f>SUM(J1294:O1294)</f>
        <v>0</v>
      </c>
      <c r="Q1294" s="31">
        <f t="shared" si="1070"/>
        <v>0</v>
      </c>
    </row>
    <row r="1295" spans="1:17" x14ac:dyDescent="0.2">
      <c r="A1295" s="10"/>
      <c r="B1295" s="26"/>
      <c r="C1295" s="11">
        <v>1997</v>
      </c>
      <c r="D1295" s="32">
        <f>SPFI_CLB14!$D$20</f>
        <v>0.201487</v>
      </c>
      <c r="E1295" s="32"/>
      <c r="F1295" s="32"/>
      <c r="G1295" s="32"/>
      <c r="H1295" s="32"/>
      <c r="I1295" s="32"/>
      <c r="J1295" s="28">
        <f t="shared" ref="J1295" si="1074">D1295*J$41</f>
        <v>0</v>
      </c>
      <c r="K1295" s="29"/>
      <c r="L1295" s="29"/>
      <c r="M1295" s="29"/>
      <c r="N1295" s="29"/>
      <c r="O1295" s="29"/>
      <c r="P1295" s="30">
        <f>SUM(J1295:O1295)</f>
        <v>0</v>
      </c>
      <c r="Q1295" s="31">
        <f t="shared" si="1070"/>
        <v>0</v>
      </c>
    </row>
    <row r="1296" spans="1:17" x14ac:dyDescent="0.2">
      <c r="A1296" s="10"/>
      <c r="B1296" s="26"/>
      <c r="C1296" s="11">
        <v>1998</v>
      </c>
      <c r="D1296" s="32">
        <f>SPFI_CLB14!$D$21</f>
        <v>0.37506400000000001</v>
      </c>
      <c r="E1296" s="32"/>
      <c r="F1296" s="32"/>
      <c r="G1296" s="32"/>
      <c r="H1296" s="32"/>
      <c r="I1296" s="32"/>
      <c r="J1296" s="28">
        <f t="shared" ref="J1296" si="1075">D1296*J$41</f>
        <v>0</v>
      </c>
      <c r="K1296" s="29"/>
      <c r="L1296" s="29"/>
      <c r="M1296" s="29"/>
      <c r="N1296" s="29"/>
      <c r="O1296" s="29"/>
      <c r="P1296" s="30">
        <f>SUM(J1296:O1296)</f>
        <v>0</v>
      </c>
      <c r="Q1296" s="31">
        <f t="shared" si="1070"/>
        <v>0</v>
      </c>
    </row>
    <row r="1297" spans="1:17" x14ac:dyDescent="0.2">
      <c r="A1297" s="10"/>
      <c r="B1297" s="26"/>
      <c r="C1297" s="11">
        <v>1999</v>
      </c>
      <c r="D1297" s="32">
        <f>SPFI_CLB14!$D$22</f>
        <v>0.29823699999999997</v>
      </c>
      <c r="E1297" s="32"/>
      <c r="F1297" s="32"/>
      <c r="G1297" s="32"/>
      <c r="H1297" s="32"/>
      <c r="I1297" s="32"/>
      <c r="J1297" s="28">
        <f t="shared" ref="J1297" si="1076">D1297*J$41</f>
        <v>0</v>
      </c>
      <c r="K1297" s="29"/>
      <c r="L1297" s="29"/>
      <c r="M1297" s="29"/>
      <c r="N1297" s="29"/>
      <c r="O1297" s="29"/>
      <c r="P1297" s="30">
        <f>SUM(J1297:O1297)</f>
        <v>0</v>
      </c>
      <c r="Q1297" s="31">
        <f t="shared" ref="Q1297:Q1302" si="1077">IF(C$41&gt;0,P1297/C$41,0)</f>
        <v>0</v>
      </c>
    </row>
    <row r="1298" spans="1:17" x14ac:dyDescent="0.2">
      <c r="A1298" s="10"/>
      <c r="B1298" s="26"/>
      <c r="C1298" s="11">
        <v>2000</v>
      </c>
      <c r="D1298" s="32">
        <f>SPFI_CLB14!$D$23</f>
        <v>8.4414000000000003E-2</v>
      </c>
      <c r="E1298" s="32"/>
      <c r="F1298" s="32"/>
      <c r="G1298" s="32"/>
      <c r="H1298" s="32"/>
      <c r="I1298" s="32"/>
      <c r="J1298" s="28">
        <f t="shared" ref="J1298" si="1078">D1298*J$41</f>
        <v>0</v>
      </c>
      <c r="K1298" s="29"/>
      <c r="L1298" s="29"/>
      <c r="M1298" s="29"/>
      <c r="N1298" s="29"/>
      <c r="O1298" s="29"/>
      <c r="P1298" s="30">
        <f t="shared" ref="P1298:P1303" si="1079">SUM(J1298:O1298)</f>
        <v>0</v>
      </c>
      <c r="Q1298" s="31">
        <f t="shared" si="1077"/>
        <v>0</v>
      </c>
    </row>
    <row r="1299" spans="1:17" x14ac:dyDescent="0.2">
      <c r="A1299" s="10"/>
      <c r="B1299" s="26"/>
      <c r="C1299" s="11">
        <v>2001</v>
      </c>
      <c r="D1299" s="32">
        <f>SPFI_CLB14!$D$24</f>
        <v>7.8909000000000007E-2</v>
      </c>
      <c r="E1299" s="32"/>
      <c r="F1299" s="32"/>
      <c r="G1299" s="32"/>
      <c r="H1299" s="32"/>
      <c r="I1299" s="32"/>
      <c r="J1299" s="28">
        <f t="shared" ref="J1299" si="1080">D1299*J$41</f>
        <v>0</v>
      </c>
      <c r="K1299" s="29"/>
      <c r="L1299" s="29"/>
      <c r="M1299" s="29"/>
      <c r="N1299" s="29"/>
      <c r="O1299" s="29"/>
      <c r="P1299" s="30">
        <f t="shared" si="1079"/>
        <v>0</v>
      </c>
      <c r="Q1299" s="31">
        <f t="shared" si="1077"/>
        <v>0</v>
      </c>
    </row>
    <row r="1300" spans="1:17" x14ac:dyDescent="0.2">
      <c r="A1300" s="10"/>
      <c r="B1300" s="26"/>
      <c r="C1300" s="11">
        <v>2002</v>
      </c>
      <c r="D1300" s="32">
        <f>SPFI_CLB14!$D$25</f>
        <v>0.29974699999999999</v>
      </c>
      <c r="E1300" s="32"/>
      <c r="F1300" s="32"/>
      <c r="G1300" s="32"/>
      <c r="H1300" s="32"/>
      <c r="I1300" s="32"/>
      <c r="J1300" s="28">
        <f t="shared" ref="J1300" si="1081">D1300*J$41</f>
        <v>0</v>
      </c>
      <c r="K1300" s="29"/>
      <c r="L1300" s="29"/>
      <c r="M1300" s="29"/>
      <c r="N1300" s="29"/>
      <c r="O1300" s="29"/>
      <c r="P1300" s="30">
        <f t="shared" si="1079"/>
        <v>0</v>
      </c>
      <c r="Q1300" s="31">
        <f t="shared" si="1077"/>
        <v>0</v>
      </c>
    </row>
    <row r="1301" spans="1:17" x14ac:dyDescent="0.2">
      <c r="A1301" s="10"/>
      <c r="B1301" s="26"/>
      <c r="C1301" s="11">
        <v>2003</v>
      </c>
      <c r="D1301" s="32">
        <f>SPFI_CLB14!$D$26</f>
        <v>0.20691100000000001</v>
      </c>
      <c r="E1301" s="32"/>
      <c r="F1301" s="32"/>
      <c r="G1301" s="32"/>
      <c r="H1301" s="32"/>
      <c r="I1301" s="32"/>
      <c r="J1301" s="28">
        <f t="shared" ref="J1301" si="1082">D1301*J$41</f>
        <v>0</v>
      </c>
      <c r="K1301" s="29"/>
      <c r="L1301" s="29"/>
      <c r="M1301" s="29"/>
      <c r="N1301" s="29"/>
      <c r="O1301" s="29"/>
      <c r="P1301" s="30">
        <f t="shared" si="1079"/>
        <v>0</v>
      </c>
      <c r="Q1301" s="31">
        <f t="shared" si="1077"/>
        <v>0</v>
      </c>
    </row>
    <row r="1302" spans="1:17" x14ac:dyDescent="0.2">
      <c r="A1302" s="10"/>
      <c r="B1302" s="26"/>
      <c r="C1302" s="11">
        <v>2004</v>
      </c>
      <c r="D1302" s="32">
        <f>SPFI_CLB14!$D$27</f>
        <v>0.269237</v>
      </c>
      <c r="E1302" s="32"/>
      <c r="F1302" s="32"/>
      <c r="G1302" s="32"/>
      <c r="H1302" s="32"/>
      <c r="I1302" s="32"/>
      <c r="J1302" s="28">
        <f t="shared" ref="J1302" si="1083">D1302*J$41</f>
        <v>0</v>
      </c>
      <c r="K1302" s="29"/>
      <c r="L1302" s="29"/>
      <c r="M1302" s="29"/>
      <c r="N1302" s="29"/>
      <c r="O1302" s="29"/>
      <c r="P1302" s="30">
        <f t="shared" si="1079"/>
        <v>0</v>
      </c>
      <c r="Q1302" s="31">
        <f t="shared" si="1077"/>
        <v>0</v>
      </c>
    </row>
    <row r="1303" spans="1:17" x14ac:dyDescent="0.2">
      <c r="A1303" s="10"/>
      <c r="B1303" s="26"/>
      <c r="C1303" s="11">
        <v>2005</v>
      </c>
      <c r="D1303" s="32">
        <f>SPFI_CLB14!$D$28</f>
        <v>0.37848700000000002</v>
      </c>
      <c r="E1303" s="32"/>
      <c r="F1303" s="32"/>
      <c r="G1303" s="32"/>
      <c r="H1303" s="32"/>
      <c r="I1303" s="32"/>
      <c r="J1303" s="28">
        <f t="shared" ref="J1303" si="1084">D1303*J$41</f>
        <v>0</v>
      </c>
      <c r="K1303" s="29"/>
      <c r="L1303" s="29"/>
      <c r="M1303" s="29"/>
      <c r="N1303" s="29"/>
      <c r="O1303" s="29"/>
      <c r="P1303" s="30">
        <f t="shared" si="1079"/>
        <v>0</v>
      </c>
      <c r="Q1303" s="31">
        <f t="shared" ref="Q1303:Q1308" si="1085">IF(C$41&gt;0,P1303/C$41,0)</f>
        <v>0</v>
      </c>
    </row>
    <row r="1304" spans="1:17" x14ac:dyDescent="0.2">
      <c r="A1304" s="10"/>
      <c r="B1304" s="26"/>
      <c r="C1304" s="11">
        <v>2006</v>
      </c>
      <c r="D1304" s="32">
        <f>SPFI_CLB14!$D$29</f>
        <v>0.381023</v>
      </c>
      <c r="E1304" s="32"/>
      <c r="F1304" s="32"/>
      <c r="G1304" s="32"/>
      <c r="H1304" s="32"/>
      <c r="I1304" s="32"/>
      <c r="J1304" s="28">
        <f t="shared" ref="J1304" si="1086">D1304*J$41</f>
        <v>0</v>
      </c>
      <c r="K1304" s="29"/>
      <c r="L1304" s="29"/>
      <c r="M1304" s="29"/>
      <c r="N1304" s="29"/>
      <c r="O1304" s="29"/>
      <c r="P1304" s="30">
        <f t="shared" ref="P1304:P1311" si="1087">SUM(J1304:O1304)</f>
        <v>0</v>
      </c>
      <c r="Q1304" s="31">
        <f t="shared" si="1085"/>
        <v>0</v>
      </c>
    </row>
    <row r="1305" spans="1:17" x14ac:dyDescent="0.2">
      <c r="A1305" s="10"/>
      <c r="B1305" s="26"/>
      <c r="C1305" s="11">
        <v>2007</v>
      </c>
      <c r="D1305" s="32">
        <f>SPFI_CLB14!$D$30</f>
        <v>0.356512</v>
      </c>
      <c r="E1305" s="32"/>
      <c r="F1305" s="32"/>
      <c r="G1305" s="32"/>
      <c r="H1305" s="32"/>
      <c r="I1305" s="32"/>
      <c r="J1305" s="28">
        <f t="shared" ref="J1305" si="1088">D1305*J$41</f>
        <v>0</v>
      </c>
      <c r="K1305" s="29"/>
      <c r="L1305" s="29"/>
      <c r="M1305" s="29"/>
      <c r="N1305" s="29"/>
      <c r="O1305" s="29"/>
      <c r="P1305" s="30">
        <f t="shared" si="1087"/>
        <v>0</v>
      </c>
      <c r="Q1305" s="31">
        <f t="shared" si="1085"/>
        <v>0</v>
      </c>
    </row>
    <row r="1306" spans="1:17" x14ac:dyDescent="0.2">
      <c r="A1306" s="10"/>
      <c r="B1306" s="26"/>
      <c r="C1306" s="11">
        <v>2008</v>
      </c>
      <c r="D1306" s="32">
        <f>SPFI_CLB14!$D$31</f>
        <v>0.25494499999999998</v>
      </c>
      <c r="E1306" s="32"/>
      <c r="F1306" s="32"/>
      <c r="G1306" s="32"/>
      <c r="H1306" s="32"/>
      <c r="I1306" s="32"/>
      <c r="J1306" s="28">
        <f t="shared" ref="J1306" si="1089">D1306*J$41</f>
        <v>0</v>
      </c>
      <c r="K1306" s="29"/>
      <c r="L1306" s="29"/>
      <c r="M1306" s="29"/>
      <c r="N1306" s="29"/>
      <c r="O1306" s="29"/>
      <c r="P1306" s="30">
        <f t="shared" si="1087"/>
        <v>0</v>
      </c>
      <c r="Q1306" s="31">
        <f t="shared" si="1085"/>
        <v>0</v>
      </c>
    </row>
    <row r="1307" spans="1:17" x14ac:dyDescent="0.2">
      <c r="A1307" s="10"/>
      <c r="B1307" s="26"/>
      <c r="C1307" s="11">
        <v>2009</v>
      </c>
      <c r="D1307" s="32">
        <f>SPFI_CLB14!$D$32</f>
        <v>0.52383000000000002</v>
      </c>
      <c r="E1307" s="32"/>
      <c r="F1307" s="32"/>
      <c r="G1307" s="32"/>
      <c r="H1307" s="32"/>
      <c r="I1307" s="32"/>
      <c r="J1307" s="28">
        <f t="shared" ref="J1307" si="1090">D1307*J$41</f>
        <v>0</v>
      </c>
      <c r="K1307" s="29"/>
      <c r="L1307" s="29"/>
      <c r="M1307" s="29"/>
      <c r="N1307" s="29"/>
      <c r="O1307" s="29"/>
      <c r="P1307" s="30">
        <f t="shared" si="1087"/>
        <v>0</v>
      </c>
      <c r="Q1307" s="31">
        <f t="shared" si="1085"/>
        <v>0</v>
      </c>
    </row>
    <row r="1308" spans="1:17" x14ac:dyDescent="0.2">
      <c r="A1308" s="10"/>
      <c r="B1308" s="26"/>
      <c r="C1308" s="11">
        <v>2010</v>
      </c>
      <c r="D1308" s="32">
        <f>SPFI_CLB14!$D$33</f>
        <v>0.31394</v>
      </c>
      <c r="E1308" s="32"/>
      <c r="F1308" s="32"/>
      <c r="G1308" s="32"/>
      <c r="H1308" s="32"/>
      <c r="I1308" s="32"/>
      <c r="J1308" s="28">
        <f t="shared" ref="J1308" si="1091">D1308*J$41</f>
        <v>0</v>
      </c>
      <c r="K1308" s="29"/>
      <c r="L1308" s="29"/>
      <c r="M1308" s="29"/>
      <c r="N1308" s="29"/>
      <c r="O1308" s="29"/>
      <c r="P1308" s="30">
        <f t="shared" si="1087"/>
        <v>0</v>
      </c>
      <c r="Q1308" s="31">
        <f t="shared" si="1085"/>
        <v>0</v>
      </c>
    </row>
    <row r="1309" spans="1:17" x14ac:dyDescent="0.2">
      <c r="A1309" s="10"/>
      <c r="B1309" s="26"/>
      <c r="C1309" s="11">
        <v>2011</v>
      </c>
      <c r="D1309" s="32">
        <f>SPFI_CLB14!$D$34</f>
        <v>0.294348</v>
      </c>
      <c r="E1309" s="32"/>
      <c r="F1309" s="32"/>
      <c r="G1309" s="32"/>
      <c r="H1309" s="32"/>
      <c r="I1309" s="32"/>
      <c r="J1309" s="28">
        <f t="shared" ref="J1309" si="1092">D1309*J$41</f>
        <v>0</v>
      </c>
      <c r="K1309" s="29"/>
      <c r="L1309" s="29"/>
      <c r="M1309" s="29"/>
      <c r="N1309" s="29"/>
      <c r="O1309" s="29"/>
      <c r="P1309" s="30">
        <f t="shared" ref="P1309" si="1093">SUM(J1309:O1309)</f>
        <v>0</v>
      </c>
      <c r="Q1309" s="31">
        <f t="shared" ref="Q1309" si="1094">IF(C$41&gt;0,P1309/C$41,0)</f>
        <v>0</v>
      </c>
    </row>
    <row r="1310" spans="1:17" x14ac:dyDescent="0.2">
      <c r="A1310" s="10"/>
      <c r="B1310" s="26"/>
      <c r="C1310" s="11">
        <v>2012</v>
      </c>
      <c r="D1310" s="32">
        <f>SPFI_CLB14!$D$35</f>
        <v>0.34784100000000001</v>
      </c>
      <c r="E1310" s="32"/>
      <c r="F1310" s="32"/>
      <c r="G1310" s="32"/>
      <c r="H1310" s="32"/>
      <c r="I1310" s="32"/>
      <c r="J1310" s="28">
        <f t="shared" ref="J1310" si="1095">D1310*J$41</f>
        <v>0</v>
      </c>
      <c r="K1310" s="29"/>
      <c r="L1310" s="29"/>
      <c r="M1310" s="29"/>
      <c r="N1310" s="29"/>
      <c r="O1310" s="29"/>
      <c r="P1310" s="30">
        <f t="shared" ref="P1310" si="1096">SUM(J1310:O1310)</f>
        <v>0</v>
      </c>
      <c r="Q1310" s="31">
        <f t="shared" ref="Q1310" si="1097">IF(C$41&gt;0,P1310/C$41,0)</f>
        <v>0</v>
      </c>
    </row>
    <row r="1311" spans="1:17" x14ac:dyDescent="0.2">
      <c r="A1311" s="5" t="s">
        <v>15</v>
      </c>
      <c r="B1311" s="21">
        <v>4</v>
      </c>
      <c r="C1311" s="6">
        <v>1982</v>
      </c>
      <c r="D1311" s="27">
        <f>SPFI_CLB14!$D$5</f>
        <v>0.98153299999999999</v>
      </c>
      <c r="E1311" s="27"/>
      <c r="F1311" s="27"/>
      <c r="G1311" s="27"/>
      <c r="H1311" s="27"/>
      <c r="I1311" s="27"/>
      <c r="J1311" s="33">
        <f t="shared" ref="J1311:J1323" si="1098">D1311*J$42</f>
        <v>0</v>
      </c>
      <c r="K1311" s="27"/>
      <c r="L1311" s="27"/>
      <c r="M1311" s="27"/>
      <c r="N1311" s="27"/>
      <c r="O1311" s="27"/>
      <c r="P1311" s="34">
        <f t="shared" si="1087"/>
        <v>0</v>
      </c>
      <c r="Q1311" s="35">
        <f t="shared" ref="Q1311:Q1327" si="1099">IF(C$42&gt;0,P1311/C$42,0)</f>
        <v>0</v>
      </c>
    </row>
    <row r="1312" spans="1:17" x14ac:dyDescent="0.2">
      <c r="A1312" s="10"/>
      <c r="B1312" s="26"/>
      <c r="C1312" s="11">
        <v>1983</v>
      </c>
      <c r="D1312" s="32">
        <f>SPFI_CLB14!$D$6</f>
        <v>0.93659899999999996</v>
      </c>
      <c r="E1312" s="32"/>
      <c r="F1312" s="32"/>
      <c r="G1312" s="32"/>
      <c r="H1312" s="32"/>
      <c r="I1312" s="32"/>
      <c r="J1312" s="28">
        <f t="shared" si="1098"/>
        <v>0</v>
      </c>
      <c r="K1312" s="29"/>
      <c r="L1312" s="29"/>
      <c r="M1312" s="29"/>
      <c r="N1312" s="29"/>
      <c r="O1312" s="29"/>
      <c r="P1312" s="30">
        <f t="shared" ref="P1312:P1323" si="1100">SUM(J1312:O1312)</f>
        <v>0</v>
      </c>
      <c r="Q1312" s="31">
        <f t="shared" si="1099"/>
        <v>0</v>
      </c>
    </row>
    <row r="1313" spans="1:17" x14ac:dyDescent="0.2">
      <c r="A1313" s="10"/>
      <c r="B1313" s="26"/>
      <c r="C1313" s="11">
        <v>1984</v>
      </c>
      <c r="D1313" s="32">
        <f>SPFI_CLB14!$D$7</f>
        <v>0.92793599999999998</v>
      </c>
      <c r="E1313" s="32"/>
      <c r="F1313" s="32"/>
      <c r="G1313" s="32"/>
      <c r="H1313" s="32"/>
      <c r="I1313" s="32"/>
      <c r="J1313" s="28">
        <f t="shared" si="1098"/>
        <v>0</v>
      </c>
      <c r="K1313" s="29"/>
      <c r="L1313" s="29"/>
      <c r="M1313" s="29"/>
      <c r="N1313" s="29"/>
      <c r="O1313" s="29"/>
      <c r="P1313" s="30">
        <f t="shared" si="1100"/>
        <v>0</v>
      </c>
      <c r="Q1313" s="31">
        <f t="shared" si="1099"/>
        <v>0</v>
      </c>
    </row>
    <row r="1314" spans="1:17" x14ac:dyDescent="0.2">
      <c r="A1314" s="10"/>
      <c r="B1314" s="26"/>
      <c r="C1314" s="11">
        <v>1985</v>
      </c>
      <c r="D1314" s="32">
        <f>SPFI_CLB14!$D$8</f>
        <v>0.90386500000000003</v>
      </c>
      <c r="E1314" s="32"/>
      <c r="F1314" s="32"/>
      <c r="G1314" s="32"/>
      <c r="H1314" s="32"/>
      <c r="I1314" s="32"/>
      <c r="J1314" s="28">
        <f t="shared" si="1098"/>
        <v>0</v>
      </c>
      <c r="K1314" s="29"/>
      <c r="L1314" s="29"/>
      <c r="M1314" s="29"/>
      <c r="N1314" s="29"/>
      <c r="O1314" s="29"/>
      <c r="P1314" s="30">
        <f t="shared" si="1100"/>
        <v>0</v>
      </c>
      <c r="Q1314" s="31">
        <f t="shared" si="1099"/>
        <v>0</v>
      </c>
    </row>
    <row r="1315" spans="1:17" x14ac:dyDescent="0.2">
      <c r="A1315" s="10"/>
      <c r="B1315" s="26"/>
      <c r="C1315" s="11">
        <v>1986</v>
      </c>
      <c r="D1315" s="32">
        <f>SPFI_CLB14!$D$9</f>
        <v>0.73087500000000005</v>
      </c>
      <c r="E1315" s="32"/>
      <c r="F1315" s="32"/>
      <c r="G1315" s="32"/>
      <c r="H1315" s="32"/>
      <c r="I1315" s="32"/>
      <c r="J1315" s="28">
        <f t="shared" si="1098"/>
        <v>0</v>
      </c>
      <c r="K1315" s="29"/>
      <c r="L1315" s="29"/>
      <c r="M1315" s="29"/>
      <c r="N1315" s="29"/>
      <c r="O1315" s="29"/>
      <c r="P1315" s="30">
        <f t="shared" si="1100"/>
        <v>0</v>
      </c>
      <c r="Q1315" s="31">
        <f t="shared" si="1099"/>
        <v>0</v>
      </c>
    </row>
    <row r="1316" spans="1:17" x14ac:dyDescent="0.2">
      <c r="A1316" s="10"/>
      <c r="B1316" s="26"/>
      <c r="C1316" s="11">
        <v>1987</v>
      </c>
      <c r="D1316" s="32">
        <f>SPFI_CLB14!$D$10</f>
        <v>0.71733499999999994</v>
      </c>
      <c r="E1316" s="32"/>
      <c r="F1316" s="32"/>
      <c r="G1316" s="32"/>
      <c r="H1316" s="32"/>
      <c r="I1316" s="32"/>
      <c r="J1316" s="28">
        <f t="shared" si="1098"/>
        <v>0</v>
      </c>
      <c r="K1316" s="29"/>
      <c r="L1316" s="29"/>
      <c r="M1316" s="29"/>
      <c r="N1316" s="29"/>
      <c r="O1316" s="29"/>
      <c r="P1316" s="30">
        <f t="shared" si="1100"/>
        <v>0</v>
      </c>
      <c r="Q1316" s="31">
        <f t="shared" si="1099"/>
        <v>0</v>
      </c>
    </row>
    <row r="1317" spans="1:17" x14ac:dyDescent="0.2">
      <c r="A1317" s="10"/>
      <c r="B1317" s="26"/>
      <c r="C1317" s="11">
        <v>1988</v>
      </c>
      <c r="D1317" s="32">
        <f>SPFI_CLB14!$D$11</f>
        <v>0.64558800000000005</v>
      </c>
      <c r="E1317" s="32"/>
      <c r="F1317" s="32"/>
      <c r="G1317" s="32"/>
      <c r="H1317" s="32"/>
      <c r="I1317" s="32"/>
      <c r="J1317" s="28">
        <f t="shared" si="1098"/>
        <v>0</v>
      </c>
      <c r="K1317" s="29"/>
      <c r="L1317" s="29"/>
      <c r="M1317" s="29"/>
      <c r="N1317" s="29"/>
      <c r="O1317" s="29"/>
      <c r="P1317" s="30">
        <f t="shared" si="1100"/>
        <v>0</v>
      </c>
      <c r="Q1317" s="31">
        <f t="shared" si="1099"/>
        <v>0</v>
      </c>
    </row>
    <row r="1318" spans="1:17" x14ac:dyDescent="0.2">
      <c r="A1318" s="10"/>
      <c r="B1318" s="26"/>
      <c r="C1318" s="11">
        <v>1989</v>
      </c>
      <c r="D1318" s="32">
        <f>SPFI_CLB14!$D$12</f>
        <v>0.65287700000000004</v>
      </c>
      <c r="E1318" s="32"/>
      <c r="F1318" s="32"/>
      <c r="G1318" s="32"/>
      <c r="H1318" s="32"/>
      <c r="I1318" s="32"/>
      <c r="J1318" s="28">
        <f t="shared" si="1098"/>
        <v>0</v>
      </c>
      <c r="K1318" s="29"/>
      <c r="L1318" s="29"/>
      <c r="M1318" s="29"/>
      <c r="N1318" s="29"/>
      <c r="O1318" s="29"/>
      <c r="P1318" s="30">
        <f t="shared" si="1100"/>
        <v>0</v>
      </c>
      <c r="Q1318" s="31">
        <f t="shared" si="1099"/>
        <v>0</v>
      </c>
    </row>
    <row r="1319" spans="1:17" x14ac:dyDescent="0.2">
      <c r="A1319" s="10"/>
      <c r="B1319" s="26"/>
      <c r="C1319" s="11">
        <v>1990</v>
      </c>
      <c r="D1319" s="32">
        <f>SPFI_CLB14!$D$13</f>
        <v>0.56965100000000002</v>
      </c>
      <c r="E1319" s="32"/>
      <c r="F1319" s="32"/>
      <c r="G1319" s="32"/>
      <c r="H1319" s="32"/>
      <c r="I1319" s="32"/>
      <c r="J1319" s="28">
        <f t="shared" si="1098"/>
        <v>0</v>
      </c>
      <c r="K1319" s="29"/>
      <c r="L1319" s="29"/>
      <c r="M1319" s="29"/>
      <c r="N1319" s="29"/>
      <c r="O1319" s="29"/>
      <c r="P1319" s="30">
        <f t="shared" si="1100"/>
        <v>0</v>
      </c>
      <c r="Q1319" s="31">
        <f t="shared" si="1099"/>
        <v>0</v>
      </c>
    </row>
    <row r="1320" spans="1:17" x14ac:dyDescent="0.2">
      <c r="A1320" s="10"/>
      <c r="B1320" s="26"/>
      <c r="C1320" s="11">
        <v>1991</v>
      </c>
      <c r="D1320" s="32">
        <f>SPFI_CLB14!$D$14</f>
        <v>0.62776900000000002</v>
      </c>
      <c r="E1320" s="32"/>
      <c r="F1320" s="32"/>
      <c r="G1320" s="32"/>
      <c r="H1320" s="32"/>
      <c r="I1320" s="32"/>
      <c r="J1320" s="28">
        <f t="shared" si="1098"/>
        <v>0</v>
      </c>
      <c r="K1320" s="29"/>
      <c r="L1320" s="29"/>
      <c r="M1320" s="29"/>
      <c r="N1320" s="29"/>
      <c r="O1320" s="29"/>
      <c r="P1320" s="30">
        <f t="shared" si="1100"/>
        <v>0</v>
      </c>
      <c r="Q1320" s="31">
        <f t="shared" si="1099"/>
        <v>0</v>
      </c>
    </row>
    <row r="1321" spans="1:17" x14ac:dyDescent="0.2">
      <c r="A1321" s="10"/>
      <c r="B1321" s="26"/>
      <c r="C1321" s="11">
        <v>1992</v>
      </c>
      <c r="D1321" s="32">
        <f>SPFI_CLB14!$D$15</f>
        <v>0.43504100000000001</v>
      </c>
      <c r="E1321" s="32"/>
      <c r="F1321" s="32"/>
      <c r="G1321" s="32"/>
      <c r="H1321" s="32"/>
      <c r="I1321" s="32"/>
      <c r="J1321" s="28">
        <f t="shared" si="1098"/>
        <v>0</v>
      </c>
      <c r="K1321" s="29"/>
      <c r="L1321" s="29"/>
      <c r="M1321" s="29"/>
      <c r="N1321" s="29"/>
      <c r="O1321" s="29"/>
      <c r="P1321" s="30">
        <f t="shared" si="1100"/>
        <v>0</v>
      </c>
      <c r="Q1321" s="31">
        <f t="shared" si="1099"/>
        <v>0</v>
      </c>
    </row>
    <row r="1322" spans="1:17" x14ac:dyDescent="0.2">
      <c r="A1322" s="10"/>
      <c r="B1322" s="26"/>
      <c r="C1322" s="11">
        <v>1993</v>
      </c>
      <c r="D1322" s="32">
        <f>SPFI_CLB14!$D$16</f>
        <v>0.499164</v>
      </c>
      <c r="E1322" s="32"/>
      <c r="F1322" s="32"/>
      <c r="G1322" s="32"/>
      <c r="H1322" s="32"/>
      <c r="I1322" s="32"/>
      <c r="J1322" s="28">
        <f t="shared" si="1098"/>
        <v>0</v>
      </c>
      <c r="K1322" s="29"/>
      <c r="L1322" s="29"/>
      <c r="M1322" s="29"/>
      <c r="N1322" s="29"/>
      <c r="O1322" s="29"/>
      <c r="P1322" s="30">
        <f t="shared" si="1100"/>
        <v>0</v>
      </c>
      <c r="Q1322" s="31">
        <f t="shared" si="1099"/>
        <v>0</v>
      </c>
    </row>
    <row r="1323" spans="1:17" x14ac:dyDescent="0.2">
      <c r="A1323" s="10"/>
      <c r="B1323" s="26"/>
      <c r="C1323" s="11">
        <v>1994</v>
      </c>
      <c r="D1323" s="32">
        <f>SPFI_CLB14!$D$17</f>
        <v>0.59591300000000003</v>
      </c>
      <c r="E1323" s="32"/>
      <c r="F1323" s="32"/>
      <c r="G1323" s="32"/>
      <c r="H1323" s="32"/>
      <c r="I1323" s="32"/>
      <c r="J1323" s="28">
        <f t="shared" si="1098"/>
        <v>0</v>
      </c>
      <c r="K1323" s="29"/>
      <c r="L1323" s="29"/>
      <c r="M1323" s="29"/>
      <c r="N1323" s="29"/>
      <c r="O1323" s="29"/>
      <c r="P1323" s="30">
        <f t="shared" si="1100"/>
        <v>0</v>
      </c>
      <c r="Q1323" s="31">
        <f t="shared" si="1099"/>
        <v>0</v>
      </c>
    </row>
    <row r="1324" spans="1:17" x14ac:dyDescent="0.2">
      <c r="A1324" s="10"/>
      <c r="B1324" s="26"/>
      <c r="C1324" s="11">
        <v>1995</v>
      </c>
      <c r="D1324" s="32">
        <f>SPFI_CLB14!$D$18</f>
        <v>0.25400800000000001</v>
      </c>
      <c r="E1324" s="32"/>
      <c r="F1324" s="32"/>
      <c r="G1324" s="32"/>
      <c r="H1324" s="32"/>
      <c r="I1324" s="32"/>
      <c r="J1324" s="28">
        <f t="shared" ref="J1324" si="1101">D1324*J$42</f>
        <v>0</v>
      </c>
      <c r="K1324" s="29"/>
      <c r="L1324" s="29"/>
      <c r="M1324" s="29"/>
      <c r="N1324" s="29"/>
      <c r="O1324" s="29"/>
      <c r="P1324" s="30">
        <f>SUM(J1324:O1324)</f>
        <v>0</v>
      </c>
      <c r="Q1324" s="31">
        <f t="shared" si="1099"/>
        <v>0</v>
      </c>
    </row>
    <row r="1325" spans="1:17" x14ac:dyDescent="0.2">
      <c r="A1325" s="10"/>
      <c r="B1325" s="26"/>
      <c r="C1325" s="11">
        <v>1996</v>
      </c>
      <c r="D1325" s="32">
        <f>SPFI_CLB14!$D$19</f>
        <v>0</v>
      </c>
      <c r="E1325" s="32"/>
      <c r="F1325" s="32"/>
      <c r="G1325" s="32"/>
      <c r="H1325" s="32"/>
      <c r="I1325" s="32"/>
      <c r="J1325" s="28">
        <f t="shared" ref="J1325" si="1102">D1325*J$42</f>
        <v>0</v>
      </c>
      <c r="K1325" s="29"/>
      <c r="L1325" s="29"/>
      <c r="M1325" s="29"/>
      <c r="N1325" s="29"/>
      <c r="O1325" s="29"/>
      <c r="P1325" s="30">
        <f>SUM(J1325:O1325)</f>
        <v>0</v>
      </c>
      <c r="Q1325" s="31">
        <f t="shared" si="1099"/>
        <v>0</v>
      </c>
    </row>
    <row r="1326" spans="1:17" x14ac:dyDescent="0.2">
      <c r="A1326" s="10"/>
      <c r="B1326" s="26"/>
      <c r="C1326" s="11">
        <v>1997</v>
      </c>
      <c r="D1326" s="32">
        <f>SPFI_CLB14!$D$20</f>
        <v>0.201487</v>
      </c>
      <c r="E1326" s="32"/>
      <c r="F1326" s="32"/>
      <c r="G1326" s="32"/>
      <c r="H1326" s="32"/>
      <c r="I1326" s="32"/>
      <c r="J1326" s="28">
        <f t="shared" ref="J1326" si="1103">D1326*J$42</f>
        <v>0</v>
      </c>
      <c r="K1326" s="29"/>
      <c r="L1326" s="29"/>
      <c r="M1326" s="29"/>
      <c r="N1326" s="29"/>
      <c r="O1326" s="29"/>
      <c r="P1326" s="30">
        <f>SUM(J1326:O1326)</f>
        <v>0</v>
      </c>
      <c r="Q1326" s="31">
        <f t="shared" si="1099"/>
        <v>0</v>
      </c>
    </row>
    <row r="1327" spans="1:17" x14ac:dyDescent="0.2">
      <c r="A1327" s="10"/>
      <c r="B1327" s="26"/>
      <c r="C1327" s="11">
        <v>1998</v>
      </c>
      <c r="D1327" s="32">
        <f>SPFI_CLB14!$D$21</f>
        <v>0.37506400000000001</v>
      </c>
      <c r="E1327" s="32"/>
      <c r="F1327" s="32"/>
      <c r="G1327" s="32"/>
      <c r="H1327" s="32"/>
      <c r="I1327" s="32"/>
      <c r="J1327" s="28">
        <f t="shared" ref="J1327" si="1104">D1327*J$42</f>
        <v>0</v>
      </c>
      <c r="K1327" s="29"/>
      <c r="L1327" s="29"/>
      <c r="M1327" s="29"/>
      <c r="N1327" s="29"/>
      <c r="O1327" s="29"/>
      <c r="P1327" s="30">
        <f>SUM(J1327:O1327)</f>
        <v>0</v>
      </c>
      <c r="Q1327" s="31">
        <f t="shared" si="1099"/>
        <v>0</v>
      </c>
    </row>
    <row r="1328" spans="1:17" x14ac:dyDescent="0.2">
      <c r="A1328" s="10"/>
      <c r="B1328" s="26"/>
      <c r="C1328" s="11">
        <v>1999</v>
      </c>
      <c r="D1328" s="32">
        <f>SPFI_CLB14!$D$22</f>
        <v>0.29823699999999997</v>
      </c>
      <c r="E1328" s="32"/>
      <c r="F1328" s="32"/>
      <c r="G1328" s="32"/>
      <c r="H1328" s="32"/>
      <c r="I1328" s="32"/>
      <c r="J1328" s="28">
        <f t="shared" ref="J1328" si="1105">D1328*J$42</f>
        <v>0</v>
      </c>
      <c r="K1328" s="29"/>
      <c r="L1328" s="29"/>
      <c r="M1328" s="29"/>
      <c r="N1328" s="29"/>
      <c r="O1328" s="29"/>
      <c r="P1328" s="30">
        <f>SUM(J1328:O1328)</f>
        <v>0</v>
      </c>
      <c r="Q1328" s="31">
        <f t="shared" ref="Q1328:Q1333" si="1106">IF(C$42&gt;0,P1328/C$42,0)</f>
        <v>0</v>
      </c>
    </row>
    <row r="1329" spans="1:17" x14ac:dyDescent="0.2">
      <c r="A1329" s="10"/>
      <c r="B1329" s="26"/>
      <c r="C1329" s="11">
        <v>2000</v>
      </c>
      <c r="D1329" s="32">
        <f>SPFI_CLB14!$D$23</f>
        <v>8.4414000000000003E-2</v>
      </c>
      <c r="E1329" s="32"/>
      <c r="F1329" s="32"/>
      <c r="G1329" s="32"/>
      <c r="H1329" s="32"/>
      <c r="I1329" s="32"/>
      <c r="J1329" s="28">
        <f t="shared" ref="J1329" si="1107">D1329*J$42</f>
        <v>0</v>
      </c>
      <c r="K1329" s="29"/>
      <c r="L1329" s="29"/>
      <c r="M1329" s="29"/>
      <c r="N1329" s="29"/>
      <c r="O1329" s="29"/>
      <c r="P1329" s="30">
        <f t="shared" ref="P1329:P1334" si="1108">SUM(J1329:O1329)</f>
        <v>0</v>
      </c>
      <c r="Q1329" s="31">
        <f t="shared" si="1106"/>
        <v>0</v>
      </c>
    </row>
    <row r="1330" spans="1:17" x14ac:dyDescent="0.2">
      <c r="A1330" s="10"/>
      <c r="B1330" s="26"/>
      <c r="C1330" s="11">
        <v>2001</v>
      </c>
      <c r="D1330" s="32">
        <f>SPFI_CLB14!$D$24</f>
        <v>7.8909000000000007E-2</v>
      </c>
      <c r="E1330" s="32"/>
      <c r="F1330" s="32"/>
      <c r="G1330" s="32"/>
      <c r="H1330" s="32"/>
      <c r="I1330" s="32"/>
      <c r="J1330" s="28">
        <f t="shared" ref="J1330" si="1109">D1330*J$42</f>
        <v>0</v>
      </c>
      <c r="K1330" s="29"/>
      <c r="L1330" s="29"/>
      <c r="M1330" s="29"/>
      <c r="N1330" s="29"/>
      <c r="O1330" s="29"/>
      <c r="P1330" s="30">
        <f t="shared" si="1108"/>
        <v>0</v>
      </c>
      <c r="Q1330" s="31">
        <f t="shared" si="1106"/>
        <v>0</v>
      </c>
    </row>
    <row r="1331" spans="1:17" x14ac:dyDescent="0.2">
      <c r="A1331" s="10"/>
      <c r="B1331" s="26"/>
      <c r="C1331" s="11">
        <v>2002</v>
      </c>
      <c r="D1331" s="32">
        <f>SPFI_CLB14!$D$25</f>
        <v>0.29974699999999999</v>
      </c>
      <c r="E1331" s="32"/>
      <c r="F1331" s="32"/>
      <c r="G1331" s="32"/>
      <c r="H1331" s="32"/>
      <c r="I1331" s="32"/>
      <c r="J1331" s="28">
        <f t="shared" ref="J1331" si="1110">D1331*J$42</f>
        <v>0</v>
      </c>
      <c r="K1331" s="29"/>
      <c r="L1331" s="29"/>
      <c r="M1331" s="29"/>
      <c r="N1331" s="29"/>
      <c r="O1331" s="29"/>
      <c r="P1331" s="30">
        <f t="shared" si="1108"/>
        <v>0</v>
      </c>
      <c r="Q1331" s="31">
        <f t="shared" si="1106"/>
        <v>0</v>
      </c>
    </row>
    <row r="1332" spans="1:17" x14ac:dyDescent="0.2">
      <c r="A1332" s="10"/>
      <c r="B1332" s="26"/>
      <c r="C1332" s="11">
        <v>2003</v>
      </c>
      <c r="D1332" s="32">
        <f>SPFI_CLB14!$D$26</f>
        <v>0.20691100000000001</v>
      </c>
      <c r="E1332" s="32"/>
      <c r="F1332" s="32"/>
      <c r="G1332" s="32"/>
      <c r="H1332" s="32"/>
      <c r="I1332" s="32"/>
      <c r="J1332" s="28">
        <f t="shared" ref="J1332" si="1111">D1332*J$42</f>
        <v>0</v>
      </c>
      <c r="K1332" s="29"/>
      <c r="L1332" s="29"/>
      <c r="M1332" s="29"/>
      <c r="N1332" s="29"/>
      <c r="O1332" s="29"/>
      <c r="P1332" s="30">
        <f t="shared" si="1108"/>
        <v>0</v>
      </c>
      <c r="Q1332" s="31">
        <f t="shared" si="1106"/>
        <v>0</v>
      </c>
    </row>
    <row r="1333" spans="1:17" x14ac:dyDescent="0.2">
      <c r="A1333" s="10"/>
      <c r="B1333" s="26"/>
      <c r="C1333" s="11">
        <v>2004</v>
      </c>
      <c r="D1333" s="32">
        <f>SPFI_CLB14!$D$27</f>
        <v>0.269237</v>
      </c>
      <c r="E1333" s="32"/>
      <c r="F1333" s="32"/>
      <c r="G1333" s="32"/>
      <c r="H1333" s="32"/>
      <c r="I1333" s="32"/>
      <c r="J1333" s="28">
        <f t="shared" ref="J1333" si="1112">D1333*J$42</f>
        <v>0</v>
      </c>
      <c r="K1333" s="29"/>
      <c r="L1333" s="29"/>
      <c r="M1333" s="29"/>
      <c r="N1333" s="29"/>
      <c r="O1333" s="29"/>
      <c r="P1333" s="30">
        <f t="shared" si="1108"/>
        <v>0</v>
      </c>
      <c r="Q1333" s="31">
        <f t="shared" si="1106"/>
        <v>0</v>
      </c>
    </row>
    <row r="1334" spans="1:17" x14ac:dyDescent="0.2">
      <c r="A1334" s="10"/>
      <c r="B1334" s="26"/>
      <c r="C1334" s="11">
        <v>2005</v>
      </c>
      <c r="D1334" s="32">
        <f>SPFI_CLB14!$D$28</f>
        <v>0.37848700000000002</v>
      </c>
      <c r="E1334" s="32"/>
      <c r="F1334" s="32"/>
      <c r="G1334" s="32"/>
      <c r="H1334" s="32"/>
      <c r="I1334" s="32"/>
      <c r="J1334" s="28">
        <f t="shared" ref="J1334" si="1113">D1334*J$42</f>
        <v>0</v>
      </c>
      <c r="K1334" s="29"/>
      <c r="L1334" s="29"/>
      <c r="M1334" s="29"/>
      <c r="N1334" s="29"/>
      <c r="O1334" s="29"/>
      <c r="P1334" s="30">
        <f t="shared" si="1108"/>
        <v>0</v>
      </c>
      <c r="Q1334" s="31">
        <f t="shared" ref="Q1334:Q1339" si="1114">IF(C$42&gt;0,P1334/C$42,0)</f>
        <v>0</v>
      </c>
    </row>
    <row r="1335" spans="1:17" x14ac:dyDescent="0.2">
      <c r="A1335" s="10"/>
      <c r="B1335" s="26"/>
      <c r="C1335" s="11">
        <v>2006</v>
      </c>
      <c r="D1335" s="32">
        <f>SPFI_CLB14!$D$29</f>
        <v>0.381023</v>
      </c>
      <c r="E1335" s="32"/>
      <c r="F1335" s="32"/>
      <c r="G1335" s="32"/>
      <c r="H1335" s="32"/>
      <c r="I1335" s="32"/>
      <c r="J1335" s="28">
        <f t="shared" ref="J1335" si="1115">D1335*J$42</f>
        <v>0</v>
      </c>
      <c r="K1335" s="29"/>
      <c r="L1335" s="29"/>
      <c r="M1335" s="29"/>
      <c r="N1335" s="29"/>
      <c r="O1335" s="29"/>
      <c r="P1335" s="30">
        <f t="shared" ref="P1335:P1342" si="1116">SUM(J1335:O1335)</f>
        <v>0</v>
      </c>
      <c r="Q1335" s="31">
        <f t="shared" si="1114"/>
        <v>0</v>
      </c>
    </row>
    <row r="1336" spans="1:17" x14ac:dyDescent="0.2">
      <c r="A1336" s="10"/>
      <c r="B1336" s="26"/>
      <c r="C1336" s="11">
        <v>2007</v>
      </c>
      <c r="D1336" s="32">
        <f>SPFI_CLB14!$D$30</f>
        <v>0.356512</v>
      </c>
      <c r="E1336" s="32"/>
      <c r="F1336" s="32"/>
      <c r="G1336" s="32"/>
      <c r="H1336" s="32"/>
      <c r="I1336" s="32"/>
      <c r="J1336" s="28">
        <f t="shared" ref="J1336" si="1117">D1336*J$42</f>
        <v>0</v>
      </c>
      <c r="K1336" s="29"/>
      <c r="L1336" s="29"/>
      <c r="M1336" s="29"/>
      <c r="N1336" s="29"/>
      <c r="O1336" s="29"/>
      <c r="P1336" s="30">
        <f t="shared" si="1116"/>
        <v>0</v>
      </c>
      <c r="Q1336" s="31">
        <f t="shared" si="1114"/>
        <v>0</v>
      </c>
    </row>
    <row r="1337" spans="1:17" x14ac:dyDescent="0.2">
      <c r="A1337" s="10"/>
      <c r="B1337" s="26"/>
      <c r="C1337" s="11">
        <v>2008</v>
      </c>
      <c r="D1337" s="32">
        <f>SPFI_CLB14!$D$31</f>
        <v>0.25494499999999998</v>
      </c>
      <c r="E1337" s="32"/>
      <c r="F1337" s="32"/>
      <c r="G1337" s="32"/>
      <c r="H1337" s="32"/>
      <c r="I1337" s="32"/>
      <c r="J1337" s="28">
        <f t="shared" ref="J1337" si="1118">D1337*J$42</f>
        <v>0</v>
      </c>
      <c r="K1337" s="29"/>
      <c r="L1337" s="29"/>
      <c r="M1337" s="29"/>
      <c r="N1337" s="29"/>
      <c r="O1337" s="29"/>
      <c r="P1337" s="30">
        <f t="shared" si="1116"/>
        <v>0</v>
      </c>
      <c r="Q1337" s="31">
        <f t="shared" si="1114"/>
        <v>0</v>
      </c>
    </row>
    <row r="1338" spans="1:17" x14ac:dyDescent="0.2">
      <c r="A1338" s="10"/>
      <c r="B1338" s="26"/>
      <c r="C1338" s="11">
        <v>2009</v>
      </c>
      <c r="D1338" s="32">
        <f>SPFI_CLB14!$D$32</f>
        <v>0.52383000000000002</v>
      </c>
      <c r="E1338" s="32"/>
      <c r="F1338" s="32"/>
      <c r="G1338" s="32"/>
      <c r="H1338" s="32"/>
      <c r="I1338" s="32"/>
      <c r="J1338" s="28">
        <f t="shared" ref="J1338" si="1119">D1338*J$42</f>
        <v>0</v>
      </c>
      <c r="K1338" s="29"/>
      <c r="L1338" s="29"/>
      <c r="M1338" s="29"/>
      <c r="N1338" s="29"/>
      <c r="O1338" s="29"/>
      <c r="P1338" s="30">
        <f t="shared" si="1116"/>
        <v>0</v>
      </c>
      <c r="Q1338" s="31">
        <f t="shared" si="1114"/>
        <v>0</v>
      </c>
    </row>
    <row r="1339" spans="1:17" x14ac:dyDescent="0.2">
      <c r="A1339" s="10"/>
      <c r="B1339" s="26"/>
      <c r="C1339" s="11">
        <v>2010</v>
      </c>
      <c r="D1339" s="32">
        <f>SPFI_CLB14!$D$33</f>
        <v>0.31394</v>
      </c>
      <c r="E1339" s="32"/>
      <c r="F1339" s="32"/>
      <c r="G1339" s="32"/>
      <c r="H1339" s="32"/>
      <c r="I1339" s="32"/>
      <c r="J1339" s="28">
        <f t="shared" ref="J1339" si="1120">D1339*J$42</f>
        <v>0</v>
      </c>
      <c r="K1339" s="29"/>
      <c r="L1339" s="29"/>
      <c r="M1339" s="29"/>
      <c r="N1339" s="29"/>
      <c r="O1339" s="29"/>
      <c r="P1339" s="30">
        <f t="shared" si="1116"/>
        <v>0</v>
      </c>
      <c r="Q1339" s="31">
        <f t="shared" si="1114"/>
        <v>0</v>
      </c>
    </row>
    <row r="1340" spans="1:17" x14ac:dyDescent="0.2">
      <c r="A1340" s="10"/>
      <c r="B1340" s="26"/>
      <c r="C1340" s="11">
        <v>2011</v>
      </c>
      <c r="D1340" s="32">
        <f>SPFI_CLB14!$D$34</f>
        <v>0.294348</v>
      </c>
      <c r="E1340" s="32"/>
      <c r="F1340" s="32"/>
      <c r="G1340" s="32"/>
      <c r="H1340" s="32"/>
      <c r="I1340" s="32"/>
      <c r="J1340" s="28">
        <f t="shared" ref="J1340" si="1121">D1340*J$42</f>
        <v>0</v>
      </c>
      <c r="K1340" s="29"/>
      <c r="L1340" s="29"/>
      <c r="M1340" s="29"/>
      <c r="N1340" s="29"/>
      <c r="O1340" s="29"/>
      <c r="P1340" s="30">
        <f t="shared" ref="P1340" si="1122">SUM(J1340:O1340)</f>
        <v>0</v>
      </c>
      <c r="Q1340" s="31">
        <f t="shared" ref="Q1340" si="1123">IF(C$42&gt;0,P1340/C$42,0)</f>
        <v>0</v>
      </c>
    </row>
    <row r="1341" spans="1:17" x14ac:dyDescent="0.2">
      <c r="A1341" s="10"/>
      <c r="B1341" s="26"/>
      <c r="C1341" s="11">
        <v>2012</v>
      </c>
      <c r="D1341" s="32">
        <f>SPFI_CLB14!$D$35</f>
        <v>0.34784100000000001</v>
      </c>
      <c r="E1341" s="32"/>
      <c r="F1341" s="32"/>
      <c r="G1341" s="32"/>
      <c r="H1341" s="32"/>
      <c r="I1341" s="32"/>
      <c r="J1341" s="28">
        <f t="shared" ref="J1341" si="1124">D1341*J$42</f>
        <v>0</v>
      </c>
      <c r="K1341" s="29"/>
      <c r="L1341" s="29"/>
      <c r="M1341" s="29"/>
      <c r="N1341" s="29"/>
      <c r="O1341" s="29"/>
      <c r="P1341" s="30">
        <f t="shared" ref="P1341" si="1125">SUM(J1341:O1341)</f>
        <v>0</v>
      </c>
      <c r="Q1341" s="31">
        <f t="shared" ref="Q1341" si="1126">IF(C$42&gt;0,P1341/C$42,0)</f>
        <v>0</v>
      </c>
    </row>
    <row r="1342" spans="1:17" x14ac:dyDescent="0.2">
      <c r="A1342" s="5" t="s">
        <v>15</v>
      </c>
      <c r="B1342" s="21">
        <v>5</v>
      </c>
      <c r="C1342" s="6">
        <v>1982</v>
      </c>
      <c r="D1342" s="27">
        <f>SPFI_CLB14!$D$5</f>
        <v>0.98153299999999999</v>
      </c>
      <c r="E1342" s="27"/>
      <c r="F1342" s="27"/>
      <c r="G1342" s="27"/>
      <c r="H1342" s="27"/>
      <c r="I1342" s="27"/>
      <c r="J1342" s="33">
        <f t="shared" ref="J1342:J1354" si="1127">D1342*J$43</f>
        <v>0</v>
      </c>
      <c r="K1342" s="27"/>
      <c r="L1342" s="27"/>
      <c r="M1342" s="27"/>
      <c r="N1342" s="27"/>
      <c r="O1342" s="27"/>
      <c r="P1342" s="34">
        <f t="shared" si="1116"/>
        <v>0</v>
      </c>
      <c r="Q1342" s="35">
        <f t="shared" ref="Q1342:Q1358" si="1128">IF(C$43&gt;0,P1342/C$43,0)</f>
        <v>0</v>
      </c>
    </row>
    <row r="1343" spans="1:17" x14ac:dyDescent="0.2">
      <c r="A1343" s="10"/>
      <c r="B1343" s="26"/>
      <c r="C1343" s="11">
        <v>1983</v>
      </c>
      <c r="D1343" s="32">
        <f>SPFI_CLB14!$D$6</f>
        <v>0.93659899999999996</v>
      </c>
      <c r="E1343" s="32"/>
      <c r="F1343" s="32"/>
      <c r="G1343" s="32"/>
      <c r="H1343" s="32"/>
      <c r="I1343" s="32"/>
      <c r="J1343" s="28">
        <f t="shared" si="1127"/>
        <v>0</v>
      </c>
      <c r="K1343" s="29"/>
      <c r="L1343" s="29"/>
      <c r="M1343" s="29"/>
      <c r="N1343" s="29"/>
      <c r="O1343" s="29"/>
      <c r="P1343" s="30">
        <f t="shared" ref="P1343:P1354" si="1129">SUM(J1343:O1343)</f>
        <v>0</v>
      </c>
      <c r="Q1343" s="31">
        <f t="shared" si="1128"/>
        <v>0</v>
      </c>
    </row>
    <row r="1344" spans="1:17" x14ac:dyDescent="0.2">
      <c r="A1344" s="10"/>
      <c r="B1344" s="26"/>
      <c r="C1344" s="11">
        <v>1984</v>
      </c>
      <c r="D1344" s="32">
        <f>SPFI_CLB14!$D$7</f>
        <v>0.92793599999999998</v>
      </c>
      <c r="E1344" s="32"/>
      <c r="F1344" s="32"/>
      <c r="G1344" s="32"/>
      <c r="H1344" s="32"/>
      <c r="I1344" s="32"/>
      <c r="J1344" s="28">
        <f t="shared" si="1127"/>
        <v>0</v>
      </c>
      <c r="K1344" s="29"/>
      <c r="L1344" s="29"/>
      <c r="M1344" s="29"/>
      <c r="N1344" s="29"/>
      <c r="O1344" s="29"/>
      <c r="P1344" s="30">
        <f t="shared" si="1129"/>
        <v>0</v>
      </c>
      <c r="Q1344" s="31">
        <f t="shared" si="1128"/>
        <v>0</v>
      </c>
    </row>
    <row r="1345" spans="1:17" x14ac:dyDescent="0.2">
      <c r="A1345" s="10"/>
      <c r="B1345" s="26"/>
      <c r="C1345" s="11">
        <v>1985</v>
      </c>
      <c r="D1345" s="32">
        <f>SPFI_CLB14!$D$8</f>
        <v>0.90386500000000003</v>
      </c>
      <c r="E1345" s="32"/>
      <c r="F1345" s="32"/>
      <c r="G1345" s="32"/>
      <c r="H1345" s="32"/>
      <c r="I1345" s="32"/>
      <c r="J1345" s="28">
        <f t="shared" si="1127"/>
        <v>0</v>
      </c>
      <c r="K1345" s="29"/>
      <c r="L1345" s="29"/>
      <c r="M1345" s="29"/>
      <c r="N1345" s="29"/>
      <c r="O1345" s="29"/>
      <c r="P1345" s="30">
        <f t="shared" si="1129"/>
        <v>0</v>
      </c>
      <c r="Q1345" s="31">
        <f t="shared" si="1128"/>
        <v>0</v>
      </c>
    </row>
    <row r="1346" spans="1:17" x14ac:dyDescent="0.2">
      <c r="A1346" s="10"/>
      <c r="B1346" s="26"/>
      <c r="C1346" s="11">
        <v>1986</v>
      </c>
      <c r="D1346" s="32">
        <f>SPFI_CLB14!$D$9</f>
        <v>0.73087500000000005</v>
      </c>
      <c r="E1346" s="32"/>
      <c r="F1346" s="32"/>
      <c r="G1346" s="32"/>
      <c r="H1346" s="32"/>
      <c r="I1346" s="32"/>
      <c r="J1346" s="28">
        <f t="shared" si="1127"/>
        <v>0</v>
      </c>
      <c r="K1346" s="29"/>
      <c r="L1346" s="29"/>
      <c r="M1346" s="29"/>
      <c r="N1346" s="29"/>
      <c r="O1346" s="29"/>
      <c r="P1346" s="30">
        <f t="shared" si="1129"/>
        <v>0</v>
      </c>
      <c r="Q1346" s="31">
        <f t="shared" si="1128"/>
        <v>0</v>
      </c>
    </row>
    <row r="1347" spans="1:17" x14ac:dyDescent="0.2">
      <c r="A1347" s="10"/>
      <c r="B1347" s="26"/>
      <c r="C1347" s="11">
        <v>1987</v>
      </c>
      <c r="D1347" s="32">
        <f>SPFI_CLB14!$D$10</f>
        <v>0.71733499999999994</v>
      </c>
      <c r="E1347" s="32"/>
      <c r="F1347" s="32"/>
      <c r="G1347" s="32"/>
      <c r="H1347" s="32"/>
      <c r="I1347" s="32"/>
      <c r="J1347" s="28">
        <f t="shared" si="1127"/>
        <v>0</v>
      </c>
      <c r="K1347" s="29"/>
      <c r="L1347" s="29"/>
      <c r="M1347" s="29"/>
      <c r="N1347" s="29"/>
      <c r="O1347" s="29"/>
      <c r="P1347" s="30">
        <f t="shared" si="1129"/>
        <v>0</v>
      </c>
      <c r="Q1347" s="31">
        <f t="shared" si="1128"/>
        <v>0</v>
      </c>
    </row>
    <row r="1348" spans="1:17" x14ac:dyDescent="0.2">
      <c r="A1348" s="10"/>
      <c r="B1348" s="26"/>
      <c r="C1348" s="11">
        <v>1988</v>
      </c>
      <c r="D1348" s="32">
        <f>SPFI_CLB14!$D$11</f>
        <v>0.64558800000000005</v>
      </c>
      <c r="E1348" s="32"/>
      <c r="F1348" s="32"/>
      <c r="G1348" s="32"/>
      <c r="H1348" s="32"/>
      <c r="I1348" s="32"/>
      <c r="J1348" s="28">
        <f t="shared" si="1127"/>
        <v>0</v>
      </c>
      <c r="K1348" s="29"/>
      <c r="L1348" s="29"/>
      <c r="M1348" s="29"/>
      <c r="N1348" s="29"/>
      <c r="O1348" s="29"/>
      <c r="P1348" s="30">
        <f t="shared" si="1129"/>
        <v>0</v>
      </c>
      <c r="Q1348" s="31">
        <f t="shared" si="1128"/>
        <v>0</v>
      </c>
    </row>
    <row r="1349" spans="1:17" x14ac:dyDescent="0.2">
      <c r="A1349" s="10"/>
      <c r="B1349" s="26"/>
      <c r="C1349" s="11">
        <v>1989</v>
      </c>
      <c r="D1349" s="32">
        <f>SPFI_CLB14!$D$12</f>
        <v>0.65287700000000004</v>
      </c>
      <c r="E1349" s="32"/>
      <c r="F1349" s="32"/>
      <c r="G1349" s="32"/>
      <c r="H1349" s="32"/>
      <c r="I1349" s="32"/>
      <c r="J1349" s="28">
        <f t="shared" si="1127"/>
        <v>0</v>
      </c>
      <c r="K1349" s="29"/>
      <c r="L1349" s="29"/>
      <c r="M1349" s="29"/>
      <c r="N1349" s="29"/>
      <c r="O1349" s="29"/>
      <c r="P1349" s="30">
        <f t="shared" si="1129"/>
        <v>0</v>
      </c>
      <c r="Q1349" s="31">
        <f t="shared" si="1128"/>
        <v>0</v>
      </c>
    </row>
    <row r="1350" spans="1:17" x14ac:dyDescent="0.2">
      <c r="A1350" s="10"/>
      <c r="B1350" s="26"/>
      <c r="C1350" s="11">
        <v>1990</v>
      </c>
      <c r="D1350" s="32">
        <f>SPFI_CLB14!$D$13</f>
        <v>0.56965100000000002</v>
      </c>
      <c r="E1350" s="32"/>
      <c r="F1350" s="32"/>
      <c r="G1350" s="32"/>
      <c r="H1350" s="32"/>
      <c r="I1350" s="32"/>
      <c r="J1350" s="28">
        <f t="shared" si="1127"/>
        <v>0</v>
      </c>
      <c r="K1350" s="29"/>
      <c r="L1350" s="29"/>
      <c r="M1350" s="29"/>
      <c r="N1350" s="29"/>
      <c r="O1350" s="29"/>
      <c r="P1350" s="30">
        <f t="shared" si="1129"/>
        <v>0</v>
      </c>
      <c r="Q1350" s="31">
        <f t="shared" si="1128"/>
        <v>0</v>
      </c>
    </row>
    <row r="1351" spans="1:17" x14ac:dyDescent="0.2">
      <c r="A1351" s="10"/>
      <c r="B1351" s="26"/>
      <c r="C1351" s="11">
        <v>1991</v>
      </c>
      <c r="D1351" s="32">
        <f>SPFI_CLB14!$D$14</f>
        <v>0.62776900000000002</v>
      </c>
      <c r="E1351" s="32"/>
      <c r="F1351" s="32"/>
      <c r="G1351" s="32"/>
      <c r="H1351" s="32"/>
      <c r="I1351" s="32"/>
      <c r="J1351" s="28">
        <f t="shared" si="1127"/>
        <v>0</v>
      </c>
      <c r="K1351" s="29"/>
      <c r="L1351" s="29"/>
      <c r="M1351" s="29"/>
      <c r="N1351" s="29"/>
      <c r="O1351" s="29"/>
      <c r="P1351" s="30">
        <f t="shared" si="1129"/>
        <v>0</v>
      </c>
      <c r="Q1351" s="31">
        <f t="shared" si="1128"/>
        <v>0</v>
      </c>
    </row>
    <row r="1352" spans="1:17" x14ac:dyDescent="0.2">
      <c r="A1352" s="10"/>
      <c r="B1352" s="26"/>
      <c r="C1352" s="11">
        <v>1992</v>
      </c>
      <c r="D1352" s="32">
        <f>SPFI_CLB14!$D$15</f>
        <v>0.43504100000000001</v>
      </c>
      <c r="E1352" s="32"/>
      <c r="F1352" s="32"/>
      <c r="G1352" s="32"/>
      <c r="H1352" s="32"/>
      <c r="I1352" s="32"/>
      <c r="J1352" s="28">
        <f t="shared" si="1127"/>
        <v>0</v>
      </c>
      <c r="K1352" s="29"/>
      <c r="L1352" s="29"/>
      <c r="M1352" s="29"/>
      <c r="N1352" s="29"/>
      <c r="O1352" s="29"/>
      <c r="P1352" s="30">
        <f t="shared" si="1129"/>
        <v>0</v>
      </c>
      <c r="Q1352" s="31">
        <f t="shared" si="1128"/>
        <v>0</v>
      </c>
    </row>
    <row r="1353" spans="1:17" x14ac:dyDescent="0.2">
      <c r="A1353" s="10"/>
      <c r="B1353" s="26"/>
      <c r="C1353" s="11">
        <v>1993</v>
      </c>
      <c r="D1353" s="32">
        <f>SPFI_CLB14!$D$16</f>
        <v>0.499164</v>
      </c>
      <c r="E1353" s="32"/>
      <c r="F1353" s="32"/>
      <c r="G1353" s="32"/>
      <c r="H1353" s="32"/>
      <c r="I1353" s="32"/>
      <c r="J1353" s="28">
        <f t="shared" si="1127"/>
        <v>0</v>
      </c>
      <c r="K1353" s="29"/>
      <c r="L1353" s="29"/>
      <c r="M1353" s="29"/>
      <c r="N1353" s="29"/>
      <c r="O1353" s="29"/>
      <c r="P1353" s="30">
        <f t="shared" si="1129"/>
        <v>0</v>
      </c>
      <c r="Q1353" s="31">
        <f t="shared" si="1128"/>
        <v>0</v>
      </c>
    </row>
    <row r="1354" spans="1:17" x14ac:dyDescent="0.2">
      <c r="A1354" s="10"/>
      <c r="B1354" s="26"/>
      <c r="C1354" s="11">
        <v>1994</v>
      </c>
      <c r="D1354" s="32">
        <f>SPFI_CLB14!$D$17</f>
        <v>0.59591300000000003</v>
      </c>
      <c r="E1354" s="32"/>
      <c r="F1354" s="32"/>
      <c r="G1354" s="32"/>
      <c r="H1354" s="32"/>
      <c r="I1354" s="32"/>
      <c r="J1354" s="28">
        <f t="shared" si="1127"/>
        <v>0</v>
      </c>
      <c r="K1354" s="29"/>
      <c r="L1354" s="29"/>
      <c r="M1354" s="29"/>
      <c r="N1354" s="29"/>
      <c r="O1354" s="29"/>
      <c r="P1354" s="30">
        <f t="shared" si="1129"/>
        <v>0</v>
      </c>
      <c r="Q1354" s="31">
        <f t="shared" si="1128"/>
        <v>0</v>
      </c>
    </row>
    <row r="1355" spans="1:17" x14ac:dyDescent="0.2">
      <c r="A1355" s="10"/>
      <c r="B1355" s="26"/>
      <c r="C1355" s="11">
        <v>1995</v>
      </c>
      <c r="D1355" s="32">
        <f>SPFI_CLB14!$D$18</f>
        <v>0.25400800000000001</v>
      </c>
      <c r="E1355" s="32"/>
      <c r="F1355" s="32"/>
      <c r="G1355" s="32"/>
      <c r="H1355" s="32"/>
      <c r="I1355" s="32"/>
      <c r="J1355" s="28">
        <f t="shared" ref="J1355" si="1130">D1355*J$43</f>
        <v>0</v>
      </c>
      <c r="K1355" s="29"/>
      <c r="L1355" s="29"/>
      <c r="M1355" s="29"/>
      <c r="N1355" s="29"/>
      <c r="O1355" s="29"/>
      <c r="P1355" s="30">
        <f>SUM(J1355:O1355)</f>
        <v>0</v>
      </c>
      <c r="Q1355" s="31">
        <f t="shared" si="1128"/>
        <v>0</v>
      </c>
    </row>
    <row r="1356" spans="1:17" x14ac:dyDescent="0.2">
      <c r="A1356" s="10"/>
      <c r="B1356" s="26"/>
      <c r="C1356" s="11">
        <v>1996</v>
      </c>
      <c r="D1356" s="32">
        <f>SPFI_CLB14!$D$19</f>
        <v>0</v>
      </c>
      <c r="E1356" s="32"/>
      <c r="F1356" s="32"/>
      <c r="G1356" s="32"/>
      <c r="H1356" s="32"/>
      <c r="I1356" s="32"/>
      <c r="J1356" s="28">
        <f t="shared" ref="J1356" si="1131">D1356*J$43</f>
        <v>0</v>
      </c>
      <c r="K1356" s="29"/>
      <c r="L1356" s="29"/>
      <c r="M1356" s="29"/>
      <c r="N1356" s="29"/>
      <c r="O1356" s="29"/>
      <c r="P1356" s="30">
        <f>SUM(J1356:O1356)</f>
        <v>0</v>
      </c>
      <c r="Q1356" s="31">
        <f t="shared" si="1128"/>
        <v>0</v>
      </c>
    </row>
    <row r="1357" spans="1:17" x14ac:dyDescent="0.2">
      <c r="A1357" s="10"/>
      <c r="B1357" s="26"/>
      <c r="C1357" s="11">
        <v>1997</v>
      </c>
      <c r="D1357" s="32">
        <f>SPFI_CLB14!$D$20</f>
        <v>0.201487</v>
      </c>
      <c r="E1357" s="32"/>
      <c r="F1357" s="32"/>
      <c r="G1357" s="32"/>
      <c r="H1357" s="32"/>
      <c r="I1357" s="32"/>
      <c r="J1357" s="28">
        <f t="shared" ref="J1357" si="1132">D1357*J$43</f>
        <v>0</v>
      </c>
      <c r="K1357" s="29"/>
      <c r="L1357" s="29"/>
      <c r="M1357" s="29"/>
      <c r="N1357" s="29"/>
      <c r="O1357" s="29"/>
      <c r="P1357" s="30">
        <f>SUM(J1357:O1357)</f>
        <v>0</v>
      </c>
      <c r="Q1357" s="31">
        <f t="shared" si="1128"/>
        <v>0</v>
      </c>
    </row>
    <row r="1358" spans="1:17" x14ac:dyDescent="0.2">
      <c r="A1358" s="10"/>
      <c r="B1358" s="26"/>
      <c r="C1358" s="11">
        <v>1998</v>
      </c>
      <c r="D1358" s="32">
        <f>SPFI_CLB14!$D$21</f>
        <v>0.37506400000000001</v>
      </c>
      <c r="E1358" s="32"/>
      <c r="F1358" s="32"/>
      <c r="G1358" s="32"/>
      <c r="H1358" s="32"/>
      <c r="I1358" s="32"/>
      <c r="J1358" s="28">
        <f t="shared" ref="J1358" si="1133">D1358*J$43</f>
        <v>0</v>
      </c>
      <c r="K1358" s="29"/>
      <c r="L1358" s="29"/>
      <c r="M1358" s="29"/>
      <c r="N1358" s="29"/>
      <c r="O1358" s="29"/>
      <c r="P1358" s="30">
        <f>SUM(J1358:O1358)</f>
        <v>0</v>
      </c>
      <c r="Q1358" s="31">
        <f t="shared" si="1128"/>
        <v>0</v>
      </c>
    </row>
    <row r="1359" spans="1:17" x14ac:dyDescent="0.2">
      <c r="A1359" s="10"/>
      <c r="B1359" s="26"/>
      <c r="C1359" s="11">
        <v>1999</v>
      </c>
      <c r="D1359" s="32">
        <f>SPFI_CLB14!$D$22</f>
        <v>0.29823699999999997</v>
      </c>
      <c r="E1359" s="32"/>
      <c r="F1359" s="32"/>
      <c r="G1359" s="32"/>
      <c r="H1359" s="32"/>
      <c r="I1359" s="32"/>
      <c r="J1359" s="28">
        <f t="shared" ref="J1359" si="1134">D1359*J$43</f>
        <v>0</v>
      </c>
      <c r="K1359" s="29"/>
      <c r="L1359" s="29"/>
      <c r="M1359" s="29"/>
      <c r="N1359" s="29"/>
      <c r="O1359" s="29"/>
      <c r="P1359" s="30">
        <f>SUM(J1359:O1359)</f>
        <v>0</v>
      </c>
      <c r="Q1359" s="31">
        <f t="shared" ref="Q1359:Q1364" si="1135">IF(C$43&gt;0,P1359/C$43,0)</f>
        <v>0</v>
      </c>
    </row>
    <row r="1360" spans="1:17" x14ac:dyDescent="0.2">
      <c r="A1360" s="10"/>
      <c r="B1360" s="26"/>
      <c r="C1360" s="11">
        <v>2000</v>
      </c>
      <c r="D1360" s="32">
        <f>SPFI_CLB14!$D$23</f>
        <v>8.4414000000000003E-2</v>
      </c>
      <c r="E1360" s="32"/>
      <c r="F1360" s="32"/>
      <c r="G1360" s="32"/>
      <c r="H1360" s="32"/>
      <c r="I1360" s="32"/>
      <c r="J1360" s="28">
        <f t="shared" ref="J1360" si="1136">D1360*J$43</f>
        <v>0</v>
      </c>
      <c r="K1360" s="29"/>
      <c r="L1360" s="29"/>
      <c r="M1360" s="29"/>
      <c r="N1360" s="29"/>
      <c r="O1360" s="29"/>
      <c r="P1360" s="30">
        <f t="shared" ref="P1360:P1365" si="1137">SUM(J1360:O1360)</f>
        <v>0</v>
      </c>
      <c r="Q1360" s="31">
        <f t="shared" si="1135"/>
        <v>0</v>
      </c>
    </row>
    <row r="1361" spans="1:17" x14ac:dyDescent="0.2">
      <c r="A1361" s="10"/>
      <c r="B1361" s="26"/>
      <c r="C1361" s="11">
        <v>2001</v>
      </c>
      <c r="D1361" s="32">
        <f>SPFI_CLB14!$D$24</f>
        <v>7.8909000000000007E-2</v>
      </c>
      <c r="E1361" s="32"/>
      <c r="F1361" s="32"/>
      <c r="G1361" s="32"/>
      <c r="H1361" s="32"/>
      <c r="I1361" s="32"/>
      <c r="J1361" s="28">
        <f t="shared" ref="J1361" si="1138">D1361*J$43</f>
        <v>0</v>
      </c>
      <c r="K1361" s="29"/>
      <c r="L1361" s="29"/>
      <c r="M1361" s="29"/>
      <c r="N1361" s="29"/>
      <c r="O1361" s="29"/>
      <c r="P1361" s="30">
        <f t="shared" si="1137"/>
        <v>0</v>
      </c>
      <c r="Q1361" s="31">
        <f t="shared" si="1135"/>
        <v>0</v>
      </c>
    </row>
    <row r="1362" spans="1:17" x14ac:dyDescent="0.2">
      <c r="A1362" s="10"/>
      <c r="B1362" s="26"/>
      <c r="C1362" s="11">
        <v>2002</v>
      </c>
      <c r="D1362" s="32">
        <f>SPFI_CLB14!$D$25</f>
        <v>0.29974699999999999</v>
      </c>
      <c r="E1362" s="32"/>
      <c r="F1362" s="32"/>
      <c r="G1362" s="32"/>
      <c r="H1362" s="32"/>
      <c r="I1362" s="32"/>
      <c r="J1362" s="28">
        <f t="shared" ref="J1362" si="1139">D1362*J$43</f>
        <v>0</v>
      </c>
      <c r="K1362" s="29"/>
      <c r="L1362" s="29"/>
      <c r="M1362" s="29"/>
      <c r="N1362" s="29"/>
      <c r="O1362" s="29"/>
      <c r="P1362" s="30">
        <f t="shared" si="1137"/>
        <v>0</v>
      </c>
      <c r="Q1362" s="31">
        <f t="shared" si="1135"/>
        <v>0</v>
      </c>
    </row>
    <row r="1363" spans="1:17" x14ac:dyDescent="0.2">
      <c r="A1363" s="10"/>
      <c r="B1363" s="26"/>
      <c r="C1363" s="11">
        <v>2003</v>
      </c>
      <c r="D1363" s="32">
        <f>SPFI_CLB14!$D$26</f>
        <v>0.20691100000000001</v>
      </c>
      <c r="E1363" s="32"/>
      <c r="F1363" s="32"/>
      <c r="G1363" s="32"/>
      <c r="H1363" s="32"/>
      <c r="I1363" s="32"/>
      <c r="J1363" s="28">
        <f t="shared" ref="J1363" si="1140">D1363*J$43</f>
        <v>0</v>
      </c>
      <c r="K1363" s="29"/>
      <c r="L1363" s="29"/>
      <c r="M1363" s="29"/>
      <c r="N1363" s="29"/>
      <c r="O1363" s="29"/>
      <c r="P1363" s="30">
        <f t="shared" si="1137"/>
        <v>0</v>
      </c>
      <c r="Q1363" s="31">
        <f t="shared" si="1135"/>
        <v>0</v>
      </c>
    </row>
    <row r="1364" spans="1:17" x14ac:dyDescent="0.2">
      <c r="A1364" s="10"/>
      <c r="B1364" s="26"/>
      <c r="C1364" s="11">
        <v>2004</v>
      </c>
      <c r="D1364" s="32">
        <f>SPFI_CLB14!$D$27</f>
        <v>0.269237</v>
      </c>
      <c r="E1364" s="32"/>
      <c r="F1364" s="32"/>
      <c r="G1364" s="32"/>
      <c r="H1364" s="32"/>
      <c r="I1364" s="32"/>
      <c r="J1364" s="28">
        <f t="shared" ref="J1364" si="1141">D1364*J$43</f>
        <v>0</v>
      </c>
      <c r="K1364" s="29"/>
      <c r="L1364" s="29"/>
      <c r="M1364" s="29"/>
      <c r="N1364" s="29"/>
      <c r="O1364" s="29"/>
      <c r="P1364" s="30">
        <f t="shared" si="1137"/>
        <v>0</v>
      </c>
      <c r="Q1364" s="31">
        <f t="shared" si="1135"/>
        <v>0</v>
      </c>
    </row>
    <row r="1365" spans="1:17" x14ac:dyDescent="0.2">
      <c r="A1365" s="10"/>
      <c r="B1365" s="26"/>
      <c r="C1365" s="11">
        <v>2005</v>
      </c>
      <c r="D1365" s="32">
        <f>SPFI_CLB14!$D$28</f>
        <v>0.37848700000000002</v>
      </c>
      <c r="E1365" s="32"/>
      <c r="F1365" s="32"/>
      <c r="G1365" s="32"/>
      <c r="H1365" s="32"/>
      <c r="I1365" s="32"/>
      <c r="J1365" s="28">
        <f t="shared" ref="J1365" si="1142">D1365*J$43</f>
        <v>0</v>
      </c>
      <c r="K1365" s="29"/>
      <c r="L1365" s="29"/>
      <c r="M1365" s="29"/>
      <c r="N1365" s="29"/>
      <c r="O1365" s="29"/>
      <c r="P1365" s="30">
        <f t="shared" si="1137"/>
        <v>0</v>
      </c>
      <c r="Q1365" s="31">
        <f t="shared" ref="Q1365:Q1370" si="1143">IF(C$43&gt;0,P1365/C$43,0)</f>
        <v>0</v>
      </c>
    </row>
    <row r="1366" spans="1:17" x14ac:dyDescent="0.2">
      <c r="A1366" s="10"/>
      <c r="B1366" s="26"/>
      <c r="C1366" s="11">
        <v>2006</v>
      </c>
      <c r="D1366" s="32">
        <f>SPFI_CLB14!$D$29</f>
        <v>0.381023</v>
      </c>
      <c r="E1366" s="32"/>
      <c r="F1366" s="32"/>
      <c r="G1366" s="32"/>
      <c r="H1366" s="32"/>
      <c r="I1366" s="32"/>
      <c r="J1366" s="28">
        <f t="shared" ref="J1366" si="1144">D1366*J$43</f>
        <v>0</v>
      </c>
      <c r="K1366" s="29"/>
      <c r="L1366" s="29"/>
      <c r="M1366" s="29"/>
      <c r="N1366" s="29"/>
      <c r="O1366" s="29"/>
      <c r="P1366" s="30">
        <f t="shared" ref="P1366:P1373" si="1145">SUM(J1366:O1366)</f>
        <v>0</v>
      </c>
      <c r="Q1366" s="31">
        <f t="shared" si="1143"/>
        <v>0</v>
      </c>
    </row>
    <row r="1367" spans="1:17" x14ac:dyDescent="0.2">
      <c r="A1367" s="10"/>
      <c r="B1367" s="26"/>
      <c r="C1367" s="11">
        <v>2007</v>
      </c>
      <c r="D1367" s="32">
        <f>SPFI_CLB14!$D$30</f>
        <v>0.356512</v>
      </c>
      <c r="E1367" s="32"/>
      <c r="F1367" s="32"/>
      <c r="G1367" s="32"/>
      <c r="H1367" s="32"/>
      <c r="I1367" s="32"/>
      <c r="J1367" s="28">
        <f t="shared" ref="J1367" si="1146">D1367*J$43</f>
        <v>0</v>
      </c>
      <c r="K1367" s="29"/>
      <c r="L1367" s="29"/>
      <c r="M1367" s="29"/>
      <c r="N1367" s="29"/>
      <c r="O1367" s="29"/>
      <c r="P1367" s="30">
        <f t="shared" si="1145"/>
        <v>0</v>
      </c>
      <c r="Q1367" s="31">
        <f t="shared" si="1143"/>
        <v>0</v>
      </c>
    </row>
    <row r="1368" spans="1:17" x14ac:dyDescent="0.2">
      <c r="A1368" s="10"/>
      <c r="B1368" s="26"/>
      <c r="C1368" s="11">
        <v>2008</v>
      </c>
      <c r="D1368" s="32">
        <f>SPFI_CLB14!$D$31</f>
        <v>0.25494499999999998</v>
      </c>
      <c r="E1368" s="32"/>
      <c r="F1368" s="32"/>
      <c r="G1368" s="32"/>
      <c r="H1368" s="32"/>
      <c r="I1368" s="32"/>
      <c r="J1368" s="28">
        <f t="shared" ref="J1368" si="1147">D1368*J$43</f>
        <v>0</v>
      </c>
      <c r="K1368" s="29"/>
      <c r="L1368" s="29"/>
      <c r="M1368" s="29"/>
      <c r="N1368" s="29"/>
      <c r="O1368" s="29"/>
      <c r="P1368" s="30">
        <f t="shared" si="1145"/>
        <v>0</v>
      </c>
      <c r="Q1368" s="31">
        <f t="shared" si="1143"/>
        <v>0</v>
      </c>
    </row>
    <row r="1369" spans="1:17" x14ac:dyDescent="0.2">
      <c r="A1369" s="10"/>
      <c r="B1369" s="26"/>
      <c r="C1369" s="11">
        <v>2009</v>
      </c>
      <c r="D1369" s="32">
        <f>SPFI_CLB14!$D$32</f>
        <v>0.52383000000000002</v>
      </c>
      <c r="E1369" s="32"/>
      <c r="F1369" s="32"/>
      <c r="G1369" s="32"/>
      <c r="H1369" s="32"/>
      <c r="I1369" s="32"/>
      <c r="J1369" s="28">
        <f t="shared" ref="J1369" si="1148">D1369*J$43</f>
        <v>0</v>
      </c>
      <c r="K1369" s="29"/>
      <c r="L1369" s="29"/>
      <c r="M1369" s="29"/>
      <c r="N1369" s="29"/>
      <c r="O1369" s="29"/>
      <c r="P1369" s="30">
        <f t="shared" si="1145"/>
        <v>0</v>
      </c>
      <c r="Q1369" s="31">
        <f t="shared" si="1143"/>
        <v>0</v>
      </c>
    </row>
    <row r="1370" spans="1:17" x14ac:dyDescent="0.2">
      <c r="A1370" s="10"/>
      <c r="B1370" s="26"/>
      <c r="C1370" s="11">
        <v>2010</v>
      </c>
      <c r="D1370" s="32">
        <f>SPFI_CLB14!$D$33</f>
        <v>0.31394</v>
      </c>
      <c r="E1370" s="32"/>
      <c r="F1370" s="32"/>
      <c r="G1370" s="32"/>
      <c r="H1370" s="32"/>
      <c r="I1370" s="32"/>
      <c r="J1370" s="28">
        <f t="shared" ref="J1370" si="1149">D1370*J$43</f>
        <v>0</v>
      </c>
      <c r="K1370" s="29"/>
      <c r="L1370" s="29"/>
      <c r="M1370" s="29"/>
      <c r="N1370" s="29"/>
      <c r="O1370" s="29"/>
      <c r="P1370" s="30">
        <f t="shared" si="1145"/>
        <v>0</v>
      </c>
      <c r="Q1370" s="31">
        <f t="shared" si="1143"/>
        <v>0</v>
      </c>
    </row>
    <row r="1371" spans="1:17" x14ac:dyDescent="0.2">
      <c r="A1371" s="10"/>
      <c r="B1371" s="26"/>
      <c r="C1371" s="11">
        <v>2011</v>
      </c>
      <c r="D1371" s="32">
        <f>SPFI_CLB14!$D$34</f>
        <v>0.294348</v>
      </c>
      <c r="E1371" s="32"/>
      <c r="F1371" s="32"/>
      <c r="G1371" s="32"/>
      <c r="H1371" s="32"/>
      <c r="I1371" s="32"/>
      <c r="J1371" s="28">
        <f t="shared" ref="J1371" si="1150">D1371*J$43</f>
        <v>0</v>
      </c>
      <c r="K1371" s="29"/>
      <c r="L1371" s="29"/>
      <c r="M1371" s="29"/>
      <c r="N1371" s="29"/>
      <c r="O1371" s="29"/>
      <c r="P1371" s="30">
        <f t="shared" ref="P1371" si="1151">SUM(J1371:O1371)</f>
        <v>0</v>
      </c>
      <c r="Q1371" s="31">
        <f t="shared" ref="Q1371" si="1152">IF(C$43&gt;0,P1371/C$43,0)</f>
        <v>0</v>
      </c>
    </row>
    <row r="1372" spans="1:17" x14ac:dyDescent="0.2">
      <c r="A1372" s="10"/>
      <c r="B1372" s="26"/>
      <c r="C1372" s="11">
        <v>2012</v>
      </c>
      <c r="D1372" s="32">
        <f>SPFI_CLB14!$D$35</f>
        <v>0.34784100000000001</v>
      </c>
      <c r="E1372" s="32"/>
      <c r="F1372" s="32"/>
      <c r="G1372" s="32"/>
      <c r="H1372" s="32"/>
      <c r="I1372" s="32"/>
      <c r="J1372" s="28">
        <f t="shared" ref="J1372" si="1153">D1372*J$43</f>
        <v>0</v>
      </c>
      <c r="K1372" s="29"/>
      <c r="L1372" s="29"/>
      <c r="M1372" s="29"/>
      <c r="N1372" s="29"/>
      <c r="O1372" s="29"/>
      <c r="P1372" s="30">
        <f t="shared" ref="P1372" si="1154">SUM(J1372:O1372)</f>
        <v>0</v>
      </c>
      <c r="Q1372" s="31">
        <f t="shared" ref="Q1372" si="1155">IF(C$43&gt;0,P1372/C$43,0)</f>
        <v>0</v>
      </c>
    </row>
    <row r="1373" spans="1:17" x14ac:dyDescent="0.2">
      <c r="A1373" s="5" t="s">
        <v>16</v>
      </c>
      <c r="B1373" s="21">
        <v>2</v>
      </c>
      <c r="C1373" s="6">
        <v>1982</v>
      </c>
      <c r="D1373" s="27">
        <f>SPFI_CLB14!$D$5</f>
        <v>0.98153299999999999</v>
      </c>
      <c r="E1373" s="27"/>
      <c r="F1373" s="27"/>
      <c r="G1373" s="27"/>
      <c r="H1373" s="27"/>
      <c r="I1373" s="27"/>
      <c r="J1373" s="33">
        <f t="shared" ref="J1373:J1385" si="1156">D1373*J$44</f>
        <v>0</v>
      </c>
      <c r="K1373" s="27"/>
      <c r="L1373" s="27"/>
      <c r="M1373" s="27"/>
      <c r="N1373" s="27"/>
      <c r="O1373" s="27"/>
      <c r="P1373" s="34">
        <f t="shared" si="1145"/>
        <v>0</v>
      </c>
      <c r="Q1373" s="35">
        <f t="shared" ref="Q1373:Q1389" si="1157">IF(C$44&gt;0,P1373/C$44,0)</f>
        <v>0</v>
      </c>
    </row>
    <row r="1374" spans="1:17" x14ac:dyDescent="0.2">
      <c r="A1374" s="10"/>
      <c r="B1374" s="26"/>
      <c r="C1374" s="11">
        <v>1983</v>
      </c>
      <c r="D1374" s="32">
        <f>SPFI_CLB14!$D$6</f>
        <v>0.93659899999999996</v>
      </c>
      <c r="E1374" s="32"/>
      <c r="F1374" s="32"/>
      <c r="G1374" s="32"/>
      <c r="H1374" s="32"/>
      <c r="I1374" s="32"/>
      <c r="J1374" s="28">
        <f t="shared" si="1156"/>
        <v>0</v>
      </c>
      <c r="K1374" s="29"/>
      <c r="L1374" s="29"/>
      <c r="M1374" s="29"/>
      <c r="N1374" s="29"/>
      <c r="O1374" s="29"/>
      <c r="P1374" s="30">
        <f t="shared" ref="P1374:P1385" si="1158">SUM(J1374:O1374)</f>
        <v>0</v>
      </c>
      <c r="Q1374" s="31">
        <f t="shared" si="1157"/>
        <v>0</v>
      </c>
    </row>
    <row r="1375" spans="1:17" x14ac:dyDescent="0.2">
      <c r="A1375" s="10"/>
      <c r="B1375" s="26"/>
      <c r="C1375" s="11">
        <v>1984</v>
      </c>
      <c r="D1375" s="32">
        <f>SPFI_CLB14!$D$7</f>
        <v>0.92793599999999998</v>
      </c>
      <c r="E1375" s="32"/>
      <c r="F1375" s="32"/>
      <c r="G1375" s="32"/>
      <c r="H1375" s="32"/>
      <c r="I1375" s="32"/>
      <c r="J1375" s="28">
        <f t="shared" si="1156"/>
        <v>0</v>
      </c>
      <c r="K1375" s="29"/>
      <c r="L1375" s="29"/>
      <c r="M1375" s="29"/>
      <c r="N1375" s="29"/>
      <c r="O1375" s="29"/>
      <c r="P1375" s="30">
        <f t="shared" si="1158"/>
        <v>0</v>
      </c>
      <c r="Q1375" s="31">
        <f t="shared" si="1157"/>
        <v>0</v>
      </c>
    </row>
    <row r="1376" spans="1:17" x14ac:dyDescent="0.2">
      <c r="A1376" s="10"/>
      <c r="B1376" s="26"/>
      <c r="C1376" s="11">
        <v>1985</v>
      </c>
      <c r="D1376" s="32">
        <f>SPFI_CLB14!$D$8</f>
        <v>0.90386500000000003</v>
      </c>
      <c r="E1376" s="32"/>
      <c r="F1376" s="32"/>
      <c r="G1376" s="32"/>
      <c r="H1376" s="32"/>
      <c r="I1376" s="32"/>
      <c r="J1376" s="28">
        <f t="shared" si="1156"/>
        <v>0</v>
      </c>
      <c r="K1376" s="29"/>
      <c r="L1376" s="29"/>
      <c r="M1376" s="29"/>
      <c r="N1376" s="29"/>
      <c r="O1376" s="29"/>
      <c r="P1376" s="30">
        <f t="shared" si="1158"/>
        <v>0</v>
      </c>
      <c r="Q1376" s="31">
        <f t="shared" si="1157"/>
        <v>0</v>
      </c>
    </row>
    <row r="1377" spans="1:17" x14ac:dyDescent="0.2">
      <c r="A1377" s="10"/>
      <c r="B1377" s="26"/>
      <c r="C1377" s="11">
        <v>1986</v>
      </c>
      <c r="D1377" s="32">
        <f>SPFI_CLB14!$D$9</f>
        <v>0.73087500000000005</v>
      </c>
      <c r="E1377" s="32"/>
      <c r="F1377" s="32"/>
      <c r="G1377" s="32"/>
      <c r="H1377" s="32"/>
      <c r="I1377" s="32"/>
      <c r="J1377" s="28">
        <f t="shared" si="1156"/>
        <v>0</v>
      </c>
      <c r="K1377" s="29"/>
      <c r="L1377" s="29"/>
      <c r="M1377" s="29"/>
      <c r="N1377" s="29"/>
      <c r="O1377" s="29"/>
      <c r="P1377" s="30">
        <f t="shared" si="1158"/>
        <v>0</v>
      </c>
      <c r="Q1377" s="31">
        <f t="shared" si="1157"/>
        <v>0</v>
      </c>
    </row>
    <row r="1378" spans="1:17" x14ac:dyDescent="0.2">
      <c r="A1378" s="10"/>
      <c r="B1378" s="26"/>
      <c r="C1378" s="11">
        <v>1987</v>
      </c>
      <c r="D1378" s="32">
        <f>SPFI_CLB14!$D$10</f>
        <v>0.71733499999999994</v>
      </c>
      <c r="E1378" s="32"/>
      <c r="F1378" s="32"/>
      <c r="G1378" s="32"/>
      <c r="H1378" s="32"/>
      <c r="I1378" s="32"/>
      <c r="J1378" s="28">
        <f t="shared" si="1156"/>
        <v>0</v>
      </c>
      <c r="K1378" s="29"/>
      <c r="L1378" s="29"/>
      <c r="M1378" s="29"/>
      <c r="N1378" s="29"/>
      <c r="O1378" s="29"/>
      <c r="P1378" s="30">
        <f t="shared" si="1158"/>
        <v>0</v>
      </c>
      <c r="Q1378" s="31">
        <f t="shared" si="1157"/>
        <v>0</v>
      </c>
    </row>
    <row r="1379" spans="1:17" x14ac:dyDescent="0.2">
      <c r="A1379" s="10"/>
      <c r="B1379" s="26"/>
      <c r="C1379" s="11">
        <v>1988</v>
      </c>
      <c r="D1379" s="32">
        <f>SPFI_CLB14!$D$11</f>
        <v>0.64558800000000005</v>
      </c>
      <c r="E1379" s="32"/>
      <c r="F1379" s="32"/>
      <c r="G1379" s="32"/>
      <c r="H1379" s="32"/>
      <c r="I1379" s="32"/>
      <c r="J1379" s="28">
        <f t="shared" si="1156"/>
        <v>0</v>
      </c>
      <c r="K1379" s="29"/>
      <c r="L1379" s="29"/>
      <c r="M1379" s="29"/>
      <c r="N1379" s="29"/>
      <c r="O1379" s="29"/>
      <c r="P1379" s="30">
        <f t="shared" si="1158"/>
        <v>0</v>
      </c>
      <c r="Q1379" s="31">
        <f t="shared" si="1157"/>
        <v>0</v>
      </c>
    </row>
    <row r="1380" spans="1:17" x14ac:dyDescent="0.2">
      <c r="A1380" s="10"/>
      <c r="B1380" s="26"/>
      <c r="C1380" s="11">
        <v>1989</v>
      </c>
      <c r="D1380" s="32">
        <f>SPFI_CLB14!$D$12</f>
        <v>0.65287700000000004</v>
      </c>
      <c r="E1380" s="32"/>
      <c r="F1380" s="32"/>
      <c r="G1380" s="32"/>
      <c r="H1380" s="32"/>
      <c r="I1380" s="32"/>
      <c r="J1380" s="28">
        <f t="shared" si="1156"/>
        <v>0</v>
      </c>
      <c r="K1380" s="29"/>
      <c r="L1380" s="29"/>
      <c r="M1380" s="29"/>
      <c r="N1380" s="29"/>
      <c r="O1380" s="29"/>
      <c r="P1380" s="30">
        <f t="shared" si="1158"/>
        <v>0</v>
      </c>
      <c r="Q1380" s="31">
        <f t="shared" si="1157"/>
        <v>0</v>
      </c>
    </row>
    <row r="1381" spans="1:17" x14ac:dyDescent="0.2">
      <c r="A1381" s="10"/>
      <c r="B1381" s="26"/>
      <c r="C1381" s="11">
        <v>1990</v>
      </c>
      <c r="D1381" s="32">
        <f>SPFI_CLB14!$D$13</f>
        <v>0.56965100000000002</v>
      </c>
      <c r="E1381" s="32"/>
      <c r="F1381" s="32"/>
      <c r="G1381" s="32"/>
      <c r="H1381" s="32"/>
      <c r="I1381" s="32"/>
      <c r="J1381" s="28">
        <f t="shared" si="1156"/>
        <v>0</v>
      </c>
      <c r="K1381" s="29"/>
      <c r="L1381" s="29"/>
      <c r="M1381" s="29"/>
      <c r="N1381" s="29"/>
      <c r="O1381" s="29"/>
      <c r="P1381" s="30">
        <f t="shared" si="1158"/>
        <v>0</v>
      </c>
      <c r="Q1381" s="31">
        <f t="shared" si="1157"/>
        <v>0</v>
      </c>
    </row>
    <row r="1382" spans="1:17" x14ac:dyDescent="0.2">
      <c r="A1382" s="10"/>
      <c r="B1382" s="26"/>
      <c r="C1382" s="11">
        <v>1991</v>
      </c>
      <c r="D1382" s="32">
        <f>SPFI_CLB14!$D$14</f>
        <v>0.62776900000000002</v>
      </c>
      <c r="E1382" s="32"/>
      <c r="F1382" s="32"/>
      <c r="G1382" s="32"/>
      <c r="H1382" s="32"/>
      <c r="I1382" s="32"/>
      <c r="J1382" s="28">
        <f t="shared" si="1156"/>
        <v>0</v>
      </c>
      <c r="K1382" s="29"/>
      <c r="L1382" s="29"/>
      <c r="M1382" s="29"/>
      <c r="N1382" s="29"/>
      <c r="O1382" s="29"/>
      <c r="P1382" s="30">
        <f t="shared" si="1158"/>
        <v>0</v>
      </c>
      <c r="Q1382" s="31">
        <f t="shared" si="1157"/>
        <v>0</v>
      </c>
    </row>
    <row r="1383" spans="1:17" x14ac:dyDescent="0.2">
      <c r="A1383" s="10"/>
      <c r="B1383" s="26"/>
      <c r="C1383" s="11">
        <v>1992</v>
      </c>
      <c r="D1383" s="32">
        <f>SPFI_CLB14!$D$15</f>
        <v>0.43504100000000001</v>
      </c>
      <c r="E1383" s="32"/>
      <c r="F1383" s="32"/>
      <c r="G1383" s="32"/>
      <c r="H1383" s="32"/>
      <c r="I1383" s="32"/>
      <c r="J1383" s="28">
        <f t="shared" si="1156"/>
        <v>0</v>
      </c>
      <c r="K1383" s="29"/>
      <c r="L1383" s="29"/>
      <c r="M1383" s="29"/>
      <c r="N1383" s="29"/>
      <c r="O1383" s="29"/>
      <c r="P1383" s="30">
        <f t="shared" si="1158"/>
        <v>0</v>
      </c>
      <c r="Q1383" s="31">
        <f t="shared" si="1157"/>
        <v>0</v>
      </c>
    </row>
    <row r="1384" spans="1:17" x14ac:dyDescent="0.2">
      <c r="A1384" s="10"/>
      <c r="B1384" s="26"/>
      <c r="C1384" s="11">
        <v>1993</v>
      </c>
      <c r="D1384" s="32">
        <f>SPFI_CLB14!$D$16</f>
        <v>0.499164</v>
      </c>
      <c r="E1384" s="32"/>
      <c r="F1384" s="32"/>
      <c r="G1384" s="32"/>
      <c r="H1384" s="32"/>
      <c r="I1384" s="32"/>
      <c r="J1384" s="28">
        <f t="shared" si="1156"/>
        <v>0</v>
      </c>
      <c r="K1384" s="29"/>
      <c r="L1384" s="29"/>
      <c r="M1384" s="29"/>
      <c r="N1384" s="29"/>
      <c r="O1384" s="29"/>
      <c r="P1384" s="30">
        <f t="shared" si="1158"/>
        <v>0</v>
      </c>
      <c r="Q1384" s="31">
        <f t="shared" si="1157"/>
        <v>0</v>
      </c>
    </row>
    <row r="1385" spans="1:17" x14ac:dyDescent="0.2">
      <c r="A1385" s="10"/>
      <c r="B1385" s="26"/>
      <c r="C1385" s="11">
        <v>1994</v>
      </c>
      <c r="D1385" s="32">
        <f>SPFI_CLB14!$D$17</f>
        <v>0.59591300000000003</v>
      </c>
      <c r="E1385" s="32"/>
      <c r="F1385" s="32"/>
      <c r="G1385" s="32"/>
      <c r="H1385" s="32"/>
      <c r="I1385" s="32"/>
      <c r="J1385" s="28">
        <f t="shared" si="1156"/>
        <v>0</v>
      </c>
      <c r="K1385" s="29"/>
      <c r="L1385" s="29"/>
      <c r="M1385" s="29"/>
      <c r="N1385" s="29"/>
      <c r="O1385" s="29"/>
      <c r="P1385" s="30">
        <f t="shared" si="1158"/>
        <v>0</v>
      </c>
      <c r="Q1385" s="31">
        <f t="shared" si="1157"/>
        <v>0</v>
      </c>
    </row>
    <row r="1386" spans="1:17" x14ac:dyDescent="0.2">
      <c r="A1386" s="10"/>
      <c r="B1386" s="26"/>
      <c r="C1386" s="11">
        <v>1995</v>
      </c>
      <c r="D1386" s="32">
        <f>SPFI_CLB14!$D$18</f>
        <v>0.25400800000000001</v>
      </c>
      <c r="E1386" s="32"/>
      <c r="F1386" s="32"/>
      <c r="G1386" s="32"/>
      <c r="H1386" s="32"/>
      <c r="I1386" s="32"/>
      <c r="J1386" s="28">
        <f t="shared" ref="J1386" si="1159">D1386*J$44</f>
        <v>0</v>
      </c>
      <c r="K1386" s="29"/>
      <c r="L1386" s="29"/>
      <c r="M1386" s="29"/>
      <c r="N1386" s="29"/>
      <c r="O1386" s="29"/>
      <c r="P1386" s="30">
        <f>SUM(J1386:O1386)</f>
        <v>0</v>
      </c>
      <c r="Q1386" s="31">
        <f t="shared" si="1157"/>
        <v>0</v>
      </c>
    </row>
    <row r="1387" spans="1:17" x14ac:dyDescent="0.2">
      <c r="A1387" s="10"/>
      <c r="B1387" s="26"/>
      <c r="C1387" s="11">
        <v>1996</v>
      </c>
      <c r="D1387" s="32">
        <f>SPFI_CLB14!$D$19</f>
        <v>0</v>
      </c>
      <c r="E1387" s="32"/>
      <c r="F1387" s="32"/>
      <c r="G1387" s="32"/>
      <c r="H1387" s="32"/>
      <c r="I1387" s="32"/>
      <c r="J1387" s="28">
        <f t="shared" ref="J1387" si="1160">D1387*J$44</f>
        <v>0</v>
      </c>
      <c r="K1387" s="29"/>
      <c r="L1387" s="29"/>
      <c r="M1387" s="29"/>
      <c r="N1387" s="29"/>
      <c r="O1387" s="29"/>
      <c r="P1387" s="30">
        <f>SUM(J1387:O1387)</f>
        <v>0</v>
      </c>
      <c r="Q1387" s="31">
        <f t="shared" si="1157"/>
        <v>0</v>
      </c>
    </row>
    <row r="1388" spans="1:17" x14ac:dyDescent="0.2">
      <c r="A1388" s="10"/>
      <c r="B1388" s="26"/>
      <c r="C1388" s="11">
        <v>1997</v>
      </c>
      <c r="D1388" s="32">
        <f>SPFI_CLB14!$D$20</f>
        <v>0.201487</v>
      </c>
      <c r="E1388" s="32"/>
      <c r="F1388" s="32"/>
      <c r="G1388" s="32"/>
      <c r="H1388" s="32"/>
      <c r="I1388" s="32"/>
      <c r="J1388" s="28">
        <f t="shared" ref="J1388" si="1161">D1388*J$44</f>
        <v>0</v>
      </c>
      <c r="K1388" s="29"/>
      <c r="L1388" s="29"/>
      <c r="M1388" s="29"/>
      <c r="N1388" s="29"/>
      <c r="O1388" s="29"/>
      <c r="P1388" s="30">
        <f>SUM(J1388:O1388)</f>
        <v>0</v>
      </c>
      <c r="Q1388" s="31">
        <f t="shared" si="1157"/>
        <v>0</v>
      </c>
    </row>
    <row r="1389" spans="1:17" x14ac:dyDescent="0.2">
      <c r="A1389" s="10"/>
      <c r="B1389" s="26"/>
      <c r="C1389" s="11">
        <v>1998</v>
      </c>
      <c r="D1389" s="32">
        <f>SPFI_CLB14!$D$21</f>
        <v>0.37506400000000001</v>
      </c>
      <c r="E1389" s="32"/>
      <c r="F1389" s="32"/>
      <c r="G1389" s="32"/>
      <c r="H1389" s="32"/>
      <c r="I1389" s="32"/>
      <c r="J1389" s="28">
        <f t="shared" ref="J1389" si="1162">D1389*J$44</f>
        <v>0</v>
      </c>
      <c r="K1389" s="29"/>
      <c r="L1389" s="29"/>
      <c r="M1389" s="29"/>
      <c r="N1389" s="29"/>
      <c r="O1389" s="29"/>
      <c r="P1389" s="30">
        <f>SUM(J1389:O1389)</f>
        <v>0</v>
      </c>
      <c r="Q1389" s="31">
        <f t="shared" si="1157"/>
        <v>0</v>
      </c>
    </row>
    <row r="1390" spans="1:17" x14ac:dyDescent="0.2">
      <c r="A1390" s="10"/>
      <c r="B1390" s="26"/>
      <c r="C1390" s="11">
        <v>1999</v>
      </c>
      <c r="D1390" s="32">
        <f>SPFI_CLB14!$D$22</f>
        <v>0.29823699999999997</v>
      </c>
      <c r="E1390" s="32"/>
      <c r="F1390" s="32"/>
      <c r="G1390" s="32"/>
      <c r="H1390" s="32"/>
      <c r="I1390" s="32"/>
      <c r="J1390" s="28">
        <f t="shared" ref="J1390" si="1163">D1390*J$44</f>
        <v>0</v>
      </c>
      <c r="K1390" s="29"/>
      <c r="L1390" s="29"/>
      <c r="M1390" s="29"/>
      <c r="N1390" s="29"/>
      <c r="O1390" s="29"/>
      <c r="P1390" s="30">
        <f>SUM(J1390:O1390)</f>
        <v>0</v>
      </c>
      <c r="Q1390" s="31">
        <f t="shared" ref="Q1390:Q1395" si="1164">IF(C$44&gt;0,P1390/C$44,0)</f>
        <v>0</v>
      </c>
    </row>
    <row r="1391" spans="1:17" x14ac:dyDescent="0.2">
      <c r="A1391" s="10"/>
      <c r="B1391" s="26"/>
      <c r="C1391" s="11">
        <v>2000</v>
      </c>
      <c r="D1391" s="32">
        <f>SPFI_CLB14!$D$23</f>
        <v>8.4414000000000003E-2</v>
      </c>
      <c r="E1391" s="32"/>
      <c r="F1391" s="32"/>
      <c r="G1391" s="32"/>
      <c r="H1391" s="32"/>
      <c r="I1391" s="32"/>
      <c r="J1391" s="28">
        <f t="shared" ref="J1391" si="1165">D1391*J$44</f>
        <v>0</v>
      </c>
      <c r="K1391" s="29"/>
      <c r="L1391" s="29"/>
      <c r="M1391" s="29"/>
      <c r="N1391" s="29"/>
      <c r="O1391" s="29"/>
      <c r="P1391" s="30">
        <f t="shared" ref="P1391:P1396" si="1166">SUM(J1391:O1391)</f>
        <v>0</v>
      </c>
      <c r="Q1391" s="31">
        <f t="shared" si="1164"/>
        <v>0</v>
      </c>
    </row>
    <row r="1392" spans="1:17" x14ac:dyDescent="0.2">
      <c r="A1392" s="10"/>
      <c r="B1392" s="26"/>
      <c r="C1392" s="11">
        <v>2001</v>
      </c>
      <c r="D1392" s="32">
        <f>SPFI_CLB14!$D$24</f>
        <v>7.8909000000000007E-2</v>
      </c>
      <c r="E1392" s="32"/>
      <c r="F1392" s="32"/>
      <c r="G1392" s="32"/>
      <c r="H1392" s="32"/>
      <c r="I1392" s="32"/>
      <c r="J1392" s="28">
        <f t="shared" ref="J1392" si="1167">D1392*J$44</f>
        <v>0</v>
      </c>
      <c r="K1392" s="29"/>
      <c r="L1392" s="29"/>
      <c r="M1392" s="29"/>
      <c r="N1392" s="29"/>
      <c r="O1392" s="29"/>
      <c r="P1392" s="30">
        <f t="shared" si="1166"/>
        <v>0</v>
      </c>
      <c r="Q1392" s="31">
        <f t="shared" si="1164"/>
        <v>0</v>
      </c>
    </row>
    <row r="1393" spans="1:17" x14ac:dyDescent="0.2">
      <c r="A1393" s="10"/>
      <c r="B1393" s="26"/>
      <c r="C1393" s="11">
        <v>2002</v>
      </c>
      <c r="D1393" s="32">
        <f>SPFI_CLB14!$D$25</f>
        <v>0.29974699999999999</v>
      </c>
      <c r="E1393" s="32"/>
      <c r="F1393" s="32"/>
      <c r="G1393" s="32"/>
      <c r="H1393" s="32"/>
      <c r="I1393" s="32"/>
      <c r="J1393" s="28">
        <f t="shared" ref="J1393" si="1168">D1393*J$44</f>
        <v>0</v>
      </c>
      <c r="K1393" s="29"/>
      <c r="L1393" s="29"/>
      <c r="M1393" s="29"/>
      <c r="N1393" s="29"/>
      <c r="O1393" s="29"/>
      <c r="P1393" s="30">
        <f t="shared" si="1166"/>
        <v>0</v>
      </c>
      <c r="Q1393" s="31">
        <f t="shared" si="1164"/>
        <v>0</v>
      </c>
    </row>
    <row r="1394" spans="1:17" x14ac:dyDescent="0.2">
      <c r="A1394" s="10"/>
      <c r="B1394" s="26"/>
      <c r="C1394" s="11">
        <v>2003</v>
      </c>
      <c r="D1394" s="32">
        <f>SPFI_CLB14!$D$26</f>
        <v>0.20691100000000001</v>
      </c>
      <c r="E1394" s="32"/>
      <c r="F1394" s="32"/>
      <c r="G1394" s="32"/>
      <c r="H1394" s="32"/>
      <c r="I1394" s="32"/>
      <c r="J1394" s="28">
        <f t="shared" ref="J1394" si="1169">D1394*J$44</f>
        <v>0</v>
      </c>
      <c r="K1394" s="29"/>
      <c r="L1394" s="29"/>
      <c r="M1394" s="29"/>
      <c r="N1394" s="29"/>
      <c r="O1394" s="29"/>
      <c r="P1394" s="30">
        <f t="shared" si="1166"/>
        <v>0</v>
      </c>
      <c r="Q1394" s="31">
        <f t="shared" si="1164"/>
        <v>0</v>
      </c>
    </row>
    <row r="1395" spans="1:17" x14ac:dyDescent="0.2">
      <c r="A1395" s="10"/>
      <c r="B1395" s="26"/>
      <c r="C1395" s="11">
        <v>2004</v>
      </c>
      <c r="D1395" s="32">
        <f>SPFI_CLB14!$D$27</f>
        <v>0.269237</v>
      </c>
      <c r="E1395" s="32"/>
      <c r="F1395" s="32"/>
      <c r="G1395" s="32"/>
      <c r="H1395" s="32"/>
      <c r="I1395" s="32"/>
      <c r="J1395" s="28">
        <f t="shared" ref="J1395" si="1170">D1395*J$44</f>
        <v>0</v>
      </c>
      <c r="K1395" s="29"/>
      <c r="L1395" s="29"/>
      <c r="M1395" s="29"/>
      <c r="N1395" s="29"/>
      <c r="O1395" s="29"/>
      <c r="P1395" s="30">
        <f t="shared" si="1166"/>
        <v>0</v>
      </c>
      <c r="Q1395" s="31">
        <f t="shared" si="1164"/>
        <v>0</v>
      </c>
    </row>
    <row r="1396" spans="1:17" x14ac:dyDescent="0.2">
      <c r="A1396" s="10"/>
      <c r="B1396" s="26"/>
      <c r="C1396" s="11">
        <v>2005</v>
      </c>
      <c r="D1396" s="32">
        <f>SPFI_CLB14!$D$28</f>
        <v>0.37848700000000002</v>
      </c>
      <c r="E1396" s="32"/>
      <c r="F1396" s="32"/>
      <c r="G1396" s="32"/>
      <c r="H1396" s="32"/>
      <c r="I1396" s="32"/>
      <c r="J1396" s="28">
        <f t="shared" ref="J1396" si="1171">D1396*J$44</f>
        <v>0</v>
      </c>
      <c r="K1396" s="29"/>
      <c r="L1396" s="29"/>
      <c r="M1396" s="29"/>
      <c r="N1396" s="29"/>
      <c r="O1396" s="29"/>
      <c r="P1396" s="30">
        <f t="shared" si="1166"/>
        <v>0</v>
      </c>
      <c r="Q1396" s="31">
        <f t="shared" ref="Q1396:Q1401" si="1172">IF(C$44&gt;0,P1396/C$44,0)</f>
        <v>0</v>
      </c>
    </row>
    <row r="1397" spans="1:17" x14ac:dyDescent="0.2">
      <c r="A1397" s="10"/>
      <c r="B1397" s="26"/>
      <c r="C1397" s="11">
        <v>2006</v>
      </c>
      <c r="D1397" s="32">
        <f>SPFI_CLB14!$D$29</f>
        <v>0.381023</v>
      </c>
      <c r="E1397" s="32"/>
      <c r="F1397" s="32"/>
      <c r="G1397" s="32"/>
      <c r="H1397" s="32"/>
      <c r="I1397" s="32"/>
      <c r="J1397" s="28">
        <f t="shared" ref="J1397" si="1173">D1397*J$44</f>
        <v>0</v>
      </c>
      <c r="K1397" s="29"/>
      <c r="L1397" s="29"/>
      <c r="M1397" s="29"/>
      <c r="N1397" s="29"/>
      <c r="O1397" s="29"/>
      <c r="P1397" s="30">
        <f t="shared" ref="P1397:P1404" si="1174">SUM(J1397:O1397)</f>
        <v>0</v>
      </c>
      <c r="Q1397" s="31">
        <f t="shared" si="1172"/>
        <v>0</v>
      </c>
    </row>
    <row r="1398" spans="1:17" x14ac:dyDescent="0.2">
      <c r="A1398" s="10"/>
      <c r="B1398" s="26"/>
      <c r="C1398" s="11">
        <v>2007</v>
      </c>
      <c r="D1398" s="32">
        <f>SPFI_CLB14!$D$30</f>
        <v>0.356512</v>
      </c>
      <c r="E1398" s="32"/>
      <c r="F1398" s="32"/>
      <c r="G1398" s="32"/>
      <c r="H1398" s="32"/>
      <c r="I1398" s="32"/>
      <c r="J1398" s="28">
        <f t="shared" ref="J1398" si="1175">D1398*J$44</f>
        <v>0</v>
      </c>
      <c r="K1398" s="29"/>
      <c r="L1398" s="29"/>
      <c r="M1398" s="29"/>
      <c r="N1398" s="29"/>
      <c r="O1398" s="29"/>
      <c r="P1398" s="30">
        <f t="shared" si="1174"/>
        <v>0</v>
      </c>
      <c r="Q1398" s="31">
        <f t="shared" si="1172"/>
        <v>0</v>
      </c>
    </row>
    <row r="1399" spans="1:17" x14ac:dyDescent="0.2">
      <c r="A1399" s="10"/>
      <c r="B1399" s="26"/>
      <c r="C1399" s="11">
        <v>2008</v>
      </c>
      <c r="D1399" s="32">
        <f>SPFI_CLB14!$D$31</f>
        <v>0.25494499999999998</v>
      </c>
      <c r="E1399" s="32"/>
      <c r="F1399" s="32"/>
      <c r="G1399" s="32"/>
      <c r="H1399" s="32"/>
      <c r="I1399" s="32"/>
      <c r="J1399" s="28">
        <f t="shared" ref="J1399" si="1176">D1399*J$44</f>
        <v>0</v>
      </c>
      <c r="K1399" s="29"/>
      <c r="L1399" s="29"/>
      <c r="M1399" s="29"/>
      <c r="N1399" s="29"/>
      <c r="O1399" s="29"/>
      <c r="P1399" s="30">
        <f t="shared" si="1174"/>
        <v>0</v>
      </c>
      <c r="Q1399" s="31">
        <f t="shared" si="1172"/>
        <v>0</v>
      </c>
    </row>
    <row r="1400" spans="1:17" x14ac:dyDescent="0.2">
      <c r="A1400" s="10"/>
      <c r="B1400" s="26"/>
      <c r="C1400" s="11">
        <v>2009</v>
      </c>
      <c r="D1400" s="32">
        <f>SPFI_CLB14!$D$32</f>
        <v>0.52383000000000002</v>
      </c>
      <c r="E1400" s="32"/>
      <c r="F1400" s="32"/>
      <c r="G1400" s="32"/>
      <c r="H1400" s="32"/>
      <c r="I1400" s="32"/>
      <c r="J1400" s="28">
        <f t="shared" ref="J1400" si="1177">D1400*J$44</f>
        <v>0</v>
      </c>
      <c r="K1400" s="29"/>
      <c r="L1400" s="29"/>
      <c r="M1400" s="29"/>
      <c r="N1400" s="29"/>
      <c r="O1400" s="29"/>
      <c r="P1400" s="30">
        <f t="shared" si="1174"/>
        <v>0</v>
      </c>
      <c r="Q1400" s="31">
        <f t="shared" si="1172"/>
        <v>0</v>
      </c>
    </row>
    <row r="1401" spans="1:17" x14ac:dyDescent="0.2">
      <c r="A1401" s="10"/>
      <c r="B1401" s="26"/>
      <c r="C1401" s="11">
        <v>2010</v>
      </c>
      <c r="D1401" s="32">
        <f>SPFI_CLB14!$D$33</f>
        <v>0.31394</v>
      </c>
      <c r="E1401" s="32"/>
      <c r="F1401" s="32"/>
      <c r="G1401" s="32"/>
      <c r="H1401" s="32"/>
      <c r="I1401" s="32"/>
      <c r="J1401" s="28">
        <f t="shared" ref="J1401" si="1178">D1401*J$44</f>
        <v>0</v>
      </c>
      <c r="K1401" s="29"/>
      <c r="L1401" s="29"/>
      <c r="M1401" s="29"/>
      <c r="N1401" s="29"/>
      <c r="O1401" s="29"/>
      <c r="P1401" s="30">
        <f t="shared" si="1174"/>
        <v>0</v>
      </c>
      <c r="Q1401" s="31">
        <f t="shared" si="1172"/>
        <v>0</v>
      </c>
    </row>
    <row r="1402" spans="1:17" x14ac:dyDescent="0.2">
      <c r="A1402" s="10"/>
      <c r="B1402" s="26"/>
      <c r="C1402" s="11">
        <v>2011</v>
      </c>
      <c r="D1402" s="32">
        <f>SPFI_CLB14!$D$34</f>
        <v>0.294348</v>
      </c>
      <c r="E1402" s="32"/>
      <c r="F1402" s="32"/>
      <c r="G1402" s="32"/>
      <c r="H1402" s="32"/>
      <c r="I1402" s="32"/>
      <c r="J1402" s="28">
        <f t="shared" ref="J1402" si="1179">D1402*J$44</f>
        <v>0</v>
      </c>
      <c r="K1402" s="29"/>
      <c r="L1402" s="29"/>
      <c r="M1402" s="29"/>
      <c r="N1402" s="29"/>
      <c r="O1402" s="29"/>
      <c r="P1402" s="30">
        <f t="shared" ref="P1402" si="1180">SUM(J1402:O1402)</f>
        <v>0</v>
      </c>
      <c r="Q1402" s="31">
        <f t="shared" ref="Q1402" si="1181">IF(C$44&gt;0,P1402/C$44,0)</f>
        <v>0</v>
      </c>
    </row>
    <row r="1403" spans="1:17" x14ac:dyDescent="0.2">
      <c r="A1403" s="10"/>
      <c r="B1403" s="26"/>
      <c r="C1403" s="11">
        <v>2012</v>
      </c>
      <c r="D1403" s="32">
        <f>SPFI_CLB14!$D$35</f>
        <v>0.34784100000000001</v>
      </c>
      <c r="E1403" s="32"/>
      <c r="F1403" s="32"/>
      <c r="G1403" s="32"/>
      <c r="H1403" s="32"/>
      <c r="I1403" s="32"/>
      <c r="J1403" s="28">
        <f t="shared" ref="J1403" si="1182">D1403*J$44</f>
        <v>0</v>
      </c>
      <c r="K1403" s="29"/>
      <c r="L1403" s="29"/>
      <c r="M1403" s="29"/>
      <c r="N1403" s="29"/>
      <c r="O1403" s="29"/>
      <c r="P1403" s="30">
        <f t="shared" ref="P1403" si="1183">SUM(J1403:O1403)</f>
        <v>0</v>
      </c>
      <c r="Q1403" s="31">
        <f t="shared" ref="Q1403" si="1184">IF(C$44&gt;0,P1403/C$44,0)</f>
        <v>0</v>
      </c>
    </row>
    <row r="1404" spans="1:17" x14ac:dyDescent="0.2">
      <c r="A1404" s="5" t="s">
        <v>16</v>
      </c>
      <c r="B1404" s="21">
        <v>3</v>
      </c>
      <c r="C1404" s="6">
        <v>1982</v>
      </c>
      <c r="D1404" s="27">
        <f>SPFI_CLB14!$D$5</f>
        <v>0.98153299999999999</v>
      </c>
      <c r="E1404" s="27"/>
      <c r="F1404" s="27"/>
      <c r="G1404" s="27"/>
      <c r="H1404" s="27"/>
      <c r="I1404" s="27"/>
      <c r="J1404" s="33">
        <f t="shared" ref="J1404:J1416" si="1185">D1404*J$45</f>
        <v>0</v>
      </c>
      <c r="K1404" s="27"/>
      <c r="L1404" s="27"/>
      <c r="M1404" s="27"/>
      <c r="N1404" s="27"/>
      <c r="O1404" s="27"/>
      <c r="P1404" s="34">
        <f t="shared" si="1174"/>
        <v>0</v>
      </c>
      <c r="Q1404" s="35">
        <f t="shared" ref="Q1404:Q1420" si="1186">IF(C$45&gt;0,P1404/C$45,0)</f>
        <v>0</v>
      </c>
    </row>
    <row r="1405" spans="1:17" x14ac:dyDescent="0.2">
      <c r="A1405" s="10"/>
      <c r="B1405" s="26"/>
      <c r="C1405" s="11">
        <v>1983</v>
      </c>
      <c r="D1405" s="32">
        <f>SPFI_CLB14!$D$6</f>
        <v>0.93659899999999996</v>
      </c>
      <c r="E1405" s="32"/>
      <c r="F1405" s="32"/>
      <c r="G1405" s="32"/>
      <c r="H1405" s="32"/>
      <c r="I1405" s="32"/>
      <c r="J1405" s="28">
        <f t="shared" si="1185"/>
        <v>0</v>
      </c>
      <c r="K1405" s="29"/>
      <c r="L1405" s="29"/>
      <c r="M1405" s="29"/>
      <c r="N1405" s="29"/>
      <c r="O1405" s="29"/>
      <c r="P1405" s="30">
        <f t="shared" ref="P1405:P1416" si="1187">SUM(J1405:O1405)</f>
        <v>0</v>
      </c>
      <c r="Q1405" s="31">
        <f t="shared" si="1186"/>
        <v>0</v>
      </c>
    </row>
    <row r="1406" spans="1:17" x14ac:dyDescent="0.2">
      <c r="A1406" s="10"/>
      <c r="B1406" s="26"/>
      <c r="C1406" s="11">
        <v>1984</v>
      </c>
      <c r="D1406" s="32">
        <f>SPFI_CLB14!$D$7</f>
        <v>0.92793599999999998</v>
      </c>
      <c r="E1406" s="32"/>
      <c r="F1406" s="32"/>
      <c r="G1406" s="32"/>
      <c r="H1406" s="32"/>
      <c r="I1406" s="32"/>
      <c r="J1406" s="28">
        <f t="shared" si="1185"/>
        <v>0</v>
      </c>
      <c r="K1406" s="29"/>
      <c r="L1406" s="29"/>
      <c r="M1406" s="29"/>
      <c r="N1406" s="29"/>
      <c r="O1406" s="29"/>
      <c r="P1406" s="30">
        <f t="shared" si="1187"/>
        <v>0</v>
      </c>
      <c r="Q1406" s="31">
        <f t="shared" si="1186"/>
        <v>0</v>
      </c>
    </row>
    <row r="1407" spans="1:17" x14ac:dyDescent="0.2">
      <c r="A1407" s="10"/>
      <c r="B1407" s="26"/>
      <c r="C1407" s="11">
        <v>1985</v>
      </c>
      <c r="D1407" s="32">
        <f>SPFI_CLB14!$D$8</f>
        <v>0.90386500000000003</v>
      </c>
      <c r="E1407" s="32"/>
      <c r="F1407" s="32"/>
      <c r="G1407" s="32"/>
      <c r="H1407" s="32"/>
      <c r="I1407" s="32"/>
      <c r="J1407" s="28">
        <f t="shared" si="1185"/>
        <v>0</v>
      </c>
      <c r="K1407" s="29"/>
      <c r="L1407" s="29"/>
      <c r="M1407" s="29"/>
      <c r="N1407" s="29"/>
      <c r="O1407" s="29"/>
      <c r="P1407" s="30">
        <f t="shared" si="1187"/>
        <v>0</v>
      </c>
      <c r="Q1407" s="31">
        <f t="shared" si="1186"/>
        <v>0</v>
      </c>
    </row>
    <row r="1408" spans="1:17" x14ac:dyDescent="0.2">
      <c r="A1408" s="10"/>
      <c r="B1408" s="26"/>
      <c r="C1408" s="11">
        <v>1986</v>
      </c>
      <c r="D1408" s="32">
        <f>SPFI_CLB14!$D$9</f>
        <v>0.73087500000000005</v>
      </c>
      <c r="E1408" s="32"/>
      <c r="F1408" s="32"/>
      <c r="G1408" s="32"/>
      <c r="H1408" s="32"/>
      <c r="I1408" s="32"/>
      <c r="J1408" s="28">
        <f t="shared" si="1185"/>
        <v>0</v>
      </c>
      <c r="K1408" s="29"/>
      <c r="L1408" s="29"/>
      <c r="M1408" s="29"/>
      <c r="N1408" s="29"/>
      <c r="O1408" s="29"/>
      <c r="P1408" s="30">
        <f t="shared" si="1187"/>
        <v>0</v>
      </c>
      <c r="Q1408" s="31">
        <f t="shared" si="1186"/>
        <v>0</v>
      </c>
    </row>
    <row r="1409" spans="1:17" x14ac:dyDescent="0.2">
      <c r="A1409" s="10"/>
      <c r="B1409" s="26"/>
      <c r="C1409" s="11">
        <v>1987</v>
      </c>
      <c r="D1409" s="32">
        <f>SPFI_CLB14!$D$10</f>
        <v>0.71733499999999994</v>
      </c>
      <c r="E1409" s="32"/>
      <c r="F1409" s="32"/>
      <c r="G1409" s="32"/>
      <c r="H1409" s="32"/>
      <c r="I1409" s="32"/>
      <c r="J1409" s="28">
        <f t="shared" si="1185"/>
        <v>0</v>
      </c>
      <c r="K1409" s="29"/>
      <c r="L1409" s="29"/>
      <c r="M1409" s="29"/>
      <c r="N1409" s="29"/>
      <c r="O1409" s="29"/>
      <c r="P1409" s="30">
        <f t="shared" si="1187"/>
        <v>0</v>
      </c>
      <c r="Q1409" s="31">
        <f t="shared" si="1186"/>
        <v>0</v>
      </c>
    </row>
    <row r="1410" spans="1:17" x14ac:dyDescent="0.2">
      <c r="A1410" s="10"/>
      <c r="B1410" s="26"/>
      <c r="C1410" s="11">
        <v>1988</v>
      </c>
      <c r="D1410" s="32">
        <f>SPFI_CLB14!$D$11</f>
        <v>0.64558800000000005</v>
      </c>
      <c r="E1410" s="32"/>
      <c r="F1410" s="32"/>
      <c r="G1410" s="32"/>
      <c r="H1410" s="32"/>
      <c r="I1410" s="32"/>
      <c r="J1410" s="28">
        <f t="shared" si="1185"/>
        <v>0</v>
      </c>
      <c r="K1410" s="29"/>
      <c r="L1410" s="29"/>
      <c r="M1410" s="29"/>
      <c r="N1410" s="29"/>
      <c r="O1410" s="29"/>
      <c r="P1410" s="30">
        <f t="shared" si="1187"/>
        <v>0</v>
      </c>
      <c r="Q1410" s="31">
        <f t="shared" si="1186"/>
        <v>0</v>
      </c>
    </row>
    <row r="1411" spans="1:17" x14ac:dyDescent="0.2">
      <c r="A1411" s="10"/>
      <c r="B1411" s="26"/>
      <c r="C1411" s="11">
        <v>1989</v>
      </c>
      <c r="D1411" s="32">
        <f>SPFI_CLB14!$D$12</f>
        <v>0.65287700000000004</v>
      </c>
      <c r="E1411" s="32"/>
      <c r="F1411" s="32"/>
      <c r="G1411" s="32"/>
      <c r="H1411" s="32"/>
      <c r="I1411" s="32"/>
      <c r="J1411" s="28">
        <f t="shared" si="1185"/>
        <v>0</v>
      </c>
      <c r="K1411" s="29"/>
      <c r="L1411" s="29"/>
      <c r="M1411" s="29"/>
      <c r="N1411" s="29"/>
      <c r="O1411" s="29"/>
      <c r="P1411" s="30">
        <f t="shared" si="1187"/>
        <v>0</v>
      </c>
      <c r="Q1411" s="31">
        <f t="shared" si="1186"/>
        <v>0</v>
      </c>
    </row>
    <row r="1412" spans="1:17" x14ac:dyDescent="0.2">
      <c r="A1412" s="10"/>
      <c r="B1412" s="26"/>
      <c r="C1412" s="11">
        <v>1990</v>
      </c>
      <c r="D1412" s="32">
        <f>SPFI_CLB14!$D$13</f>
        <v>0.56965100000000002</v>
      </c>
      <c r="E1412" s="32"/>
      <c r="F1412" s="32"/>
      <c r="G1412" s="32"/>
      <c r="H1412" s="32"/>
      <c r="I1412" s="32"/>
      <c r="J1412" s="28">
        <f t="shared" si="1185"/>
        <v>0</v>
      </c>
      <c r="K1412" s="29"/>
      <c r="L1412" s="29"/>
      <c r="M1412" s="29"/>
      <c r="N1412" s="29"/>
      <c r="O1412" s="29"/>
      <c r="P1412" s="30">
        <f t="shared" si="1187"/>
        <v>0</v>
      </c>
      <c r="Q1412" s="31">
        <f t="shared" si="1186"/>
        <v>0</v>
      </c>
    </row>
    <row r="1413" spans="1:17" x14ac:dyDescent="0.2">
      <c r="A1413" s="10"/>
      <c r="B1413" s="26"/>
      <c r="C1413" s="11">
        <v>1991</v>
      </c>
      <c r="D1413" s="32">
        <f>SPFI_CLB14!$D$14</f>
        <v>0.62776900000000002</v>
      </c>
      <c r="E1413" s="32"/>
      <c r="F1413" s="32"/>
      <c r="G1413" s="32"/>
      <c r="H1413" s="32"/>
      <c r="I1413" s="32"/>
      <c r="J1413" s="28">
        <f t="shared" si="1185"/>
        <v>0</v>
      </c>
      <c r="K1413" s="29"/>
      <c r="L1413" s="29"/>
      <c r="M1413" s="29"/>
      <c r="N1413" s="29"/>
      <c r="O1413" s="29"/>
      <c r="P1413" s="30">
        <f t="shared" si="1187"/>
        <v>0</v>
      </c>
      <c r="Q1413" s="31">
        <f t="shared" si="1186"/>
        <v>0</v>
      </c>
    </row>
    <row r="1414" spans="1:17" x14ac:dyDescent="0.2">
      <c r="A1414" s="10"/>
      <c r="B1414" s="26"/>
      <c r="C1414" s="11">
        <v>1992</v>
      </c>
      <c r="D1414" s="32">
        <f>SPFI_CLB14!$D$15</f>
        <v>0.43504100000000001</v>
      </c>
      <c r="E1414" s="32"/>
      <c r="F1414" s="32"/>
      <c r="G1414" s="32"/>
      <c r="H1414" s="32"/>
      <c r="I1414" s="32"/>
      <c r="J1414" s="28">
        <f t="shared" si="1185"/>
        <v>0</v>
      </c>
      <c r="K1414" s="29"/>
      <c r="L1414" s="29"/>
      <c r="M1414" s="29"/>
      <c r="N1414" s="29"/>
      <c r="O1414" s="29"/>
      <c r="P1414" s="30">
        <f t="shared" si="1187"/>
        <v>0</v>
      </c>
      <c r="Q1414" s="31">
        <f t="shared" si="1186"/>
        <v>0</v>
      </c>
    </row>
    <row r="1415" spans="1:17" x14ac:dyDescent="0.2">
      <c r="A1415" s="10"/>
      <c r="B1415" s="26"/>
      <c r="C1415" s="11">
        <v>1993</v>
      </c>
      <c r="D1415" s="32">
        <f>SPFI_CLB14!$D$16</f>
        <v>0.499164</v>
      </c>
      <c r="E1415" s="32"/>
      <c r="F1415" s="32"/>
      <c r="G1415" s="32"/>
      <c r="H1415" s="32"/>
      <c r="I1415" s="32"/>
      <c r="J1415" s="28">
        <f t="shared" si="1185"/>
        <v>0</v>
      </c>
      <c r="K1415" s="29"/>
      <c r="L1415" s="29"/>
      <c r="M1415" s="29"/>
      <c r="N1415" s="29"/>
      <c r="O1415" s="29"/>
      <c r="P1415" s="30">
        <f t="shared" si="1187"/>
        <v>0</v>
      </c>
      <c r="Q1415" s="31">
        <f t="shared" si="1186"/>
        <v>0</v>
      </c>
    </row>
    <row r="1416" spans="1:17" x14ac:dyDescent="0.2">
      <c r="A1416" s="10"/>
      <c r="B1416" s="26"/>
      <c r="C1416" s="11">
        <v>1994</v>
      </c>
      <c r="D1416" s="32">
        <f>SPFI_CLB14!$D$17</f>
        <v>0.59591300000000003</v>
      </c>
      <c r="E1416" s="32"/>
      <c r="F1416" s="32"/>
      <c r="G1416" s="32"/>
      <c r="H1416" s="32"/>
      <c r="I1416" s="32"/>
      <c r="J1416" s="28">
        <f t="shared" si="1185"/>
        <v>0</v>
      </c>
      <c r="K1416" s="29"/>
      <c r="L1416" s="29"/>
      <c r="M1416" s="29"/>
      <c r="N1416" s="29"/>
      <c r="O1416" s="29"/>
      <c r="P1416" s="30">
        <f t="shared" si="1187"/>
        <v>0</v>
      </c>
      <c r="Q1416" s="31">
        <f t="shared" si="1186"/>
        <v>0</v>
      </c>
    </row>
    <row r="1417" spans="1:17" x14ac:dyDescent="0.2">
      <c r="A1417" s="10"/>
      <c r="B1417" s="26"/>
      <c r="C1417" s="11">
        <v>1995</v>
      </c>
      <c r="D1417" s="32">
        <f>SPFI_CLB14!$D$18</f>
        <v>0.25400800000000001</v>
      </c>
      <c r="E1417" s="32"/>
      <c r="F1417" s="32"/>
      <c r="G1417" s="32"/>
      <c r="H1417" s="32"/>
      <c r="I1417" s="32"/>
      <c r="J1417" s="28">
        <f t="shared" ref="J1417" si="1188">D1417*J$45</f>
        <v>0</v>
      </c>
      <c r="K1417" s="29"/>
      <c r="L1417" s="29"/>
      <c r="M1417" s="29"/>
      <c r="N1417" s="29"/>
      <c r="O1417" s="29"/>
      <c r="P1417" s="30">
        <f>SUM(J1417:O1417)</f>
        <v>0</v>
      </c>
      <c r="Q1417" s="31">
        <f t="shared" si="1186"/>
        <v>0</v>
      </c>
    </row>
    <row r="1418" spans="1:17" x14ac:dyDescent="0.2">
      <c r="A1418" s="10"/>
      <c r="B1418" s="26"/>
      <c r="C1418" s="11">
        <v>1996</v>
      </c>
      <c r="D1418" s="32">
        <f>SPFI_CLB14!$D$19</f>
        <v>0</v>
      </c>
      <c r="E1418" s="32"/>
      <c r="F1418" s="32"/>
      <c r="G1418" s="32"/>
      <c r="H1418" s="32"/>
      <c r="I1418" s="32"/>
      <c r="J1418" s="28">
        <f t="shared" ref="J1418" si="1189">D1418*J$45</f>
        <v>0</v>
      </c>
      <c r="K1418" s="29"/>
      <c r="L1418" s="29"/>
      <c r="M1418" s="29"/>
      <c r="N1418" s="29"/>
      <c r="O1418" s="29"/>
      <c r="P1418" s="30">
        <f>SUM(J1418:O1418)</f>
        <v>0</v>
      </c>
      <c r="Q1418" s="31">
        <f t="shared" si="1186"/>
        <v>0</v>
      </c>
    </row>
    <row r="1419" spans="1:17" x14ac:dyDescent="0.2">
      <c r="A1419" s="10"/>
      <c r="B1419" s="26"/>
      <c r="C1419" s="11">
        <v>1997</v>
      </c>
      <c r="D1419" s="32">
        <f>SPFI_CLB14!$D$20</f>
        <v>0.201487</v>
      </c>
      <c r="E1419" s="32"/>
      <c r="F1419" s="32"/>
      <c r="G1419" s="32"/>
      <c r="H1419" s="32"/>
      <c r="I1419" s="32"/>
      <c r="J1419" s="28">
        <f t="shared" ref="J1419" si="1190">D1419*J$45</f>
        <v>0</v>
      </c>
      <c r="K1419" s="29"/>
      <c r="L1419" s="29"/>
      <c r="M1419" s="29"/>
      <c r="N1419" s="29"/>
      <c r="O1419" s="29"/>
      <c r="P1419" s="30">
        <f>SUM(J1419:O1419)</f>
        <v>0</v>
      </c>
      <c r="Q1419" s="31">
        <f t="shared" si="1186"/>
        <v>0</v>
      </c>
    </row>
    <row r="1420" spans="1:17" x14ac:dyDescent="0.2">
      <c r="A1420" s="10"/>
      <c r="B1420" s="26"/>
      <c r="C1420" s="11">
        <v>1998</v>
      </c>
      <c r="D1420" s="32">
        <f>SPFI_CLB14!$D$21</f>
        <v>0.37506400000000001</v>
      </c>
      <c r="E1420" s="32"/>
      <c r="F1420" s="32"/>
      <c r="G1420" s="32"/>
      <c r="H1420" s="32"/>
      <c r="I1420" s="32"/>
      <c r="J1420" s="28">
        <f t="shared" ref="J1420" si="1191">D1420*J$45</f>
        <v>0</v>
      </c>
      <c r="K1420" s="29"/>
      <c r="L1420" s="29"/>
      <c r="M1420" s="29"/>
      <c r="N1420" s="29"/>
      <c r="O1420" s="29"/>
      <c r="P1420" s="30">
        <f>SUM(J1420:O1420)</f>
        <v>0</v>
      </c>
      <c r="Q1420" s="31">
        <f t="shared" si="1186"/>
        <v>0</v>
      </c>
    </row>
    <row r="1421" spans="1:17" x14ac:dyDescent="0.2">
      <c r="A1421" s="10"/>
      <c r="B1421" s="26"/>
      <c r="C1421" s="11">
        <v>1999</v>
      </c>
      <c r="D1421" s="32">
        <f>SPFI_CLB14!$D$22</f>
        <v>0.29823699999999997</v>
      </c>
      <c r="E1421" s="32"/>
      <c r="F1421" s="32"/>
      <c r="G1421" s="32"/>
      <c r="H1421" s="32"/>
      <c r="I1421" s="32"/>
      <c r="J1421" s="28">
        <f t="shared" ref="J1421" si="1192">D1421*J$45</f>
        <v>0</v>
      </c>
      <c r="K1421" s="29"/>
      <c r="L1421" s="29"/>
      <c r="M1421" s="29"/>
      <c r="N1421" s="29"/>
      <c r="O1421" s="29"/>
      <c r="P1421" s="30">
        <f>SUM(J1421:O1421)</f>
        <v>0</v>
      </c>
      <c r="Q1421" s="31">
        <f t="shared" ref="Q1421:Q1426" si="1193">IF(C$45&gt;0,P1421/C$45,0)</f>
        <v>0</v>
      </c>
    </row>
    <row r="1422" spans="1:17" x14ac:dyDescent="0.2">
      <c r="A1422" s="10"/>
      <c r="B1422" s="26"/>
      <c r="C1422" s="11">
        <v>2000</v>
      </c>
      <c r="D1422" s="32">
        <f>SPFI_CLB14!$D$23</f>
        <v>8.4414000000000003E-2</v>
      </c>
      <c r="E1422" s="32"/>
      <c r="F1422" s="32"/>
      <c r="G1422" s="32"/>
      <c r="H1422" s="32"/>
      <c r="I1422" s="32"/>
      <c r="J1422" s="28">
        <f t="shared" ref="J1422" si="1194">D1422*J$45</f>
        <v>0</v>
      </c>
      <c r="K1422" s="29"/>
      <c r="L1422" s="29"/>
      <c r="M1422" s="29"/>
      <c r="N1422" s="29"/>
      <c r="O1422" s="29"/>
      <c r="P1422" s="30">
        <f t="shared" ref="P1422:P1427" si="1195">SUM(J1422:O1422)</f>
        <v>0</v>
      </c>
      <c r="Q1422" s="31">
        <f t="shared" si="1193"/>
        <v>0</v>
      </c>
    </row>
    <row r="1423" spans="1:17" x14ac:dyDescent="0.2">
      <c r="A1423" s="10"/>
      <c r="B1423" s="26"/>
      <c r="C1423" s="11">
        <v>2001</v>
      </c>
      <c r="D1423" s="32">
        <f>SPFI_CLB14!$D$24</f>
        <v>7.8909000000000007E-2</v>
      </c>
      <c r="E1423" s="32"/>
      <c r="F1423" s="32"/>
      <c r="G1423" s="32"/>
      <c r="H1423" s="32"/>
      <c r="I1423" s="32"/>
      <c r="J1423" s="28">
        <f t="shared" ref="J1423" si="1196">D1423*J$45</f>
        <v>0</v>
      </c>
      <c r="K1423" s="29"/>
      <c r="L1423" s="29"/>
      <c r="M1423" s="29"/>
      <c r="N1423" s="29"/>
      <c r="O1423" s="29"/>
      <c r="P1423" s="30">
        <f t="shared" si="1195"/>
        <v>0</v>
      </c>
      <c r="Q1423" s="31">
        <f t="shared" si="1193"/>
        <v>0</v>
      </c>
    </row>
    <row r="1424" spans="1:17" x14ac:dyDescent="0.2">
      <c r="A1424" s="10"/>
      <c r="B1424" s="26"/>
      <c r="C1424" s="11">
        <v>2002</v>
      </c>
      <c r="D1424" s="32">
        <f>SPFI_CLB14!$D$25</f>
        <v>0.29974699999999999</v>
      </c>
      <c r="E1424" s="32"/>
      <c r="F1424" s="32"/>
      <c r="G1424" s="32"/>
      <c r="H1424" s="32"/>
      <c r="I1424" s="32"/>
      <c r="J1424" s="28">
        <f t="shared" ref="J1424" si="1197">D1424*J$45</f>
        <v>0</v>
      </c>
      <c r="K1424" s="29"/>
      <c r="L1424" s="29"/>
      <c r="M1424" s="29"/>
      <c r="N1424" s="29"/>
      <c r="O1424" s="29"/>
      <c r="P1424" s="30">
        <f t="shared" si="1195"/>
        <v>0</v>
      </c>
      <c r="Q1424" s="31">
        <f t="shared" si="1193"/>
        <v>0</v>
      </c>
    </row>
    <row r="1425" spans="1:17" x14ac:dyDescent="0.2">
      <c r="A1425" s="10"/>
      <c r="B1425" s="26"/>
      <c r="C1425" s="11">
        <v>2003</v>
      </c>
      <c r="D1425" s="32">
        <f>SPFI_CLB14!$D$26</f>
        <v>0.20691100000000001</v>
      </c>
      <c r="E1425" s="32"/>
      <c r="F1425" s="32"/>
      <c r="G1425" s="32"/>
      <c r="H1425" s="32"/>
      <c r="I1425" s="32"/>
      <c r="J1425" s="28">
        <f t="shared" ref="J1425" si="1198">D1425*J$45</f>
        <v>0</v>
      </c>
      <c r="K1425" s="29"/>
      <c r="L1425" s="29"/>
      <c r="M1425" s="29"/>
      <c r="N1425" s="29"/>
      <c r="O1425" s="29"/>
      <c r="P1425" s="30">
        <f t="shared" si="1195"/>
        <v>0</v>
      </c>
      <c r="Q1425" s="31">
        <f t="shared" si="1193"/>
        <v>0</v>
      </c>
    </row>
    <row r="1426" spans="1:17" x14ac:dyDescent="0.2">
      <c r="A1426" s="10"/>
      <c r="B1426" s="26"/>
      <c r="C1426" s="11">
        <v>2004</v>
      </c>
      <c r="D1426" s="32">
        <f>SPFI_CLB14!$D$27</f>
        <v>0.269237</v>
      </c>
      <c r="E1426" s="32"/>
      <c r="F1426" s="32"/>
      <c r="G1426" s="32"/>
      <c r="H1426" s="32"/>
      <c r="I1426" s="32"/>
      <c r="J1426" s="28">
        <f t="shared" ref="J1426" si="1199">D1426*J$45</f>
        <v>0</v>
      </c>
      <c r="K1426" s="29"/>
      <c r="L1426" s="29"/>
      <c r="M1426" s="29"/>
      <c r="N1426" s="29"/>
      <c r="O1426" s="29"/>
      <c r="P1426" s="30">
        <f t="shared" si="1195"/>
        <v>0</v>
      </c>
      <c r="Q1426" s="31">
        <f t="shared" si="1193"/>
        <v>0</v>
      </c>
    </row>
    <row r="1427" spans="1:17" x14ac:dyDescent="0.2">
      <c r="A1427" s="10"/>
      <c r="B1427" s="26"/>
      <c r="C1427" s="11">
        <v>2005</v>
      </c>
      <c r="D1427" s="32">
        <f>SPFI_CLB14!$D$28</f>
        <v>0.37848700000000002</v>
      </c>
      <c r="E1427" s="32"/>
      <c r="F1427" s="32"/>
      <c r="G1427" s="32"/>
      <c r="H1427" s="32"/>
      <c r="I1427" s="32"/>
      <c r="J1427" s="28">
        <f t="shared" ref="J1427" si="1200">D1427*J$45</f>
        <v>0</v>
      </c>
      <c r="K1427" s="29"/>
      <c r="L1427" s="29"/>
      <c r="M1427" s="29"/>
      <c r="N1427" s="29"/>
      <c r="O1427" s="29"/>
      <c r="P1427" s="30">
        <f t="shared" si="1195"/>
        <v>0</v>
      </c>
      <c r="Q1427" s="31">
        <f t="shared" ref="Q1427:Q1432" si="1201">IF(C$45&gt;0,P1427/C$45,0)</f>
        <v>0</v>
      </c>
    </row>
    <row r="1428" spans="1:17" x14ac:dyDescent="0.2">
      <c r="A1428" s="10"/>
      <c r="B1428" s="26"/>
      <c r="C1428" s="11">
        <v>2006</v>
      </c>
      <c r="D1428" s="32">
        <f>SPFI_CLB14!$D$29</f>
        <v>0.381023</v>
      </c>
      <c r="E1428" s="32"/>
      <c r="F1428" s="32"/>
      <c r="G1428" s="32"/>
      <c r="H1428" s="32"/>
      <c r="I1428" s="32"/>
      <c r="J1428" s="28">
        <f t="shared" ref="J1428" si="1202">D1428*J$45</f>
        <v>0</v>
      </c>
      <c r="K1428" s="29"/>
      <c r="L1428" s="29"/>
      <c r="M1428" s="29"/>
      <c r="N1428" s="29"/>
      <c r="O1428" s="29"/>
      <c r="P1428" s="30">
        <f t="shared" ref="P1428:P1435" si="1203">SUM(J1428:O1428)</f>
        <v>0</v>
      </c>
      <c r="Q1428" s="31">
        <f t="shared" si="1201"/>
        <v>0</v>
      </c>
    </row>
    <row r="1429" spans="1:17" x14ac:dyDescent="0.2">
      <c r="A1429" s="10"/>
      <c r="B1429" s="26"/>
      <c r="C1429" s="11">
        <v>2007</v>
      </c>
      <c r="D1429" s="32">
        <f>SPFI_CLB14!$D$30</f>
        <v>0.356512</v>
      </c>
      <c r="E1429" s="32"/>
      <c r="F1429" s="32"/>
      <c r="G1429" s="32"/>
      <c r="H1429" s="32"/>
      <c r="I1429" s="32"/>
      <c r="J1429" s="28">
        <f t="shared" ref="J1429" si="1204">D1429*J$45</f>
        <v>0</v>
      </c>
      <c r="K1429" s="29"/>
      <c r="L1429" s="29"/>
      <c r="M1429" s="29"/>
      <c r="N1429" s="29"/>
      <c r="O1429" s="29"/>
      <c r="P1429" s="30">
        <f t="shared" si="1203"/>
        <v>0</v>
      </c>
      <c r="Q1429" s="31">
        <f t="shared" si="1201"/>
        <v>0</v>
      </c>
    </row>
    <row r="1430" spans="1:17" x14ac:dyDescent="0.2">
      <c r="A1430" s="10"/>
      <c r="B1430" s="26"/>
      <c r="C1430" s="11">
        <v>2008</v>
      </c>
      <c r="D1430" s="32">
        <f>SPFI_CLB14!$D$31</f>
        <v>0.25494499999999998</v>
      </c>
      <c r="E1430" s="32"/>
      <c r="F1430" s="32"/>
      <c r="G1430" s="32"/>
      <c r="H1430" s="32"/>
      <c r="I1430" s="32"/>
      <c r="J1430" s="28">
        <f t="shared" ref="J1430" si="1205">D1430*J$45</f>
        <v>0</v>
      </c>
      <c r="K1430" s="29"/>
      <c r="L1430" s="29"/>
      <c r="M1430" s="29"/>
      <c r="N1430" s="29"/>
      <c r="O1430" s="29"/>
      <c r="P1430" s="30">
        <f t="shared" si="1203"/>
        <v>0</v>
      </c>
      <c r="Q1430" s="31">
        <f t="shared" si="1201"/>
        <v>0</v>
      </c>
    </row>
    <row r="1431" spans="1:17" x14ac:dyDescent="0.2">
      <c r="A1431" s="10"/>
      <c r="B1431" s="26"/>
      <c r="C1431" s="11">
        <v>2009</v>
      </c>
      <c r="D1431" s="32">
        <f>SPFI_CLB14!$D$32</f>
        <v>0.52383000000000002</v>
      </c>
      <c r="E1431" s="32"/>
      <c r="F1431" s="32"/>
      <c r="G1431" s="32"/>
      <c r="H1431" s="32"/>
      <c r="I1431" s="32"/>
      <c r="J1431" s="28">
        <f t="shared" ref="J1431" si="1206">D1431*J$45</f>
        <v>0</v>
      </c>
      <c r="K1431" s="29"/>
      <c r="L1431" s="29"/>
      <c r="M1431" s="29"/>
      <c r="N1431" s="29"/>
      <c r="O1431" s="29"/>
      <c r="P1431" s="30">
        <f t="shared" si="1203"/>
        <v>0</v>
      </c>
      <c r="Q1431" s="31">
        <f t="shared" si="1201"/>
        <v>0</v>
      </c>
    </row>
    <row r="1432" spans="1:17" x14ac:dyDescent="0.2">
      <c r="A1432" s="10"/>
      <c r="B1432" s="26"/>
      <c r="C1432" s="11">
        <v>2010</v>
      </c>
      <c r="D1432" s="32">
        <f>SPFI_CLB14!$D$33</f>
        <v>0.31394</v>
      </c>
      <c r="E1432" s="32"/>
      <c r="F1432" s="32"/>
      <c r="G1432" s="32"/>
      <c r="H1432" s="32"/>
      <c r="I1432" s="32"/>
      <c r="J1432" s="28">
        <f t="shared" ref="J1432" si="1207">D1432*J$45</f>
        <v>0</v>
      </c>
      <c r="K1432" s="29"/>
      <c r="L1432" s="29"/>
      <c r="M1432" s="29"/>
      <c r="N1432" s="29"/>
      <c r="O1432" s="29"/>
      <c r="P1432" s="30">
        <f t="shared" si="1203"/>
        <v>0</v>
      </c>
      <c r="Q1432" s="31">
        <f t="shared" si="1201"/>
        <v>0</v>
      </c>
    </row>
    <row r="1433" spans="1:17" x14ac:dyDescent="0.2">
      <c r="A1433" s="10"/>
      <c r="B1433" s="26"/>
      <c r="C1433" s="11">
        <v>2011</v>
      </c>
      <c r="D1433" s="32">
        <f>SPFI_CLB14!$D$34</f>
        <v>0.294348</v>
      </c>
      <c r="E1433" s="32"/>
      <c r="F1433" s="32"/>
      <c r="G1433" s="32"/>
      <c r="H1433" s="32"/>
      <c r="I1433" s="32"/>
      <c r="J1433" s="28">
        <f t="shared" ref="J1433" si="1208">D1433*J$45</f>
        <v>0</v>
      </c>
      <c r="K1433" s="29"/>
      <c r="L1433" s="29"/>
      <c r="M1433" s="29"/>
      <c r="N1433" s="29"/>
      <c r="O1433" s="29"/>
      <c r="P1433" s="30">
        <f t="shared" ref="P1433" si="1209">SUM(J1433:O1433)</f>
        <v>0</v>
      </c>
      <c r="Q1433" s="31">
        <f t="shared" ref="Q1433" si="1210">IF(C$45&gt;0,P1433/C$45,0)</f>
        <v>0</v>
      </c>
    </row>
    <row r="1434" spans="1:17" x14ac:dyDescent="0.2">
      <c r="A1434" s="10"/>
      <c r="B1434" s="26"/>
      <c r="C1434" s="11">
        <v>2012</v>
      </c>
      <c r="D1434" s="32">
        <f>SPFI_CLB14!$D$35</f>
        <v>0.34784100000000001</v>
      </c>
      <c r="E1434" s="32"/>
      <c r="F1434" s="32"/>
      <c r="G1434" s="32"/>
      <c r="H1434" s="32"/>
      <c r="I1434" s="32"/>
      <c r="J1434" s="28">
        <f t="shared" ref="J1434" si="1211">D1434*J$45</f>
        <v>0</v>
      </c>
      <c r="K1434" s="29"/>
      <c r="L1434" s="29"/>
      <c r="M1434" s="29"/>
      <c r="N1434" s="29"/>
      <c r="O1434" s="29"/>
      <c r="P1434" s="30">
        <f t="shared" ref="P1434" si="1212">SUM(J1434:O1434)</f>
        <v>0</v>
      </c>
      <c r="Q1434" s="31">
        <f t="shared" ref="Q1434" si="1213">IF(C$45&gt;0,P1434/C$45,0)</f>
        <v>0</v>
      </c>
    </row>
    <row r="1435" spans="1:17" x14ac:dyDescent="0.2">
      <c r="A1435" s="5" t="s">
        <v>16</v>
      </c>
      <c r="B1435" s="21">
        <v>4</v>
      </c>
      <c r="C1435" s="6">
        <v>1982</v>
      </c>
      <c r="D1435" s="27">
        <f>SPFI_CLB14!$D$5</f>
        <v>0.98153299999999999</v>
      </c>
      <c r="E1435" s="27"/>
      <c r="F1435" s="27"/>
      <c r="G1435" s="27"/>
      <c r="H1435" s="27"/>
      <c r="I1435" s="27"/>
      <c r="J1435" s="33">
        <f t="shared" ref="J1435:J1447" si="1214">D1435*J$46</f>
        <v>0</v>
      </c>
      <c r="K1435" s="27"/>
      <c r="L1435" s="27"/>
      <c r="M1435" s="27"/>
      <c r="N1435" s="27"/>
      <c r="O1435" s="27"/>
      <c r="P1435" s="34">
        <f t="shared" si="1203"/>
        <v>0</v>
      </c>
      <c r="Q1435" s="35">
        <f t="shared" ref="Q1435:Q1451" si="1215">IF(C$46&gt;0,P1435/C$46,0)</f>
        <v>0</v>
      </c>
    </row>
    <row r="1436" spans="1:17" x14ac:dyDescent="0.2">
      <c r="A1436" s="10"/>
      <c r="B1436" s="26"/>
      <c r="C1436" s="11">
        <v>1983</v>
      </c>
      <c r="D1436" s="32">
        <f>SPFI_CLB14!$D$6</f>
        <v>0.93659899999999996</v>
      </c>
      <c r="E1436" s="32"/>
      <c r="F1436" s="32"/>
      <c r="G1436" s="32"/>
      <c r="H1436" s="32"/>
      <c r="I1436" s="32"/>
      <c r="J1436" s="28">
        <f t="shared" si="1214"/>
        <v>0</v>
      </c>
      <c r="K1436" s="29"/>
      <c r="L1436" s="29"/>
      <c r="M1436" s="29"/>
      <c r="N1436" s="29"/>
      <c r="O1436" s="29"/>
      <c r="P1436" s="30">
        <f t="shared" ref="P1436:P1447" si="1216">SUM(J1436:O1436)</f>
        <v>0</v>
      </c>
      <c r="Q1436" s="31">
        <f t="shared" si="1215"/>
        <v>0</v>
      </c>
    </row>
    <row r="1437" spans="1:17" x14ac:dyDescent="0.2">
      <c r="A1437" s="10"/>
      <c r="B1437" s="26"/>
      <c r="C1437" s="11">
        <v>1984</v>
      </c>
      <c r="D1437" s="32">
        <f>SPFI_CLB14!$D$7</f>
        <v>0.92793599999999998</v>
      </c>
      <c r="E1437" s="32"/>
      <c r="F1437" s="32"/>
      <c r="G1437" s="32"/>
      <c r="H1437" s="32"/>
      <c r="I1437" s="32"/>
      <c r="J1437" s="28">
        <f t="shared" si="1214"/>
        <v>0</v>
      </c>
      <c r="K1437" s="29"/>
      <c r="L1437" s="29"/>
      <c r="M1437" s="29"/>
      <c r="N1437" s="29"/>
      <c r="O1437" s="29"/>
      <c r="P1437" s="30">
        <f t="shared" si="1216"/>
        <v>0</v>
      </c>
      <c r="Q1437" s="31">
        <f t="shared" si="1215"/>
        <v>0</v>
      </c>
    </row>
    <row r="1438" spans="1:17" x14ac:dyDescent="0.2">
      <c r="A1438" s="10"/>
      <c r="B1438" s="26"/>
      <c r="C1438" s="11">
        <v>1985</v>
      </c>
      <c r="D1438" s="32">
        <f>SPFI_CLB14!$D$8</f>
        <v>0.90386500000000003</v>
      </c>
      <c r="E1438" s="32"/>
      <c r="F1438" s="32"/>
      <c r="G1438" s="32"/>
      <c r="H1438" s="32"/>
      <c r="I1438" s="32"/>
      <c r="J1438" s="28">
        <f t="shared" si="1214"/>
        <v>0</v>
      </c>
      <c r="K1438" s="29"/>
      <c r="L1438" s="29"/>
      <c r="M1438" s="29"/>
      <c r="N1438" s="29"/>
      <c r="O1438" s="29"/>
      <c r="P1438" s="30">
        <f t="shared" si="1216"/>
        <v>0</v>
      </c>
      <c r="Q1438" s="31">
        <f t="shared" si="1215"/>
        <v>0</v>
      </c>
    </row>
    <row r="1439" spans="1:17" x14ac:dyDescent="0.2">
      <c r="A1439" s="10"/>
      <c r="B1439" s="26"/>
      <c r="C1439" s="11">
        <v>1986</v>
      </c>
      <c r="D1439" s="32">
        <f>SPFI_CLB14!$D$9</f>
        <v>0.73087500000000005</v>
      </c>
      <c r="E1439" s="32"/>
      <c r="F1439" s="32"/>
      <c r="G1439" s="32"/>
      <c r="H1439" s="32"/>
      <c r="I1439" s="32"/>
      <c r="J1439" s="28">
        <f t="shared" si="1214"/>
        <v>0</v>
      </c>
      <c r="K1439" s="29"/>
      <c r="L1439" s="29"/>
      <c r="M1439" s="29"/>
      <c r="N1439" s="29"/>
      <c r="O1439" s="29"/>
      <c r="P1439" s="30">
        <f t="shared" si="1216"/>
        <v>0</v>
      </c>
      <c r="Q1439" s="31">
        <f t="shared" si="1215"/>
        <v>0</v>
      </c>
    </row>
    <row r="1440" spans="1:17" x14ac:dyDescent="0.2">
      <c r="A1440" s="10"/>
      <c r="B1440" s="26"/>
      <c r="C1440" s="11">
        <v>1987</v>
      </c>
      <c r="D1440" s="32">
        <f>SPFI_CLB14!$D$10</f>
        <v>0.71733499999999994</v>
      </c>
      <c r="E1440" s="32"/>
      <c r="F1440" s="32"/>
      <c r="G1440" s="32"/>
      <c r="H1440" s="32"/>
      <c r="I1440" s="32"/>
      <c r="J1440" s="28">
        <f t="shared" si="1214"/>
        <v>0</v>
      </c>
      <c r="K1440" s="29"/>
      <c r="L1440" s="29"/>
      <c r="M1440" s="29"/>
      <c r="N1440" s="29"/>
      <c r="O1440" s="29"/>
      <c r="P1440" s="30">
        <f t="shared" si="1216"/>
        <v>0</v>
      </c>
      <c r="Q1440" s="31">
        <f t="shared" si="1215"/>
        <v>0</v>
      </c>
    </row>
    <row r="1441" spans="1:17" x14ac:dyDescent="0.2">
      <c r="A1441" s="10"/>
      <c r="B1441" s="26"/>
      <c r="C1441" s="11">
        <v>1988</v>
      </c>
      <c r="D1441" s="32">
        <f>SPFI_CLB14!$D$11</f>
        <v>0.64558800000000005</v>
      </c>
      <c r="E1441" s="32"/>
      <c r="F1441" s="32"/>
      <c r="G1441" s="32"/>
      <c r="H1441" s="32"/>
      <c r="I1441" s="32"/>
      <c r="J1441" s="28">
        <f t="shared" si="1214"/>
        <v>0</v>
      </c>
      <c r="K1441" s="29"/>
      <c r="L1441" s="29"/>
      <c r="M1441" s="29"/>
      <c r="N1441" s="29"/>
      <c r="O1441" s="29"/>
      <c r="P1441" s="30">
        <f t="shared" si="1216"/>
        <v>0</v>
      </c>
      <c r="Q1441" s="31">
        <f t="shared" si="1215"/>
        <v>0</v>
      </c>
    </row>
    <row r="1442" spans="1:17" x14ac:dyDescent="0.2">
      <c r="A1442" s="10"/>
      <c r="B1442" s="26"/>
      <c r="C1442" s="11">
        <v>1989</v>
      </c>
      <c r="D1442" s="32">
        <f>SPFI_CLB14!$D$12</f>
        <v>0.65287700000000004</v>
      </c>
      <c r="E1442" s="32"/>
      <c r="F1442" s="32"/>
      <c r="G1442" s="32"/>
      <c r="H1442" s="32"/>
      <c r="I1442" s="32"/>
      <c r="J1442" s="28">
        <f t="shared" si="1214"/>
        <v>0</v>
      </c>
      <c r="K1442" s="29"/>
      <c r="L1442" s="29"/>
      <c r="M1442" s="29"/>
      <c r="N1442" s="29"/>
      <c r="O1442" s="29"/>
      <c r="P1442" s="30">
        <f t="shared" si="1216"/>
        <v>0</v>
      </c>
      <c r="Q1442" s="31">
        <f t="shared" si="1215"/>
        <v>0</v>
      </c>
    </row>
    <row r="1443" spans="1:17" x14ac:dyDescent="0.2">
      <c r="A1443" s="10"/>
      <c r="B1443" s="26"/>
      <c r="C1443" s="11">
        <v>1990</v>
      </c>
      <c r="D1443" s="32">
        <f>SPFI_CLB14!$D$13</f>
        <v>0.56965100000000002</v>
      </c>
      <c r="E1443" s="32"/>
      <c r="F1443" s="32"/>
      <c r="G1443" s="32"/>
      <c r="H1443" s="32"/>
      <c r="I1443" s="32"/>
      <c r="J1443" s="28">
        <f t="shared" si="1214"/>
        <v>0</v>
      </c>
      <c r="K1443" s="29"/>
      <c r="L1443" s="29"/>
      <c r="M1443" s="29"/>
      <c r="N1443" s="29"/>
      <c r="O1443" s="29"/>
      <c r="P1443" s="30">
        <f t="shared" si="1216"/>
        <v>0</v>
      </c>
      <c r="Q1443" s="31">
        <f t="shared" si="1215"/>
        <v>0</v>
      </c>
    </row>
    <row r="1444" spans="1:17" x14ac:dyDescent="0.2">
      <c r="A1444" s="10"/>
      <c r="B1444" s="26"/>
      <c r="C1444" s="11">
        <v>1991</v>
      </c>
      <c r="D1444" s="32">
        <f>SPFI_CLB14!$D$14</f>
        <v>0.62776900000000002</v>
      </c>
      <c r="E1444" s="32"/>
      <c r="F1444" s="32"/>
      <c r="G1444" s="32"/>
      <c r="H1444" s="32"/>
      <c r="I1444" s="32"/>
      <c r="J1444" s="28">
        <f t="shared" si="1214"/>
        <v>0</v>
      </c>
      <c r="K1444" s="29"/>
      <c r="L1444" s="29"/>
      <c r="M1444" s="29"/>
      <c r="N1444" s="29"/>
      <c r="O1444" s="29"/>
      <c r="P1444" s="30">
        <f t="shared" si="1216"/>
        <v>0</v>
      </c>
      <c r="Q1444" s="31">
        <f t="shared" si="1215"/>
        <v>0</v>
      </c>
    </row>
    <row r="1445" spans="1:17" x14ac:dyDescent="0.2">
      <c r="A1445" s="10"/>
      <c r="B1445" s="26"/>
      <c r="C1445" s="11">
        <v>1992</v>
      </c>
      <c r="D1445" s="32">
        <f>SPFI_CLB14!$D$15</f>
        <v>0.43504100000000001</v>
      </c>
      <c r="E1445" s="32"/>
      <c r="F1445" s="32"/>
      <c r="G1445" s="32"/>
      <c r="H1445" s="32"/>
      <c r="I1445" s="32"/>
      <c r="J1445" s="28">
        <f t="shared" si="1214"/>
        <v>0</v>
      </c>
      <c r="K1445" s="29"/>
      <c r="L1445" s="29"/>
      <c r="M1445" s="29"/>
      <c r="N1445" s="29"/>
      <c r="O1445" s="29"/>
      <c r="P1445" s="30">
        <f t="shared" si="1216"/>
        <v>0</v>
      </c>
      <c r="Q1445" s="31">
        <f t="shared" si="1215"/>
        <v>0</v>
      </c>
    </row>
    <row r="1446" spans="1:17" x14ac:dyDescent="0.2">
      <c r="A1446" s="10"/>
      <c r="B1446" s="26"/>
      <c r="C1446" s="11">
        <v>1993</v>
      </c>
      <c r="D1446" s="32">
        <f>SPFI_CLB14!$D$16</f>
        <v>0.499164</v>
      </c>
      <c r="E1446" s="32"/>
      <c r="F1446" s="32"/>
      <c r="G1446" s="32"/>
      <c r="H1446" s="32"/>
      <c r="I1446" s="32"/>
      <c r="J1446" s="28">
        <f t="shared" si="1214"/>
        <v>0</v>
      </c>
      <c r="K1446" s="29"/>
      <c r="L1446" s="29"/>
      <c r="M1446" s="29"/>
      <c r="N1446" s="29"/>
      <c r="O1446" s="29"/>
      <c r="P1446" s="30">
        <f t="shared" si="1216"/>
        <v>0</v>
      </c>
      <c r="Q1446" s="31">
        <f t="shared" si="1215"/>
        <v>0</v>
      </c>
    </row>
    <row r="1447" spans="1:17" x14ac:dyDescent="0.2">
      <c r="A1447" s="10"/>
      <c r="B1447" s="26"/>
      <c r="C1447" s="11">
        <v>1994</v>
      </c>
      <c r="D1447" s="32">
        <f>SPFI_CLB14!$D$17</f>
        <v>0.59591300000000003</v>
      </c>
      <c r="E1447" s="32"/>
      <c r="F1447" s="32"/>
      <c r="G1447" s="32"/>
      <c r="H1447" s="32"/>
      <c r="I1447" s="32"/>
      <c r="J1447" s="28">
        <f t="shared" si="1214"/>
        <v>0</v>
      </c>
      <c r="K1447" s="29"/>
      <c r="L1447" s="29"/>
      <c r="M1447" s="29"/>
      <c r="N1447" s="29"/>
      <c r="O1447" s="29"/>
      <c r="P1447" s="30">
        <f t="shared" si="1216"/>
        <v>0</v>
      </c>
      <c r="Q1447" s="31">
        <f t="shared" si="1215"/>
        <v>0</v>
      </c>
    </row>
    <row r="1448" spans="1:17" x14ac:dyDescent="0.2">
      <c r="A1448" s="10"/>
      <c r="B1448" s="26"/>
      <c r="C1448" s="11">
        <v>1995</v>
      </c>
      <c r="D1448" s="32">
        <f>SPFI_CLB14!$D$18</f>
        <v>0.25400800000000001</v>
      </c>
      <c r="E1448" s="32"/>
      <c r="F1448" s="32"/>
      <c r="G1448" s="32"/>
      <c r="H1448" s="32"/>
      <c r="I1448" s="32"/>
      <c r="J1448" s="28">
        <f t="shared" ref="J1448" si="1217">D1448*J$46</f>
        <v>0</v>
      </c>
      <c r="K1448" s="29"/>
      <c r="L1448" s="29"/>
      <c r="M1448" s="29"/>
      <c r="N1448" s="29"/>
      <c r="O1448" s="29"/>
      <c r="P1448" s="30">
        <f>SUM(J1448:O1448)</f>
        <v>0</v>
      </c>
      <c r="Q1448" s="31">
        <f t="shared" si="1215"/>
        <v>0</v>
      </c>
    </row>
    <row r="1449" spans="1:17" x14ac:dyDescent="0.2">
      <c r="A1449" s="10"/>
      <c r="B1449" s="26"/>
      <c r="C1449" s="11">
        <v>1996</v>
      </c>
      <c r="D1449" s="32">
        <f>SPFI_CLB14!$D$19</f>
        <v>0</v>
      </c>
      <c r="E1449" s="32"/>
      <c r="F1449" s="32"/>
      <c r="G1449" s="32"/>
      <c r="H1449" s="32"/>
      <c r="I1449" s="32"/>
      <c r="J1449" s="28">
        <f t="shared" ref="J1449" si="1218">D1449*J$46</f>
        <v>0</v>
      </c>
      <c r="K1449" s="29"/>
      <c r="L1449" s="29"/>
      <c r="M1449" s="29"/>
      <c r="N1449" s="29"/>
      <c r="O1449" s="29"/>
      <c r="P1449" s="30">
        <f>SUM(J1449:O1449)</f>
        <v>0</v>
      </c>
      <c r="Q1449" s="31">
        <f t="shared" si="1215"/>
        <v>0</v>
      </c>
    </row>
    <row r="1450" spans="1:17" x14ac:dyDescent="0.2">
      <c r="A1450" s="10"/>
      <c r="B1450" s="26"/>
      <c r="C1450" s="11">
        <v>1997</v>
      </c>
      <c r="D1450" s="32">
        <f>SPFI_CLB14!$D$20</f>
        <v>0.201487</v>
      </c>
      <c r="E1450" s="32"/>
      <c r="F1450" s="32"/>
      <c r="G1450" s="32"/>
      <c r="H1450" s="32"/>
      <c r="I1450" s="32"/>
      <c r="J1450" s="28">
        <f t="shared" ref="J1450" si="1219">D1450*J$46</f>
        <v>0</v>
      </c>
      <c r="K1450" s="29"/>
      <c r="L1450" s="29"/>
      <c r="M1450" s="29"/>
      <c r="N1450" s="29"/>
      <c r="O1450" s="29"/>
      <c r="P1450" s="30">
        <f>SUM(J1450:O1450)</f>
        <v>0</v>
      </c>
      <c r="Q1450" s="31">
        <f t="shared" si="1215"/>
        <v>0</v>
      </c>
    </row>
    <row r="1451" spans="1:17" x14ac:dyDescent="0.2">
      <c r="A1451" s="10"/>
      <c r="B1451" s="26"/>
      <c r="C1451" s="11">
        <v>1998</v>
      </c>
      <c r="D1451" s="32">
        <f>SPFI_CLB14!$D$21</f>
        <v>0.37506400000000001</v>
      </c>
      <c r="E1451" s="32"/>
      <c r="F1451" s="32"/>
      <c r="G1451" s="32"/>
      <c r="H1451" s="32"/>
      <c r="I1451" s="32"/>
      <c r="J1451" s="28">
        <f t="shared" ref="J1451" si="1220">D1451*J$46</f>
        <v>0</v>
      </c>
      <c r="K1451" s="29"/>
      <c r="L1451" s="29"/>
      <c r="M1451" s="29"/>
      <c r="N1451" s="29"/>
      <c r="O1451" s="29"/>
      <c r="P1451" s="30">
        <f>SUM(J1451:O1451)</f>
        <v>0</v>
      </c>
      <c r="Q1451" s="31">
        <f t="shared" si="1215"/>
        <v>0</v>
      </c>
    </row>
    <row r="1452" spans="1:17" x14ac:dyDescent="0.2">
      <c r="A1452" s="10"/>
      <c r="B1452" s="26"/>
      <c r="C1452" s="11">
        <v>1999</v>
      </c>
      <c r="D1452" s="32">
        <f>SPFI_CLB14!$D$22</f>
        <v>0.29823699999999997</v>
      </c>
      <c r="E1452" s="32"/>
      <c r="F1452" s="32"/>
      <c r="G1452" s="32"/>
      <c r="H1452" s="32"/>
      <c r="I1452" s="32"/>
      <c r="J1452" s="28">
        <f t="shared" ref="J1452" si="1221">D1452*J$46</f>
        <v>0</v>
      </c>
      <c r="K1452" s="29"/>
      <c r="L1452" s="29"/>
      <c r="M1452" s="29"/>
      <c r="N1452" s="29"/>
      <c r="O1452" s="29"/>
      <c r="P1452" s="30">
        <f>SUM(J1452:O1452)</f>
        <v>0</v>
      </c>
      <c r="Q1452" s="31">
        <f t="shared" ref="Q1452:Q1457" si="1222">IF(C$46&gt;0,P1452/C$46,0)</f>
        <v>0</v>
      </c>
    </row>
    <row r="1453" spans="1:17" x14ac:dyDescent="0.2">
      <c r="A1453" s="10"/>
      <c r="B1453" s="26"/>
      <c r="C1453" s="11">
        <v>2000</v>
      </c>
      <c r="D1453" s="32">
        <f>SPFI_CLB14!$D$23</f>
        <v>8.4414000000000003E-2</v>
      </c>
      <c r="E1453" s="32"/>
      <c r="F1453" s="32"/>
      <c r="G1453" s="32"/>
      <c r="H1453" s="32"/>
      <c r="I1453" s="32"/>
      <c r="J1453" s="28">
        <f t="shared" ref="J1453" si="1223">D1453*J$46</f>
        <v>0</v>
      </c>
      <c r="K1453" s="29"/>
      <c r="L1453" s="29"/>
      <c r="M1453" s="29"/>
      <c r="N1453" s="29"/>
      <c r="O1453" s="29"/>
      <c r="P1453" s="30">
        <f t="shared" ref="P1453:P1458" si="1224">SUM(J1453:O1453)</f>
        <v>0</v>
      </c>
      <c r="Q1453" s="31">
        <f t="shared" si="1222"/>
        <v>0</v>
      </c>
    </row>
    <row r="1454" spans="1:17" x14ac:dyDescent="0.2">
      <c r="A1454" s="10"/>
      <c r="B1454" s="26"/>
      <c r="C1454" s="11">
        <v>2001</v>
      </c>
      <c r="D1454" s="32">
        <f>SPFI_CLB14!$D$24</f>
        <v>7.8909000000000007E-2</v>
      </c>
      <c r="E1454" s="32"/>
      <c r="F1454" s="32"/>
      <c r="G1454" s="32"/>
      <c r="H1454" s="32"/>
      <c r="I1454" s="32"/>
      <c r="J1454" s="28">
        <f t="shared" ref="J1454" si="1225">D1454*J$46</f>
        <v>0</v>
      </c>
      <c r="K1454" s="29"/>
      <c r="L1454" s="29"/>
      <c r="M1454" s="29"/>
      <c r="N1454" s="29"/>
      <c r="O1454" s="29"/>
      <c r="P1454" s="30">
        <f t="shared" si="1224"/>
        <v>0</v>
      </c>
      <c r="Q1454" s="31">
        <f t="shared" si="1222"/>
        <v>0</v>
      </c>
    </row>
    <row r="1455" spans="1:17" x14ac:dyDescent="0.2">
      <c r="A1455" s="10"/>
      <c r="B1455" s="26"/>
      <c r="C1455" s="11">
        <v>2002</v>
      </c>
      <c r="D1455" s="32">
        <f>SPFI_CLB14!$D$25</f>
        <v>0.29974699999999999</v>
      </c>
      <c r="E1455" s="32"/>
      <c r="F1455" s="32"/>
      <c r="G1455" s="32"/>
      <c r="H1455" s="32"/>
      <c r="I1455" s="32"/>
      <c r="J1455" s="28">
        <f t="shared" ref="J1455" si="1226">D1455*J$46</f>
        <v>0</v>
      </c>
      <c r="K1455" s="29"/>
      <c r="L1455" s="29"/>
      <c r="M1455" s="29"/>
      <c r="N1455" s="29"/>
      <c r="O1455" s="29"/>
      <c r="P1455" s="30">
        <f t="shared" si="1224"/>
        <v>0</v>
      </c>
      <c r="Q1455" s="31">
        <f t="shared" si="1222"/>
        <v>0</v>
      </c>
    </row>
    <row r="1456" spans="1:17" x14ac:dyDescent="0.2">
      <c r="A1456" s="10"/>
      <c r="B1456" s="26"/>
      <c r="C1456" s="11">
        <v>2003</v>
      </c>
      <c r="D1456" s="32">
        <f>SPFI_CLB14!$D$26</f>
        <v>0.20691100000000001</v>
      </c>
      <c r="E1456" s="32"/>
      <c r="F1456" s="32"/>
      <c r="G1456" s="32"/>
      <c r="H1456" s="32"/>
      <c r="I1456" s="32"/>
      <c r="J1456" s="28">
        <f t="shared" ref="J1456" si="1227">D1456*J$46</f>
        <v>0</v>
      </c>
      <c r="K1456" s="29"/>
      <c r="L1456" s="29"/>
      <c r="M1456" s="29"/>
      <c r="N1456" s="29"/>
      <c r="O1456" s="29"/>
      <c r="P1456" s="30">
        <f t="shared" si="1224"/>
        <v>0</v>
      </c>
      <c r="Q1456" s="31">
        <f t="shared" si="1222"/>
        <v>0</v>
      </c>
    </row>
    <row r="1457" spans="1:17" x14ac:dyDescent="0.2">
      <c r="A1457" s="10"/>
      <c r="B1457" s="26"/>
      <c r="C1457" s="11">
        <v>2004</v>
      </c>
      <c r="D1457" s="32">
        <f>SPFI_CLB14!$D$27</f>
        <v>0.269237</v>
      </c>
      <c r="E1457" s="32"/>
      <c r="F1457" s="32"/>
      <c r="G1457" s="32"/>
      <c r="H1457" s="32"/>
      <c r="I1457" s="32"/>
      <c r="J1457" s="28">
        <f t="shared" ref="J1457" si="1228">D1457*J$46</f>
        <v>0</v>
      </c>
      <c r="K1457" s="29"/>
      <c r="L1457" s="29"/>
      <c r="M1457" s="29"/>
      <c r="N1457" s="29"/>
      <c r="O1457" s="29"/>
      <c r="P1457" s="30">
        <f t="shared" si="1224"/>
        <v>0</v>
      </c>
      <c r="Q1457" s="31">
        <f t="shared" si="1222"/>
        <v>0</v>
      </c>
    </row>
    <row r="1458" spans="1:17" x14ac:dyDescent="0.2">
      <c r="A1458" s="10"/>
      <c r="B1458" s="26"/>
      <c r="C1458" s="11">
        <v>2005</v>
      </c>
      <c r="D1458" s="32">
        <f>SPFI_CLB14!$D$28</f>
        <v>0.37848700000000002</v>
      </c>
      <c r="E1458" s="32"/>
      <c r="F1458" s="32"/>
      <c r="G1458" s="32"/>
      <c r="H1458" s="32"/>
      <c r="I1458" s="32"/>
      <c r="J1458" s="28">
        <f t="shared" ref="J1458" si="1229">D1458*J$46</f>
        <v>0</v>
      </c>
      <c r="K1458" s="29"/>
      <c r="L1458" s="29"/>
      <c r="M1458" s="29"/>
      <c r="N1458" s="29"/>
      <c r="O1458" s="29"/>
      <c r="P1458" s="30">
        <f t="shared" si="1224"/>
        <v>0</v>
      </c>
      <c r="Q1458" s="31">
        <f t="shared" ref="Q1458:Q1463" si="1230">IF(C$46&gt;0,P1458/C$46,0)</f>
        <v>0</v>
      </c>
    </row>
    <row r="1459" spans="1:17" x14ac:dyDescent="0.2">
      <c r="A1459" s="10"/>
      <c r="B1459" s="26"/>
      <c r="C1459" s="11">
        <v>2006</v>
      </c>
      <c r="D1459" s="32">
        <f>SPFI_CLB14!$D$29</f>
        <v>0.381023</v>
      </c>
      <c r="E1459" s="32"/>
      <c r="F1459" s="32"/>
      <c r="G1459" s="32"/>
      <c r="H1459" s="32"/>
      <c r="I1459" s="32"/>
      <c r="J1459" s="28">
        <f t="shared" ref="J1459" si="1231">D1459*J$46</f>
        <v>0</v>
      </c>
      <c r="K1459" s="29"/>
      <c r="L1459" s="29"/>
      <c r="M1459" s="29"/>
      <c r="N1459" s="29"/>
      <c r="O1459" s="29"/>
      <c r="P1459" s="30">
        <f t="shared" ref="P1459:P1466" si="1232">SUM(J1459:O1459)</f>
        <v>0</v>
      </c>
      <c r="Q1459" s="31">
        <f t="shared" si="1230"/>
        <v>0</v>
      </c>
    </row>
    <row r="1460" spans="1:17" x14ac:dyDescent="0.2">
      <c r="A1460" s="10"/>
      <c r="B1460" s="26"/>
      <c r="C1460" s="11">
        <v>2007</v>
      </c>
      <c r="D1460" s="32">
        <f>SPFI_CLB14!$D$30</f>
        <v>0.356512</v>
      </c>
      <c r="E1460" s="32"/>
      <c r="F1460" s="32"/>
      <c r="G1460" s="32"/>
      <c r="H1460" s="32"/>
      <c r="I1460" s="32"/>
      <c r="J1460" s="28">
        <f t="shared" ref="J1460" si="1233">D1460*J$46</f>
        <v>0</v>
      </c>
      <c r="K1460" s="29"/>
      <c r="L1460" s="29"/>
      <c r="M1460" s="29"/>
      <c r="N1460" s="29"/>
      <c r="O1460" s="29"/>
      <c r="P1460" s="30">
        <f t="shared" si="1232"/>
        <v>0</v>
      </c>
      <c r="Q1460" s="31">
        <f t="shared" si="1230"/>
        <v>0</v>
      </c>
    </row>
    <row r="1461" spans="1:17" x14ac:dyDescent="0.2">
      <c r="A1461" s="10"/>
      <c r="B1461" s="26"/>
      <c r="C1461" s="11">
        <v>2008</v>
      </c>
      <c r="D1461" s="32">
        <f>SPFI_CLB14!$D$31</f>
        <v>0.25494499999999998</v>
      </c>
      <c r="E1461" s="32"/>
      <c r="F1461" s="32"/>
      <c r="G1461" s="32"/>
      <c r="H1461" s="32"/>
      <c r="I1461" s="32"/>
      <c r="J1461" s="28">
        <f t="shared" ref="J1461" si="1234">D1461*J$46</f>
        <v>0</v>
      </c>
      <c r="K1461" s="29"/>
      <c r="L1461" s="29"/>
      <c r="M1461" s="29"/>
      <c r="N1461" s="29"/>
      <c r="O1461" s="29"/>
      <c r="P1461" s="30">
        <f t="shared" si="1232"/>
        <v>0</v>
      </c>
      <c r="Q1461" s="31">
        <f t="shared" si="1230"/>
        <v>0</v>
      </c>
    </row>
    <row r="1462" spans="1:17" x14ac:dyDescent="0.2">
      <c r="A1462" s="10"/>
      <c r="B1462" s="26"/>
      <c r="C1462" s="11">
        <v>2009</v>
      </c>
      <c r="D1462" s="32">
        <f>SPFI_CLB14!$D$32</f>
        <v>0.52383000000000002</v>
      </c>
      <c r="E1462" s="32"/>
      <c r="F1462" s="32"/>
      <c r="G1462" s="32"/>
      <c r="H1462" s="32"/>
      <c r="I1462" s="32"/>
      <c r="J1462" s="28">
        <f t="shared" ref="J1462" si="1235">D1462*J$46</f>
        <v>0</v>
      </c>
      <c r="K1462" s="29"/>
      <c r="L1462" s="29"/>
      <c r="M1462" s="29"/>
      <c r="N1462" s="29"/>
      <c r="O1462" s="29"/>
      <c r="P1462" s="30">
        <f t="shared" si="1232"/>
        <v>0</v>
      </c>
      <c r="Q1462" s="31">
        <f t="shared" si="1230"/>
        <v>0</v>
      </c>
    </row>
    <row r="1463" spans="1:17" x14ac:dyDescent="0.2">
      <c r="A1463" s="10"/>
      <c r="B1463" s="26"/>
      <c r="C1463" s="11">
        <v>2010</v>
      </c>
      <c r="D1463" s="32">
        <f>SPFI_CLB14!$D$33</f>
        <v>0.31394</v>
      </c>
      <c r="E1463" s="32"/>
      <c r="F1463" s="32"/>
      <c r="G1463" s="32"/>
      <c r="H1463" s="32"/>
      <c r="I1463" s="32"/>
      <c r="J1463" s="28">
        <f t="shared" ref="J1463" si="1236">D1463*J$46</f>
        <v>0</v>
      </c>
      <c r="K1463" s="29"/>
      <c r="L1463" s="29"/>
      <c r="M1463" s="29"/>
      <c r="N1463" s="29"/>
      <c r="O1463" s="29"/>
      <c r="P1463" s="30">
        <f t="shared" si="1232"/>
        <v>0</v>
      </c>
      <c r="Q1463" s="31">
        <f t="shared" si="1230"/>
        <v>0</v>
      </c>
    </row>
    <row r="1464" spans="1:17" x14ac:dyDescent="0.2">
      <c r="A1464" s="10"/>
      <c r="B1464" s="26"/>
      <c r="C1464" s="11">
        <v>2011</v>
      </c>
      <c r="D1464" s="32">
        <f>SPFI_CLB14!$D$34</f>
        <v>0.294348</v>
      </c>
      <c r="E1464" s="32"/>
      <c r="F1464" s="32"/>
      <c r="G1464" s="32"/>
      <c r="H1464" s="32"/>
      <c r="I1464" s="32"/>
      <c r="J1464" s="28">
        <f t="shared" ref="J1464" si="1237">D1464*J$46</f>
        <v>0</v>
      </c>
      <c r="K1464" s="29"/>
      <c r="L1464" s="29"/>
      <c r="M1464" s="29"/>
      <c r="N1464" s="29"/>
      <c r="O1464" s="29"/>
      <c r="P1464" s="30">
        <f t="shared" ref="P1464" si="1238">SUM(J1464:O1464)</f>
        <v>0</v>
      </c>
      <c r="Q1464" s="31">
        <f t="shared" ref="Q1464" si="1239">IF(C$46&gt;0,P1464/C$46,0)</f>
        <v>0</v>
      </c>
    </row>
    <row r="1465" spans="1:17" x14ac:dyDescent="0.2">
      <c r="A1465" s="10"/>
      <c r="B1465" s="26"/>
      <c r="C1465" s="11">
        <v>2012</v>
      </c>
      <c r="D1465" s="32">
        <f>SPFI_CLB14!$D$35</f>
        <v>0.34784100000000001</v>
      </c>
      <c r="E1465" s="32"/>
      <c r="F1465" s="32"/>
      <c r="G1465" s="32"/>
      <c r="H1465" s="32"/>
      <c r="I1465" s="32"/>
      <c r="J1465" s="28">
        <f t="shared" ref="J1465" si="1240">D1465*J$46</f>
        <v>0</v>
      </c>
      <c r="K1465" s="29"/>
      <c r="L1465" s="29"/>
      <c r="M1465" s="29"/>
      <c r="N1465" s="29"/>
      <c r="O1465" s="29"/>
      <c r="P1465" s="30">
        <f t="shared" ref="P1465" si="1241">SUM(J1465:O1465)</f>
        <v>0</v>
      </c>
      <c r="Q1465" s="31">
        <f t="shared" ref="Q1465" si="1242">IF(C$46&gt;0,P1465/C$46,0)</f>
        <v>0</v>
      </c>
    </row>
    <row r="1466" spans="1:17" x14ac:dyDescent="0.2">
      <c r="A1466" s="5" t="s">
        <v>16</v>
      </c>
      <c r="B1466" s="21">
        <v>5</v>
      </c>
      <c r="C1466" s="6">
        <v>1982</v>
      </c>
      <c r="D1466" s="27">
        <f>SPFI_CLB14!$D$5</f>
        <v>0.98153299999999999</v>
      </c>
      <c r="E1466" s="27"/>
      <c r="F1466" s="27"/>
      <c r="G1466" s="27"/>
      <c r="H1466" s="27"/>
      <c r="I1466" s="27"/>
      <c r="J1466" s="33">
        <f t="shared" ref="J1466:J1478" si="1243">D1466*J$47</f>
        <v>0</v>
      </c>
      <c r="K1466" s="27"/>
      <c r="L1466" s="27"/>
      <c r="M1466" s="27"/>
      <c r="N1466" s="27"/>
      <c r="O1466" s="27"/>
      <c r="P1466" s="34">
        <f t="shared" si="1232"/>
        <v>0</v>
      </c>
      <c r="Q1466" s="35">
        <f t="shared" ref="Q1466:Q1482" si="1244">IF(C$47&gt;0,P1466/C$47,0)</f>
        <v>0</v>
      </c>
    </row>
    <row r="1467" spans="1:17" x14ac:dyDescent="0.2">
      <c r="A1467" s="10"/>
      <c r="B1467" s="26"/>
      <c r="C1467" s="11">
        <v>1983</v>
      </c>
      <c r="D1467" s="32">
        <f>SPFI_CLB14!$D$6</f>
        <v>0.93659899999999996</v>
      </c>
      <c r="E1467" s="32"/>
      <c r="F1467" s="32"/>
      <c r="G1467" s="32"/>
      <c r="H1467" s="32"/>
      <c r="I1467" s="32"/>
      <c r="J1467" s="28">
        <f t="shared" si="1243"/>
        <v>0</v>
      </c>
      <c r="K1467" s="29"/>
      <c r="L1467" s="29"/>
      <c r="M1467" s="29"/>
      <c r="N1467" s="29"/>
      <c r="O1467" s="29"/>
      <c r="P1467" s="30">
        <f t="shared" ref="P1467:P1478" si="1245">SUM(J1467:O1467)</f>
        <v>0</v>
      </c>
      <c r="Q1467" s="31">
        <f t="shared" si="1244"/>
        <v>0</v>
      </c>
    </row>
    <row r="1468" spans="1:17" x14ac:dyDescent="0.2">
      <c r="A1468" s="10"/>
      <c r="B1468" s="26"/>
      <c r="C1468" s="11">
        <v>1984</v>
      </c>
      <c r="D1468" s="32">
        <f>SPFI_CLB14!$D$7</f>
        <v>0.92793599999999998</v>
      </c>
      <c r="E1468" s="32"/>
      <c r="F1468" s="32"/>
      <c r="G1468" s="32"/>
      <c r="H1468" s="32"/>
      <c r="I1468" s="32"/>
      <c r="J1468" s="28">
        <f t="shared" si="1243"/>
        <v>0</v>
      </c>
      <c r="K1468" s="29"/>
      <c r="L1468" s="29"/>
      <c r="M1468" s="29"/>
      <c r="N1468" s="29"/>
      <c r="O1468" s="29"/>
      <c r="P1468" s="30">
        <f t="shared" si="1245"/>
        <v>0</v>
      </c>
      <c r="Q1468" s="31">
        <f t="shared" si="1244"/>
        <v>0</v>
      </c>
    </row>
    <row r="1469" spans="1:17" x14ac:dyDescent="0.2">
      <c r="A1469" s="10"/>
      <c r="B1469" s="26"/>
      <c r="C1469" s="11">
        <v>1985</v>
      </c>
      <c r="D1469" s="32">
        <f>SPFI_CLB14!$D$8</f>
        <v>0.90386500000000003</v>
      </c>
      <c r="E1469" s="32"/>
      <c r="F1469" s="32"/>
      <c r="G1469" s="32"/>
      <c r="H1469" s="32"/>
      <c r="I1469" s="32"/>
      <c r="J1469" s="28">
        <f t="shared" si="1243"/>
        <v>0</v>
      </c>
      <c r="K1469" s="29"/>
      <c r="L1469" s="29"/>
      <c r="M1469" s="29"/>
      <c r="N1469" s="29"/>
      <c r="O1469" s="29"/>
      <c r="P1469" s="30">
        <f t="shared" si="1245"/>
        <v>0</v>
      </c>
      <c r="Q1469" s="31">
        <f t="shared" si="1244"/>
        <v>0</v>
      </c>
    </row>
    <row r="1470" spans="1:17" x14ac:dyDescent="0.2">
      <c r="A1470" s="10"/>
      <c r="B1470" s="26"/>
      <c r="C1470" s="11">
        <v>1986</v>
      </c>
      <c r="D1470" s="32">
        <f>SPFI_CLB14!$D$9</f>
        <v>0.73087500000000005</v>
      </c>
      <c r="E1470" s="32"/>
      <c r="F1470" s="32"/>
      <c r="G1470" s="32"/>
      <c r="H1470" s="32"/>
      <c r="I1470" s="32"/>
      <c r="J1470" s="28">
        <f t="shared" si="1243"/>
        <v>0</v>
      </c>
      <c r="K1470" s="29"/>
      <c r="L1470" s="29"/>
      <c r="M1470" s="29"/>
      <c r="N1470" s="29"/>
      <c r="O1470" s="29"/>
      <c r="P1470" s="30">
        <f t="shared" si="1245"/>
        <v>0</v>
      </c>
      <c r="Q1470" s="31">
        <f t="shared" si="1244"/>
        <v>0</v>
      </c>
    </row>
    <row r="1471" spans="1:17" x14ac:dyDescent="0.2">
      <c r="A1471" s="10"/>
      <c r="B1471" s="26"/>
      <c r="C1471" s="11">
        <v>1987</v>
      </c>
      <c r="D1471" s="32">
        <f>SPFI_CLB14!$D$10</f>
        <v>0.71733499999999994</v>
      </c>
      <c r="E1471" s="32"/>
      <c r="F1471" s="32"/>
      <c r="G1471" s="32"/>
      <c r="H1471" s="32"/>
      <c r="I1471" s="32"/>
      <c r="J1471" s="28">
        <f t="shared" si="1243"/>
        <v>0</v>
      </c>
      <c r="K1471" s="29"/>
      <c r="L1471" s="29"/>
      <c r="M1471" s="29"/>
      <c r="N1471" s="29"/>
      <c r="O1471" s="29"/>
      <c r="P1471" s="30">
        <f t="shared" si="1245"/>
        <v>0</v>
      </c>
      <c r="Q1471" s="31">
        <f t="shared" si="1244"/>
        <v>0</v>
      </c>
    </row>
    <row r="1472" spans="1:17" x14ac:dyDescent="0.2">
      <c r="A1472" s="10"/>
      <c r="B1472" s="26"/>
      <c r="C1472" s="11">
        <v>1988</v>
      </c>
      <c r="D1472" s="32">
        <f>SPFI_CLB14!$D$11</f>
        <v>0.64558800000000005</v>
      </c>
      <c r="E1472" s="32"/>
      <c r="F1472" s="32"/>
      <c r="G1472" s="32"/>
      <c r="H1472" s="32"/>
      <c r="I1472" s="32"/>
      <c r="J1472" s="28">
        <f t="shared" si="1243"/>
        <v>0</v>
      </c>
      <c r="K1472" s="29"/>
      <c r="L1472" s="29"/>
      <c r="M1472" s="29"/>
      <c r="N1472" s="29"/>
      <c r="O1472" s="29"/>
      <c r="P1472" s="30">
        <f t="shared" si="1245"/>
        <v>0</v>
      </c>
      <c r="Q1472" s="31">
        <f t="shared" si="1244"/>
        <v>0</v>
      </c>
    </row>
    <row r="1473" spans="1:17" x14ac:dyDescent="0.2">
      <c r="A1473" s="10"/>
      <c r="B1473" s="26"/>
      <c r="C1473" s="11">
        <v>1989</v>
      </c>
      <c r="D1473" s="32">
        <f>SPFI_CLB14!$D$12</f>
        <v>0.65287700000000004</v>
      </c>
      <c r="E1473" s="32"/>
      <c r="F1473" s="32"/>
      <c r="G1473" s="32"/>
      <c r="H1473" s="32"/>
      <c r="I1473" s="32"/>
      <c r="J1473" s="28">
        <f t="shared" si="1243"/>
        <v>0</v>
      </c>
      <c r="K1473" s="29"/>
      <c r="L1473" s="29"/>
      <c r="M1473" s="29"/>
      <c r="N1473" s="29"/>
      <c r="O1473" s="29"/>
      <c r="P1473" s="30">
        <f t="shared" si="1245"/>
        <v>0</v>
      </c>
      <c r="Q1473" s="31">
        <f t="shared" si="1244"/>
        <v>0</v>
      </c>
    </row>
    <row r="1474" spans="1:17" x14ac:dyDescent="0.2">
      <c r="A1474" s="10"/>
      <c r="B1474" s="26"/>
      <c r="C1474" s="11">
        <v>1990</v>
      </c>
      <c r="D1474" s="32">
        <f>SPFI_CLB14!$D$13</f>
        <v>0.56965100000000002</v>
      </c>
      <c r="E1474" s="32"/>
      <c r="F1474" s="32"/>
      <c r="G1474" s="32"/>
      <c r="H1474" s="32"/>
      <c r="I1474" s="32"/>
      <c r="J1474" s="28">
        <f t="shared" si="1243"/>
        <v>0</v>
      </c>
      <c r="K1474" s="29"/>
      <c r="L1474" s="29"/>
      <c r="M1474" s="29"/>
      <c r="N1474" s="29"/>
      <c r="O1474" s="29"/>
      <c r="P1474" s="30">
        <f t="shared" si="1245"/>
        <v>0</v>
      </c>
      <c r="Q1474" s="31">
        <f t="shared" si="1244"/>
        <v>0</v>
      </c>
    </row>
    <row r="1475" spans="1:17" x14ac:dyDescent="0.2">
      <c r="A1475" s="10"/>
      <c r="B1475" s="26"/>
      <c r="C1475" s="11">
        <v>1991</v>
      </c>
      <c r="D1475" s="32">
        <f>SPFI_CLB14!$D$14</f>
        <v>0.62776900000000002</v>
      </c>
      <c r="E1475" s="32"/>
      <c r="F1475" s="32"/>
      <c r="G1475" s="32"/>
      <c r="H1475" s="32"/>
      <c r="I1475" s="32"/>
      <c r="J1475" s="28">
        <f t="shared" si="1243"/>
        <v>0</v>
      </c>
      <c r="K1475" s="29"/>
      <c r="L1475" s="29"/>
      <c r="M1475" s="29"/>
      <c r="N1475" s="29"/>
      <c r="O1475" s="29"/>
      <c r="P1475" s="30">
        <f t="shared" si="1245"/>
        <v>0</v>
      </c>
      <c r="Q1475" s="31">
        <f t="shared" si="1244"/>
        <v>0</v>
      </c>
    </row>
    <row r="1476" spans="1:17" x14ac:dyDescent="0.2">
      <c r="A1476" s="10"/>
      <c r="B1476" s="26"/>
      <c r="C1476" s="11">
        <v>1992</v>
      </c>
      <c r="D1476" s="32">
        <f>SPFI_CLB14!$D$15</f>
        <v>0.43504100000000001</v>
      </c>
      <c r="E1476" s="32"/>
      <c r="F1476" s="32"/>
      <c r="G1476" s="32"/>
      <c r="H1476" s="32"/>
      <c r="I1476" s="32"/>
      <c r="J1476" s="28">
        <f t="shared" si="1243"/>
        <v>0</v>
      </c>
      <c r="K1476" s="29"/>
      <c r="L1476" s="29"/>
      <c r="M1476" s="29"/>
      <c r="N1476" s="29"/>
      <c r="O1476" s="29"/>
      <c r="P1476" s="30">
        <f t="shared" si="1245"/>
        <v>0</v>
      </c>
      <c r="Q1476" s="31">
        <f t="shared" si="1244"/>
        <v>0</v>
      </c>
    </row>
    <row r="1477" spans="1:17" x14ac:dyDescent="0.2">
      <c r="A1477" s="10"/>
      <c r="B1477" s="26"/>
      <c r="C1477" s="11">
        <v>1993</v>
      </c>
      <c r="D1477" s="32">
        <f>SPFI_CLB14!$D$16</f>
        <v>0.499164</v>
      </c>
      <c r="E1477" s="32"/>
      <c r="F1477" s="32"/>
      <c r="G1477" s="32"/>
      <c r="H1477" s="32"/>
      <c r="I1477" s="32"/>
      <c r="J1477" s="28">
        <f t="shared" si="1243"/>
        <v>0</v>
      </c>
      <c r="K1477" s="29"/>
      <c r="L1477" s="29"/>
      <c r="M1477" s="29"/>
      <c r="N1477" s="29"/>
      <c r="O1477" s="29"/>
      <c r="P1477" s="30">
        <f t="shared" si="1245"/>
        <v>0</v>
      </c>
      <c r="Q1477" s="31">
        <f t="shared" si="1244"/>
        <v>0</v>
      </c>
    </row>
    <row r="1478" spans="1:17" x14ac:dyDescent="0.2">
      <c r="A1478" s="10"/>
      <c r="B1478" s="26"/>
      <c r="C1478" s="11">
        <v>1994</v>
      </c>
      <c r="D1478" s="32">
        <f>SPFI_CLB14!$D$17</f>
        <v>0.59591300000000003</v>
      </c>
      <c r="E1478" s="32"/>
      <c r="F1478" s="32"/>
      <c r="G1478" s="32"/>
      <c r="H1478" s="32"/>
      <c r="I1478" s="32"/>
      <c r="J1478" s="28">
        <f t="shared" si="1243"/>
        <v>0</v>
      </c>
      <c r="K1478" s="29"/>
      <c r="L1478" s="29"/>
      <c r="M1478" s="29"/>
      <c r="N1478" s="29"/>
      <c r="O1478" s="29"/>
      <c r="P1478" s="30">
        <f t="shared" si="1245"/>
        <v>0</v>
      </c>
      <c r="Q1478" s="31">
        <f t="shared" si="1244"/>
        <v>0</v>
      </c>
    </row>
    <row r="1479" spans="1:17" x14ac:dyDescent="0.2">
      <c r="A1479" s="10"/>
      <c r="B1479" s="26"/>
      <c r="C1479" s="11">
        <v>1995</v>
      </c>
      <c r="D1479" s="32">
        <f>SPFI_CLB14!$D$18</f>
        <v>0.25400800000000001</v>
      </c>
      <c r="E1479" s="32"/>
      <c r="F1479" s="32"/>
      <c r="G1479" s="32"/>
      <c r="H1479" s="32"/>
      <c r="I1479" s="32"/>
      <c r="J1479" s="28">
        <f t="shared" ref="J1479" si="1246">D1479*J$47</f>
        <v>0</v>
      </c>
      <c r="K1479" s="29"/>
      <c r="L1479" s="29"/>
      <c r="M1479" s="29"/>
      <c r="N1479" s="29"/>
      <c r="O1479" s="29"/>
      <c r="P1479" s="30">
        <f>SUM(J1479:O1479)</f>
        <v>0</v>
      </c>
      <c r="Q1479" s="31">
        <f t="shared" si="1244"/>
        <v>0</v>
      </c>
    </row>
    <row r="1480" spans="1:17" x14ac:dyDescent="0.2">
      <c r="A1480" s="10"/>
      <c r="B1480" s="26"/>
      <c r="C1480" s="11">
        <v>1996</v>
      </c>
      <c r="D1480" s="32">
        <f>SPFI_CLB14!$D$19</f>
        <v>0</v>
      </c>
      <c r="E1480" s="32"/>
      <c r="F1480" s="32"/>
      <c r="G1480" s="32"/>
      <c r="H1480" s="32"/>
      <c r="I1480" s="32"/>
      <c r="J1480" s="28">
        <f t="shared" ref="J1480" si="1247">D1480*J$47</f>
        <v>0</v>
      </c>
      <c r="K1480" s="29"/>
      <c r="L1480" s="29"/>
      <c r="M1480" s="29"/>
      <c r="N1480" s="29"/>
      <c r="O1480" s="29"/>
      <c r="P1480" s="30">
        <f>SUM(J1480:O1480)</f>
        <v>0</v>
      </c>
      <c r="Q1480" s="31">
        <f t="shared" si="1244"/>
        <v>0</v>
      </c>
    </row>
    <row r="1481" spans="1:17" x14ac:dyDescent="0.2">
      <c r="A1481" s="10"/>
      <c r="B1481" s="26"/>
      <c r="C1481" s="11">
        <v>1997</v>
      </c>
      <c r="D1481" s="32">
        <f>SPFI_CLB14!$D$20</f>
        <v>0.201487</v>
      </c>
      <c r="E1481" s="32"/>
      <c r="F1481" s="32"/>
      <c r="G1481" s="32"/>
      <c r="H1481" s="32"/>
      <c r="I1481" s="32"/>
      <c r="J1481" s="28">
        <f t="shared" ref="J1481" si="1248">D1481*J$47</f>
        <v>0</v>
      </c>
      <c r="K1481" s="29"/>
      <c r="L1481" s="29"/>
      <c r="M1481" s="29"/>
      <c r="N1481" s="29"/>
      <c r="O1481" s="29"/>
      <c r="P1481" s="30">
        <f>SUM(J1481:O1481)</f>
        <v>0</v>
      </c>
      <c r="Q1481" s="31">
        <f t="shared" si="1244"/>
        <v>0</v>
      </c>
    </row>
    <row r="1482" spans="1:17" x14ac:dyDescent="0.2">
      <c r="A1482" s="10"/>
      <c r="B1482" s="26"/>
      <c r="C1482" s="11">
        <v>1998</v>
      </c>
      <c r="D1482" s="32">
        <f>SPFI_CLB14!$D$21</f>
        <v>0.37506400000000001</v>
      </c>
      <c r="E1482" s="32"/>
      <c r="F1482" s="32"/>
      <c r="G1482" s="32"/>
      <c r="H1482" s="32"/>
      <c r="I1482" s="32"/>
      <c r="J1482" s="28">
        <f t="shared" ref="J1482" si="1249">D1482*J$47</f>
        <v>0</v>
      </c>
      <c r="K1482" s="29"/>
      <c r="L1482" s="29"/>
      <c r="M1482" s="29"/>
      <c r="N1482" s="29"/>
      <c r="O1482" s="29"/>
      <c r="P1482" s="30">
        <f>SUM(J1482:O1482)</f>
        <v>0</v>
      </c>
      <c r="Q1482" s="31">
        <f t="shared" si="1244"/>
        <v>0</v>
      </c>
    </row>
    <row r="1483" spans="1:17" x14ac:dyDescent="0.2">
      <c r="A1483" s="10"/>
      <c r="B1483" s="26"/>
      <c r="C1483" s="11">
        <v>1999</v>
      </c>
      <c r="D1483" s="32">
        <f>SPFI_CLB14!$D$22</f>
        <v>0.29823699999999997</v>
      </c>
      <c r="E1483" s="32"/>
      <c r="F1483" s="32"/>
      <c r="G1483" s="32"/>
      <c r="H1483" s="32"/>
      <c r="I1483" s="32"/>
      <c r="J1483" s="28">
        <f t="shared" ref="J1483" si="1250">D1483*J$47</f>
        <v>0</v>
      </c>
      <c r="K1483" s="29"/>
      <c r="L1483" s="29"/>
      <c r="M1483" s="29"/>
      <c r="N1483" s="29"/>
      <c r="O1483" s="29"/>
      <c r="P1483" s="30">
        <f>SUM(J1483:O1483)</f>
        <v>0</v>
      </c>
      <c r="Q1483" s="31">
        <f t="shared" ref="Q1483:Q1488" si="1251">IF(C$47&gt;0,P1483/C$47,0)</f>
        <v>0</v>
      </c>
    </row>
    <row r="1484" spans="1:17" x14ac:dyDescent="0.2">
      <c r="A1484" s="10"/>
      <c r="B1484" s="26"/>
      <c r="C1484" s="11">
        <v>2000</v>
      </c>
      <c r="D1484" s="32">
        <f>SPFI_CLB14!$D$23</f>
        <v>8.4414000000000003E-2</v>
      </c>
      <c r="E1484" s="32"/>
      <c r="F1484" s="32"/>
      <c r="G1484" s="32"/>
      <c r="H1484" s="32"/>
      <c r="I1484" s="32"/>
      <c r="J1484" s="28">
        <f t="shared" ref="J1484" si="1252">D1484*J$47</f>
        <v>0</v>
      </c>
      <c r="K1484" s="29"/>
      <c r="L1484" s="29"/>
      <c r="M1484" s="29"/>
      <c r="N1484" s="29"/>
      <c r="O1484" s="29"/>
      <c r="P1484" s="30">
        <f t="shared" ref="P1484:P1489" si="1253">SUM(J1484:O1484)</f>
        <v>0</v>
      </c>
      <c r="Q1484" s="31">
        <f t="shared" si="1251"/>
        <v>0</v>
      </c>
    </row>
    <row r="1485" spans="1:17" x14ac:dyDescent="0.2">
      <c r="A1485" s="10"/>
      <c r="B1485" s="26"/>
      <c r="C1485" s="11">
        <v>2001</v>
      </c>
      <c r="D1485" s="32">
        <f>SPFI_CLB14!$D$24</f>
        <v>7.8909000000000007E-2</v>
      </c>
      <c r="E1485" s="32"/>
      <c r="F1485" s="32"/>
      <c r="G1485" s="32"/>
      <c r="H1485" s="32"/>
      <c r="I1485" s="32"/>
      <c r="J1485" s="28">
        <f t="shared" ref="J1485" si="1254">D1485*J$47</f>
        <v>0</v>
      </c>
      <c r="K1485" s="29"/>
      <c r="L1485" s="29"/>
      <c r="M1485" s="29"/>
      <c r="N1485" s="29"/>
      <c r="O1485" s="29"/>
      <c r="P1485" s="30">
        <f t="shared" si="1253"/>
        <v>0</v>
      </c>
      <c r="Q1485" s="31">
        <f t="shared" si="1251"/>
        <v>0</v>
      </c>
    </row>
    <row r="1486" spans="1:17" x14ac:dyDescent="0.2">
      <c r="A1486" s="10"/>
      <c r="B1486" s="26"/>
      <c r="C1486" s="11">
        <v>2002</v>
      </c>
      <c r="D1486" s="32">
        <f>SPFI_CLB14!$D$25</f>
        <v>0.29974699999999999</v>
      </c>
      <c r="E1486" s="32"/>
      <c r="F1486" s="32"/>
      <c r="G1486" s="32"/>
      <c r="H1486" s="32"/>
      <c r="I1486" s="32"/>
      <c r="J1486" s="28">
        <f t="shared" ref="J1486" si="1255">D1486*J$47</f>
        <v>0</v>
      </c>
      <c r="K1486" s="29"/>
      <c r="L1486" s="29"/>
      <c r="M1486" s="29"/>
      <c r="N1486" s="29"/>
      <c r="O1486" s="29"/>
      <c r="P1486" s="30">
        <f t="shared" si="1253"/>
        <v>0</v>
      </c>
      <c r="Q1486" s="31">
        <f t="shared" si="1251"/>
        <v>0</v>
      </c>
    </row>
    <row r="1487" spans="1:17" x14ac:dyDescent="0.2">
      <c r="A1487" s="10"/>
      <c r="B1487" s="26"/>
      <c r="C1487" s="11">
        <v>2003</v>
      </c>
      <c r="D1487" s="32">
        <f>SPFI_CLB14!$D$26</f>
        <v>0.20691100000000001</v>
      </c>
      <c r="E1487" s="32"/>
      <c r="F1487" s="32"/>
      <c r="G1487" s="32"/>
      <c r="H1487" s="32"/>
      <c r="I1487" s="32"/>
      <c r="J1487" s="28">
        <f t="shared" ref="J1487" si="1256">D1487*J$47</f>
        <v>0</v>
      </c>
      <c r="K1487" s="29"/>
      <c r="L1487" s="29"/>
      <c r="M1487" s="29"/>
      <c r="N1487" s="29"/>
      <c r="O1487" s="29"/>
      <c r="P1487" s="30">
        <f t="shared" si="1253"/>
        <v>0</v>
      </c>
      <c r="Q1487" s="31">
        <f t="shared" si="1251"/>
        <v>0</v>
      </c>
    </row>
    <row r="1488" spans="1:17" x14ac:dyDescent="0.2">
      <c r="A1488" s="10"/>
      <c r="B1488" s="26"/>
      <c r="C1488" s="11">
        <v>2004</v>
      </c>
      <c r="D1488" s="32">
        <f>SPFI_CLB14!$D$27</f>
        <v>0.269237</v>
      </c>
      <c r="E1488" s="32"/>
      <c r="F1488" s="32"/>
      <c r="G1488" s="32"/>
      <c r="H1488" s="32"/>
      <c r="I1488" s="32"/>
      <c r="J1488" s="28">
        <f t="shared" ref="J1488" si="1257">D1488*J$47</f>
        <v>0</v>
      </c>
      <c r="K1488" s="29"/>
      <c r="L1488" s="29"/>
      <c r="M1488" s="29"/>
      <c r="N1488" s="29"/>
      <c r="O1488" s="29"/>
      <c r="P1488" s="30">
        <f t="shared" si="1253"/>
        <v>0</v>
      </c>
      <c r="Q1488" s="31">
        <f t="shared" si="1251"/>
        <v>0</v>
      </c>
    </row>
    <row r="1489" spans="1:17" x14ac:dyDescent="0.2">
      <c r="A1489" s="10"/>
      <c r="B1489" s="26"/>
      <c r="C1489" s="11">
        <v>2005</v>
      </c>
      <c r="D1489" s="32">
        <f>SPFI_CLB14!$D$28</f>
        <v>0.37848700000000002</v>
      </c>
      <c r="E1489" s="32"/>
      <c r="F1489" s="32"/>
      <c r="G1489" s="32"/>
      <c r="H1489" s="32"/>
      <c r="I1489" s="32"/>
      <c r="J1489" s="28">
        <f t="shared" ref="J1489" si="1258">D1489*J$47</f>
        <v>0</v>
      </c>
      <c r="K1489" s="29"/>
      <c r="L1489" s="29"/>
      <c r="M1489" s="29"/>
      <c r="N1489" s="29"/>
      <c r="O1489" s="29"/>
      <c r="P1489" s="30">
        <f t="shared" si="1253"/>
        <v>0</v>
      </c>
      <c r="Q1489" s="31">
        <f t="shared" ref="Q1489:Q1494" si="1259">IF(C$47&gt;0,P1489/C$47,0)</f>
        <v>0</v>
      </c>
    </row>
    <row r="1490" spans="1:17" x14ac:dyDescent="0.2">
      <c r="A1490" s="10"/>
      <c r="B1490" s="26"/>
      <c r="C1490" s="11">
        <v>2006</v>
      </c>
      <c r="D1490" s="32">
        <f>SPFI_CLB14!$D$29</f>
        <v>0.381023</v>
      </c>
      <c r="E1490" s="32"/>
      <c r="F1490" s="32"/>
      <c r="G1490" s="32"/>
      <c r="H1490" s="32"/>
      <c r="I1490" s="32"/>
      <c r="J1490" s="28">
        <f t="shared" ref="J1490" si="1260">D1490*J$47</f>
        <v>0</v>
      </c>
      <c r="K1490" s="29"/>
      <c r="L1490" s="29"/>
      <c r="M1490" s="29"/>
      <c r="N1490" s="29"/>
      <c r="O1490" s="29"/>
      <c r="P1490" s="30">
        <f t="shared" ref="P1490:P1497" si="1261">SUM(J1490:O1490)</f>
        <v>0</v>
      </c>
      <c r="Q1490" s="31">
        <f t="shared" si="1259"/>
        <v>0</v>
      </c>
    </row>
    <row r="1491" spans="1:17" x14ac:dyDescent="0.2">
      <c r="A1491" s="10"/>
      <c r="B1491" s="26"/>
      <c r="C1491" s="11">
        <v>2007</v>
      </c>
      <c r="D1491" s="32">
        <f>SPFI_CLB14!$D$30</f>
        <v>0.356512</v>
      </c>
      <c r="E1491" s="32"/>
      <c r="F1491" s="32"/>
      <c r="G1491" s="32"/>
      <c r="H1491" s="32"/>
      <c r="I1491" s="32"/>
      <c r="J1491" s="28">
        <f t="shared" ref="J1491" si="1262">D1491*J$47</f>
        <v>0</v>
      </c>
      <c r="K1491" s="29"/>
      <c r="L1491" s="29"/>
      <c r="M1491" s="29"/>
      <c r="N1491" s="29"/>
      <c r="O1491" s="29"/>
      <c r="P1491" s="30">
        <f t="shared" si="1261"/>
        <v>0</v>
      </c>
      <c r="Q1491" s="31">
        <f t="shared" si="1259"/>
        <v>0</v>
      </c>
    </row>
    <row r="1492" spans="1:17" x14ac:dyDescent="0.2">
      <c r="A1492" s="10"/>
      <c r="B1492" s="26"/>
      <c r="C1492" s="11">
        <v>2008</v>
      </c>
      <c r="D1492" s="32">
        <f>SPFI_CLB14!$D$31</f>
        <v>0.25494499999999998</v>
      </c>
      <c r="E1492" s="32"/>
      <c r="F1492" s="32"/>
      <c r="G1492" s="32"/>
      <c r="H1492" s="32"/>
      <c r="I1492" s="32"/>
      <c r="J1492" s="28">
        <f t="shared" ref="J1492" si="1263">D1492*J$47</f>
        <v>0</v>
      </c>
      <c r="K1492" s="29"/>
      <c r="L1492" s="29"/>
      <c r="M1492" s="29"/>
      <c r="N1492" s="29"/>
      <c r="O1492" s="29"/>
      <c r="P1492" s="30">
        <f t="shared" si="1261"/>
        <v>0</v>
      </c>
      <c r="Q1492" s="31">
        <f t="shared" si="1259"/>
        <v>0</v>
      </c>
    </row>
    <row r="1493" spans="1:17" x14ac:dyDescent="0.2">
      <c r="A1493" s="10"/>
      <c r="B1493" s="26"/>
      <c r="C1493" s="11">
        <v>2009</v>
      </c>
      <c r="D1493" s="32">
        <f>SPFI_CLB14!$D$32</f>
        <v>0.52383000000000002</v>
      </c>
      <c r="E1493" s="32"/>
      <c r="F1493" s="32"/>
      <c r="G1493" s="32"/>
      <c r="H1493" s="32"/>
      <c r="I1493" s="32"/>
      <c r="J1493" s="28">
        <f t="shared" ref="J1493" si="1264">D1493*J$47</f>
        <v>0</v>
      </c>
      <c r="K1493" s="29"/>
      <c r="L1493" s="29"/>
      <c r="M1493" s="29"/>
      <c r="N1493" s="29"/>
      <c r="O1493" s="29"/>
      <c r="P1493" s="30">
        <f t="shared" si="1261"/>
        <v>0</v>
      </c>
      <c r="Q1493" s="31">
        <f t="shared" si="1259"/>
        <v>0</v>
      </c>
    </row>
    <row r="1494" spans="1:17" x14ac:dyDescent="0.2">
      <c r="A1494" s="10"/>
      <c r="B1494" s="26"/>
      <c r="C1494" s="11">
        <v>2010</v>
      </c>
      <c r="D1494" s="32">
        <f>SPFI_CLB14!$D$33</f>
        <v>0.31394</v>
      </c>
      <c r="E1494" s="32"/>
      <c r="F1494" s="32"/>
      <c r="G1494" s="32"/>
      <c r="H1494" s="32"/>
      <c r="I1494" s="32"/>
      <c r="J1494" s="28">
        <f t="shared" ref="J1494" si="1265">D1494*J$47</f>
        <v>0</v>
      </c>
      <c r="K1494" s="29"/>
      <c r="L1494" s="29"/>
      <c r="M1494" s="29"/>
      <c r="N1494" s="29"/>
      <c r="O1494" s="29"/>
      <c r="P1494" s="30">
        <f t="shared" si="1261"/>
        <v>0</v>
      </c>
      <c r="Q1494" s="31">
        <f t="shared" si="1259"/>
        <v>0</v>
      </c>
    </row>
    <row r="1495" spans="1:17" x14ac:dyDescent="0.2">
      <c r="A1495" s="10"/>
      <c r="B1495" s="26"/>
      <c r="C1495" s="11">
        <v>2011</v>
      </c>
      <c r="D1495" s="32">
        <f>SPFI_CLB14!$D$34</f>
        <v>0.294348</v>
      </c>
      <c r="E1495" s="32"/>
      <c r="F1495" s="32"/>
      <c r="G1495" s="32"/>
      <c r="H1495" s="32"/>
      <c r="I1495" s="32"/>
      <c r="J1495" s="28">
        <f t="shared" ref="J1495" si="1266">D1495*J$47</f>
        <v>0</v>
      </c>
      <c r="K1495" s="29"/>
      <c r="L1495" s="29"/>
      <c r="M1495" s="29"/>
      <c r="N1495" s="29"/>
      <c r="O1495" s="29"/>
      <c r="P1495" s="30">
        <f t="shared" ref="P1495" si="1267">SUM(J1495:O1495)</f>
        <v>0</v>
      </c>
      <c r="Q1495" s="31">
        <f t="shared" ref="Q1495" si="1268">IF(C$47&gt;0,P1495/C$47,0)</f>
        <v>0</v>
      </c>
    </row>
    <row r="1496" spans="1:17" x14ac:dyDescent="0.2">
      <c r="A1496" s="10"/>
      <c r="B1496" s="26"/>
      <c r="C1496" s="11">
        <v>2012</v>
      </c>
      <c r="D1496" s="32">
        <f>SPFI_CLB14!$D$35</f>
        <v>0.34784100000000001</v>
      </c>
      <c r="E1496" s="32"/>
      <c r="F1496" s="32"/>
      <c r="G1496" s="32"/>
      <c r="H1496" s="32"/>
      <c r="I1496" s="32"/>
      <c r="J1496" s="28">
        <f t="shared" ref="J1496" si="1269">D1496*J$47</f>
        <v>0</v>
      </c>
      <c r="K1496" s="29"/>
      <c r="L1496" s="29"/>
      <c r="M1496" s="29"/>
      <c r="N1496" s="29"/>
      <c r="O1496" s="29"/>
      <c r="P1496" s="30">
        <f t="shared" ref="P1496" si="1270">SUM(J1496:O1496)</f>
        <v>0</v>
      </c>
      <c r="Q1496" s="31">
        <f t="shared" ref="Q1496" si="1271">IF(C$47&gt;0,P1496/C$47,0)</f>
        <v>0</v>
      </c>
    </row>
    <row r="1497" spans="1:17" x14ac:dyDescent="0.2">
      <c r="A1497" s="5" t="s">
        <v>17</v>
      </c>
      <c r="B1497" s="21">
        <v>2</v>
      </c>
      <c r="C1497" s="6">
        <v>1982</v>
      </c>
      <c r="D1497" s="27">
        <f>SPFI_CLB14!$D$5</f>
        <v>0.98153299999999999</v>
      </c>
      <c r="E1497" s="27"/>
      <c r="F1497" s="27"/>
      <c r="G1497" s="27"/>
      <c r="H1497" s="27"/>
      <c r="I1497" s="27"/>
      <c r="J1497" s="33">
        <f t="shared" ref="J1497:J1509" si="1272">D1497*J$48</f>
        <v>0</v>
      </c>
      <c r="K1497" s="27"/>
      <c r="L1497" s="27"/>
      <c r="M1497" s="27"/>
      <c r="N1497" s="27"/>
      <c r="O1497" s="27"/>
      <c r="P1497" s="34">
        <f t="shared" si="1261"/>
        <v>0</v>
      </c>
      <c r="Q1497" s="35">
        <f t="shared" ref="Q1497:Q1513" si="1273">IF(C$48&gt;0,P1497/C$48,0)</f>
        <v>0</v>
      </c>
    </row>
    <row r="1498" spans="1:17" x14ac:dyDescent="0.2">
      <c r="A1498" s="10"/>
      <c r="B1498" s="26"/>
      <c r="C1498" s="11">
        <v>1983</v>
      </c>
      <c r="D1498" s="32">
        <f>SPFI_CLB14!$D$6</f>
        <v>0.93659899999999996</v>
      </c>
      <c r="E1498" s="32"/>
      <c r="F1498" s="32"/>
      <c r="G1498" s="32"/>
      <c r="H1498" s="32"/>
      <c r="I1498" s="32"/>
      <c r="J1498" s="28">
        <f t="shared" si="1272"/>
        <v>0</v>
      </c>
      <c r="K1498" s="29"/>
      <c r="L1498" s="29"/>
      <c r="M1498" s="29"/>
      <c r="N1498" s="29"/>
      <c r="O1498" s="29"/>
      <c r="P1498" s="30">
        <f t="shared" ref="P1498:P1509" si="1274">SUM(J1498:O1498)</f>
        <v>0</v>
      </c>
      <c r="Q1498" s="31">
        <f t="shared" si="1273"/>
        <v>0</v>
      </c>
    </row>
    <row r="1499" spans="1:17" x14ac:dyDescent="0.2">
      <c r="A1499" s="10"/>
      <c r="B1499" s="26"/>
      <c r="C1499" s="11">
        <v>1984</v>
      </c>
      <c r="D1499" s="32">
        <f>SPFI_CLB14!$D$7</f>
        <v>0.92793599999999998</v>
      </c>
      <c r="E1499" s="32"/>
      <c r="F1499" s="32"/>
      <c r="G1499" s="32"/>
      <c r="H1499" s="32"/>
      <c r="I1499" s="32"/>
      <c r="J1499" s="28">
        <f t="shared" si="1272"/>
        <v>0</v>
      </c>
      <c r="K1499" s="29"/>
      <c r="L1499" s="29"/>
      <c r="M1499" s="29"/>
      <c r="N1499" s="29"/>
      <c r="O1499" s="29"/>
      <c r="P1499" s="30">
        <f t="shared" si="1274"/>
        <v>0</v>
      </c>
      <c r="Q1499" s="31">
        <f t="shared" si="1273"/>
        <v>0</v>
      </c>
    </row>
    <row r="1500" spans="1:17" x14ac:dyDescent="0.2">
      <c r="A1500" s="10"/>
      <c r="B1500" s="26"/>
      <c r="C1500" s="11">
        <v>1985</v>
      </c>
      <c r="D1500" s="32">
        <f>SPFI_CLB14!$D$8</f>
        <v>0.90386500000000003</v>
      </c>
      <c r="E1500" s="32"/>
      <c r="F1500" s="32"/>
      <c r="G1500" s="32"/>
      <c r="H1500" s="32"/>
      <c r="I1500" s="32"/>
      <c r="J1500" s="28">
        <f t="shared" si="1272"/>
        <v>0</v>
      </c>
      <c r="K1500" s="29"/>
      <c r="L1500" s="29"/>
      <c r="M1500" s="29"/>
      <c r="N1500" s="29"/>
      <c r="O1500" s="29"/>
      <c r="P1500" s="30">
        <f t="shared" si="1274"/>
        <v>0</v>
      </c>
      <c r="Q1500" s="31">
        <f t="shared" si="1273"/>
        <v>0</v>
      </c>
    </row>
    <row r="1501" spans="1:17" x14ac:dyDescent="0.2">
      <c r="A1501" s="10"/>
      <c r="B1501" s="26"/>
      <c r="C1501" s="11">
        <v>1986</v>
      </c>
      <c r="D1501" s="32">
        <f>SPFI_CLB14!$D$9</f>
        <v>0.73087500000000005</v>
      </c>
      <c r="E1501" s="32"/>
      <c r="F1501" s="32"/>
      <c r="G1501" s="32"/>
      <c r="H1501" s="32"/>
      <c r="I1501" s="32"/>
      <c r="J1501" s="28">
        <f t="shared" si="1272"/>
        <v>0</v>
      </c>
      <c r="K1501" s="29"/>
      <c r="L1501" s="29"/>
      <c r="M1501" s="29"/>
      <c r="N1501" s="29"/>
      <c r="O1501" s="29"/>
      <c r="P1501" s="30">
        <f t="shared" si="1274"/>
        <v>0</v>
      </c>
      <c r="Q1501" s="31">
        <f t="shared" si="1273"/>
        <v>0</v>
      </c>
    </row>
    <row r="1502" spans="1:17" x14ac:dyDescent="0.2">
      <c r="A1502" s="10"/>
      <c r="B1502" s="26"/>
      <c r="C1502" s="11">
        <v>1987</v>
      </c>
      <c r="D1502" s="32">
        <f>SPFI_CLB14!$D$10</f>
        <v>0.71733499999999994</v>
      </c>
      <c r="E1502" s="32"/>
      <c r="F1502" s="32"/>
      <c r="G1502" s="32"/>
      <c r="H1502" s="32"/>
      <c r="I1502" s="32"/>
      <c r="J1502" s="28">
        <f t="shared" si="1272"/>
        <v>0</v>
      </c>
      <c r="K1502" s="29"/>
      <c r="L1502" s="29"/>
      <c r="M1502" s="29"/>
      <c r="N1502" s="29"/>
      <c r="O1502" s="29"/>
      <c r="P1502" s="30">
        <f t="shared" si="1274"/>
        <v>0</v>
      </c>
      <c r="Q1502" s="31">
        <f t="shared" si="1273"/>
        <v>0</v>
      </c>
    </row>
    <row r="1503" spans="1:17" x14ac:dyDescent="0.2">
      <c r="A1503" s="10"/>
      <c r="B1503" s="26"/>
      <c r="C1503" s="11">
        <v>1988</v>
      </c>
      <c r="D1503" s="32">
        <f>SPFI_CLB14!$D$11</f>
        <v>0.64558800000000005</v>
      </c>
      <c r="E1503" s="32"/>
      <c r="F1503" s="32"/>
      <c r="G1503" s="32"/>
      <c r="H1503" s="32"/>
      <c r="I1503" s="32"/>
      <c r="J1503" s="28">
        <f t="shared" si="1272"/>
        <v>0</v>
      </c>
      <c r="K1503" s="29"/>
      <c r="L1503" s="29"/>
      <c r="M1503" s="29"/>
      <c r="N1503" s="29"/>
      <c r="O1503" s="29"/>
      <c r="P1503" s="30">
        <f t="shared" si="1274"/>
        <v>0</v>
      </c>
      <c r="Q1503" s="31">
        <f t="shared" si="1273"/>
        <v>0</v>
      </c>
    </row>
    <row r="1504" spans="1:17" x14ac:dyDescent="0.2">
      <c r="A1504" s="10"/>
      <c r="B1504" s="26"/>
      <c r="C1504" s="11">
        <v>1989</v>
      </c>
      <c r="D1504" s="32">
        <f>SPFI_CLB14!$D$12</f>
        <v>0.65287700000000004</v>
      </c>
      <c r="E1504" s="32"/>
      <c r="F1504" s="32"/>
      <c r="G1504" s="32"/>
      <c r="H1504" s="32"/>
      <c r="I1504" s="32"/>
      <c r="J1504" s="28">
        <f t="shared" si="1272"/>
        <v>0</v>
      </c>
      <c r="K1504" s="29"/>
      <c r="L1504" s="29"/>
      <c r="M1504" s="29"/>
      <c r="N1504" s="29"/>
      <c r="O1504" s="29"/>
      <c r="P1504" s="30">
        <f t="shared" si="1274"/>
        <v>0</v>
      </c>
      <c r="Q1504" s="31">
        <f t="shared" si="1273"/>
        <v>0</v>
      </c>
    </row>
    <row r="1505" spans="1:17" x14ac:dyDescent="0.2">
      <c r="A1505" s="10"/>
      <c r="B1505" s="26"/>
      <c r="C1505" s="11">
        <v>1990</v>
      </c>
      <c r="D1505" s="32">
        <f>SPFI_CLB14!$D$13</f>
        <v>0.56965100000000002</v>
      </c>
      <c r="E1505" s="32"/>
      <c r="F1505" s="32"/>
      <c r="G1505" s="32"/>
      <c r="H1505" s="32"/>
      <c r="I1505" s="32"/>
      <c r="J1505" s="28">
        <f t="shared" si="1272"/>
        <v>0</v>
      </c>
      <c r="K1505" s="29"/>
      <c r="L1505" s="29"/>
      <c r="M1505" s="29"/>
      <c r="N1505" s="29"/>
      <c r="O1505" s="29"/>
      <c r="P1505" s="30">
        <f t="shared" si="1274"/>
        <v>0</v>
      </c>
      <c r="Q1505" s="31">
        <f t="shared" si="1273"/>
        <v>0</v>
      </c>
    </row>
    <row r="1506" spans="1:17" x14ac:dyDescent="0.2">
      <c r="A1506" s="10"/>
      <c r="B1506" s="26"/>
      <c r="C1506" s="11">
        <v>1991</v>
      </c>
      <c r="D1506" s="32">
        <f>SPFI_CLB14!$D$14</f>
        <v>0.62776900000000002</v>
      </c>
      <c r="E1506" s="32"/>
      <c r="F1506" s="32"/>
      <c r="G1506" s="32"/>
      <c r="H1506" s="32"/>
      <c r="I1506" s="32"/>
      <c r="J1506" s="28">
        <f t="shared" si="1272"/>
        <v>0</v>
      </c>
      <c r="K1506" s="29"/>
      <c r="L1506" s="29"/>
      <c r="M1506" s="29"/>
      <c r="N1506" s="29"/>
      <c r="O1506" s="29"/>
      <c r="P1506" s="30">
        <f t="shared" si="1274"/>
        <v>0</v>
      </c>
      <c r="Q1506" s="31">
        <f t="shared" si="1273"/>
        <v>0</v>
      </c>
    </row>
    <row r="1507" spans="1:17" x14ac:dyDescent="0.2">
      <c r="A1507" s="10"/>
      <c r="B1507" s="26"/>
      <c r="C1507" s="11">
        <v>1992</v>
      </c>
      <c r="D1507" s="32">
        <f>SPFI_CLB14!$D$15</f>
        <v>0.43504100000000001</v>
      </c>
      <c r="E1507" s="32"/>
      <c r="F1507" s="32"/>
      <c r="G1507" s="32"/>
      <c r="H1507" s="32"/>
      <c r="I1507" s="32"/>
      <c r="J1507" s="28">
        <f t="shared" si="1272"/>
        <v>0</v>
      </c>
      <c r="K1507" s="29"/>
      <c r="L1507" s="29"/>
      <c r="M1507" s="29"/>
      <c r="N1507" s="29"/>
      <c r="O1507" s="29"/>
      <c r="P1507" s="30">
        <f t="shared" si="1274"/>
        <v>0</v>
      </c>
      <c r="Q1507" s="31">
        <f t="shared" si="1273"/>
        <v>0</v>
      </c>
    </row>
    <row r="1508" spans="1:17" x14ac:dyDescent="0.2">
      <c r="A1508" s="10"/>
      <c r="B1508" s="26"/>
      <c r="C1508" s="11">
        <v>1993</v>
      </c>
      <c r="D1508" s="32">
        <f>SPFI_CLB14!$D$16</f>
        <v>0.499164</v>
      </c>
      <c r="E1508" s="32"/>
      <c r="F1508" s="32"/>
      <c r="G1508" s="32"/>
      <c r="H1508" s="32"/>
      <c r="I1508" s="32"/>
      <c r="J1508" s="28">
        <f t="shared" si="1272"/>
        <v>0</v>
      </c>
      <c r="K1508" s="29"/>
      <c r="L1508" s="29"/>
      <c r="M1508" s="29"/>
      <c r="N1508" s="29"/>
      <c r="O1508" s="29"/>
      <c r="P1508" s="30">
        <f t="shared" si="1274"/>
        <v>0</v>
      </c>
      <c r="Q1508" s="31">
        <f t="shared" si="1273"/>
        <v>0</v>
      </c>
    </row>
    <row r="1509" spans="1:17" x14ac:dyDescent="0.2">
      <c r="A1509" s="10"/>
      <c r="B1509" s="26"/>
      <c r="C1509" s="11">
        <v>1994</v>
      </c>
      <c r="D1509" s="32">
        <f>SPFI_CLB14!$D$17</f>
        <v>0.59591300000000003</v>
      </c>
      <c r="E1509" s="32"/>
      <c r="F1509" s="32"/>
      <c r="G1509" s="32"/>
      <c r="H1509" s="32"/>
      <c r="I1509" s="32"/>
      <c r="J1509" s="28">
        <f t="shared" si="1272"/>
        <v>0</v>
      </c>
      <c r="K1509" s="29"/>
      <c r="L1509" s="29"/>
      <c r="M1509" s="29"/>
      <c r="N1509" s="29"/>
      <c r="O1509" s="29"/>
      <c r="P1509" s="30">
        <f t="shared" si="1274"/>
        <v>0</v>
      </c>
      <c r="Q1509" s="31">
        <f t="shared" si="1273"/>
        <v>0</v>
      </c>
    </row>
    <row r="1510" spans="1:17" x14ac:dyDescent="0.2">
      <c r="A1510" s="10"/>
      <c r="B1510" s="26"/>
      <c r="C1510" s="11">
        <v>1995</v>
      </c>
      <c r="D1510" s="32">
        <f>SPFI_CLB14!$D$18</f>
        <v>0.25400800000000001</v>
      </c>
      <c r="E1510" s="32"/>
      <c r="F1510" s="32"/>
      <c r="G1510" s="32"/>
      <c r="H1510" s="32"/>
      <c r="I1510" s="32"/>
      <c r="J1510" s="28">
        <f t="shared" ref="J1510" si="1275">D1510*J$48</f>
        <v>0</v>
      </c>
      <c r="K1510" s="29"/>
      <c r="L1510" s="29"/>
      <c r="M1510" s="29"/>
      <c r="N1510" s="29"/>
      <c r="O1510" s="29"/>
      <c r="P1510" s="30">
        <f>SUM(J1510:O1510)</f>
        <v>0</v>
      </c>
      <c r="Q1510" s="31">
        <f t="shared" si="1273"/>
        <v>0</v>
      </c>
    </row>
    <row r="1511" spans="1:17" x14ac:dyDescent="0.2">
      <c r="A1511" s="10"/>
      <c r="B1511" s="26"/>
      <c r="C1511" s="11">
        <v>1996</v>
      </c>
      <c r="D1511" s="32">
        <f>SPFI_CLB14!$D$19</f>
        <v>0</v>
      </c>
      <c r="E1511" s="32"/>
      <c r="F1511" s="32"/>
      <c r="G1511" s="32"/>
      <c r="H1511" s="32"/>
      <c r="I1511" s="32"/>
      <c r="J1511" s="28">
        <f t="shared" ref="J1511" si="1276">D1511*J$48</f>
        <v>0</v>
      </c>
      <c r="K1511" s="29"/>
      <c r="L1511" s="29"/>
      <c r="M1511" s="29"/>
      <c r="N1511" s="29"/>
      <c r="O1511" s="29"/>
      <c r="P1511" s="30">
        <f>SUM(J1511:O1511)</f>
        <v>0</v>
      </c>
      <c r="Q1511" s="31">
        <f t="shared" si="1273"/>
        <v>0</v>
      </c>
    </row>
    <row r="1512" spans="1:17" x14ac:dyDescent="0.2">
      <c r="A1512" s="10"/>
      <c r="B1512" s="26"/>
      <c r="C1512" s="11">
        <v>1997</v>
      </c>
      <c r="D1512" s="32">
        <f>SPFI_CLB14!$D$20</f>
        <v>0.201487</v>
      </c>
      <c r="E1512" s="32"/>
      <c r="F1512" s="32"/>
      <c r="G1512" s="32"/>
      <c r="H1512" s="32"/>
      <c r="I1512" s="32"/>
      <c r="J1512" s="28">
        <f t="shared" ref="J1512" si="1277">D1512*J$48</f>
        <v>0</v>
      </c>
      <c r="K1512" s="29"/>
      <c r="L1512" s="29"/>
      <c r="M1512" s="29"/>
      <c r="N1512" s="29"/>
      <c r="O1512" s="29"/>
      <c r="P1512" s="30">
        <f>SUM(J1512:O1512)</f>
        <v>0</v>
      </c>
      <c r="Q1512" s="31">
        <f t="shared" si="1273"/>
        <v>0</v>
      </c>
    </row>
    <row r="1513" spans="1:17" x14ac:dyDescent="0.2">
      <c r="A1513" s="10"/>
      <c r="B1513" s="26"/>
      <c r="C1513" s="11">
        <v>1998</v>
      </c>
      <c r="D1513" s="32">
        <f>SPFI_CLB14!$D$21</f>
        <v>0.37506400000000001</v>
      </c>
      <c r="E1513" s="32"/>
      <c r="F1513" s="32"/>
      <c r="G1513" s="32"/>
      <c r="H1513" s="32"/>
      <c r="I1513" s="32"/>
      <c r="J1513" s="28">
        <f t="shared" ref="J1513" si="1278">D1513*J$48</f>
        <v>0</v>
      </c>
      <c r="K1513" s="29"/>
      <c r="L1513" s="29"/>
      <c r="M1513" s="29"/>
      <c r="N1513" s="29"/>
      <c r="O1513" s="29"/>
      <c r="P1513" s="30">
        <f>SUM(J1513:O1513)</f>
        <v>0</v>
      </c>
      <c r="Q1513" s="31">
        <f t="shared" si="1273"/>
        <v>0</v>
      </c>
    </row>
    <row r="1514" spans="1:17" x14ac:dyDescent="0.2">
      <c r="A1514" s="10"/>
      <c r="B1514" s="26"/>
      <c r="C1514" s="11">
        <v>1999</v>
      </c>
      <c r="D1514" s="32">
        <f>SPFI_CLB14!$D$22</f>
        <v>0.29823699999999997</v>
      </c>
      <c r="E1514" s="32"/>
      <c r="F1514" s="32"/>
      <c r="G1514" s="32"/>
      <c r="H1514" s="32"/>
      <c r="I1514" s="32"/>
      <c r="J1514" s="28">
        <f t="shared" ref="J1514" si="1279">D1514*J$48</f>
        <v>0</v>
      </c>
      <c r="K1514" s="29"/>
      <c r="L1514" s="29"/>
      <c r="M1514" s="29"/>
      <c r="N1514" s="29"/>
      <c r="O1514" s="29"/>
      <c r="P1514" s="30">
        <f>SUM(J1514:O1514)</f>
        <v>0</v>
      </c>
      <c r="Q1514" s="31">
        <f t="shared" ref="Q1514:Q1519" si="1280">IF(C$48&gt;0,P1514/C$48,0)</f>
        <v>0</v>
      </c>
    </row>
    <row r="1515" spans="1:17" x14ac:dyDescent="0.2">
      <c r="A1515" s="10"/>
      <c r="B1515" s="26"/>
      <c r="C1515" s="11">
        <v>2000</v>
      </c>
      <c r="D1515" s="32">
        <f>SPFI_CLB14!$D$23</f>
        <v>8.4414000000000003E-2</v>
      </c>
      <c r="E1515" s="32"/>
      <c r="F1515" s="32"/>
      <c r="G1515" s="32"/>
      <c r="H1515" s="32"/>
      <c r="I1515" s="32"/>
      <c r="J1515" s="28">
        <f t="shared" ref="J1515" si="1281">D1515*J$48</f>
        <v>0</v>
      </c>
      <c r="K1515" s="29"/>
      <c r="L1515" s="29"/>
      <c r="M1515" s="29"/>
      <c r="N1515" s="29"/>
      <c r="O1515" s="29"/>
      <c r="P1515" s="30">
        <f t="shared" ref="P1515:P1520" si="1282">SUM(J1515:O1515)</f>
        <v>0</v>
      </c>
      <c r="Q1515" s="31">
        <f t="shared" si="1280"/>
        <v>0</v>
      </c>
    </row>
    <row r="1516" spans="1:17" x14ac:dyDescent="0.2">
      <c r="A1516" s="10"/>
      <c r="B1516" s="26"/>
      <c r="C1516" s="11">
        <v>2001</v>
      </c>
      <c r="D1516" s="32">
        <f>SPFI_CLB14!$D$24</f>
        <v>7.8909000000000007E-2</v>
      </c>
      <c r="E1516" s="32"/>
      <c r="F1516" s="32"/>
      <c r="G1516" s="32"/>
      <c r="H1516" s="32"/>
      <c r="I1516" s="32"/>
      <c r="J1516" s="28">
        <f t="shared" ref="J1516" si="1283">D1516*J$48</f>
        <v>0</v>
      </c>
      <c r="K1516" s="29"/>
      <c r="L1516" s="29"/>
      <c r="M1516" s="29"/>
      <c r="N1516" s="29"/>
      <c r="O1516" s="29"/>
      <c r="P1516" s="30">
        <f t="shared" si="1282"/>
        <v>0</v>
      </c>
      <c r="Q1516" s="31">
        <f t="shared" si="1280"/>
        <v>0</v>
      </c>
    </row>
    <row r="1517" spans="1:17" x14ac:dyDescent="0.2">
      <c r="A1517" s="10"/>
      <c r="B1517" s="26"/>
      <c r="C1517" s="11">
        <v>2002</v>
      </c>
      <c r="D1517" s="32">
        <f>SPFI_CLB14!$D$25</f>
        <v>0.29974699999999999</v>
      </c>
      <c r="E1517" s="32"/>
      <c r="F1517" s="32"/>
      <c r="G1517" s="32"/>
      <c r="H1517" s="32"/>
      <c r="I1517" s="32"/>
      <c r="J1517" s="28">
        <f t="shared" ref="J1517" si="1284">D1517*J$48</f>
        <v>0</v>
      </c>
      <c r="K1517" s="29"/>
      <c r="L1517" s="29"/>
      <c r="M1517" s="29"/>
      <c r="N1517" s="29"/>
      <c r="O1517" s="29"/>
      <c r="P1517" s="30">
        <f t="shared" si="1282"/>
        <v>0</v>
      </c>
      <c r="Q1517" s="31">
        <f t="shared" si="1280"/>
        <v>0</v>
      </c>
    </row>
    <row r="1518" spans="1:17" x14ac:dyDescent="0.2">
      <c r="A1518" s="10"/>
      <c r="B1518" s="26"/>
      <c r="C1518" s="11">
        <v>2003</v>
      </c>
      <c r="D1518" s="32">
        <f>SPFI_CLB14!$D$26</f>
        <v>0.20691100000000001</v>
      </c>
      <c r="E1518" s="32"/>
      <c r="F1518" s="32"/>
      <c r="G1518" s="32"/>
      <c r="H1518" s="32"/>
      <c r="I1518" s="32"/>
      <c r="J1518" s="28">
        <f t="shared" ref="J1518" si="1285">D1518*J$48</f>
        <v>0</v>
      </c>
      <c r="K1518" s="29"/>
      <c r="L1518" s="29"/>
      <c r="M1518" s="29"/>
      <c r="N1518" s="29"/>
      <c r="O1518" s="29"/>
      <c r="P1518" s="30">
        <f t="shared" si="1282"/>
        <v>0</v>
      </c>
      <c r="Q1518" s="31">
        <f t="shared" si="1280"/>
        <v>0</v>
      </c>
    </row>
    <row r="1519" spans="1:17" x14ac:dyDescent="0.2">
      <c r="A1519" s="10"/>
      <c r="B1519" s="26"/>
      <c r="C1519" s="11">
        <v>2004</v>
      </c>
      <c r="D1519" s="32">
        <f>SPFI_CLB14!$D$27</f>
        <v>0.269237</v>
      </c>
      <c r="E1519" s="32"/>
      <c r="F1519" s="32"/>
      <c r="G1519" s="32"/>
      <c r="H1519" s="32"/>
      <c r="I1519" s="32"/>
      <c r="J1519" s="28">
        <f t="shared" ref="J1519" si="1286">D1519*J$48</f>
        <v>0</v>
      </c>
      <c r="K1519" s="29"/>
      <c r="L1519" s="29"/>
      <c r="M1519" s="29"/>
      <c r="N1519" s="29"/>
      <c r="O1519" s="29"/>
      <c r="P1519" s="30">
        <f t="shared" si="1282"/>
        <v>0</v>
      </c>
      <c r="Q1519" s="31">
        <f t="shared" si="1280"/>
        <v>0</v>
      </c>
    </row>
    <row r="1520" spans="1:17" x14ac:dyDescent="0.2">
      <c r="A1520" s="10"/>
      <c r="B1520" s="26"/>
      <c r="C1520" s="11">
        <v>2005</v>
      </c>
      <c r="D1520" s="32">
        <f>SPFI_CLB14!$D$28</f>
        <v>0.37848700000000002</v>
      </c>
      <c r="E1520" s="32"/>
      <c r="F1520" s="32"/>
      <c r="G1520" s="32"/>
      <c r="H1520" s="32"/>
      <c r="I1520" s="32"/>
      <c r="J1520" s="28">
        <f t="shared" ref="J1520" si="1287">D1520*J$48</f>
        <v>0</v>
      </c>
      <c r="K1520" s="29"/>
      <c r="L1520" s="29"/>
      <c r="M1520" s="29"/>
      <c r="N1520" s="29"/>
      <c r="O1520" s="29"/>
      <c r="P1520" s="30">
        <f t="shared" si="1282"/>
        <v>0</v>
      </c>
      <c r="Q1520" s="31">
        <f t="shared" ref="Q1520:Q1525" si="1288">IF(C$48&gt;0,P1520/C$48,0)</f>
        <v>0</v>
      </c>
    </row>
    <row r="1521" spans="1:17" x14ac:dyDescent="0.2">
      <c r="A1521" s="10"/>
      <c r="B1521" s="26"/>
      <c r="C1521" s="11">
        <v>2006</v>
      </c>
      <c r="D1521" s="32">
        <f>SPFI_CLB14!$D$29</f>
        <v>0.381023</v>
      </c>
      <c r="E1521" s="32"/>
      <c r="F1521" s="32"/>
      <c r="G1521" s="32"/>
      <c r="H1521" s="32"/>
      <c r="I1521" s="32"/>
      <c r="J1521" s="28">
        <f t="shared" ref="J1521" si="1289">D1521*J$48</f>
        <v>0</v>
      </c>
      <c r="K1521" s="29"/>
      <c r="L1521" s="29"/>
      <c r="M1521" s="29"/>
      <c r="N1521" s="29"/>
      <c r="O1521" s="29"/>
      <c r="P1521" s="30">
        <f t="shared" ref="P1521:P1528" si="1290">SUM(J1521:O1521)</f>
        <v>0</v>
      </c>
      <c r="Q1521" s="31">
        <f t="shared" si="1288"/>
        <v>0</v>
      </c>
    </row>
    <row r="1522" spans="1:17" x14ac:dyDescent="0.2">
      <c r="A1522" s="10"/>
      <c r="B1522" s="26"/>
      <c r="C1522" s="11">
        <v>2007</v>
      </c>
      <c r="D1522" s="32">
        <f>SPFI_CLB14!$D$30</f>
        <v>0.356512</v>
      </c>
      <c r="E1522" s="32"/>
      <c r="F1522" s="32"/>
      <c r="G1522" s="32"/>
      <c r="H1522" s="32"/>
      <c r="I1522" s="32"/>
      <c r="J1522" s="28">
        <f t="shared" ref="J1522" si="1291">D1522*J$48</f>
        <v>0</v>
      </c>
      <c r="K1522" s="29"/>
      <c r="L1522" s="29"/>
      <c r="M1522" s="29"/>
      <c r="N1522" s="29"/>
      <c r="O1522" s="29"/>
      <c r="P1522" s="30">
        <f t="shared" si="1290"/>
        <v>0</v>
      </c>
      <c r="Q1522" s="31">
        <f t="shared" si="1288"/>
        <v>0</v>
      </c>
    </row>
    <row r="1523" spans="1:17" x14ac:dyDescent="0.2">
      <c r="A1523" s="10"/>
      <c r="B1523" s="26"/>
      <c r="C1523" s="11">
        <v>2008</v>
      </c>
      <c r="D1523" s="32">
        <f>SPFI_CLB14!$D$31</f>
        <v>0.25494499999999998</v>
      </c>
      <c r="E1523" s="32"/>
      <c r="F1523" s="32"/>
      <c r="G1523" s="32"/>
      <c r="H1523" s="32"/>
      <c r="I1523" s="32"/>
      <c r="J1523" s="28">
        <f t="shared" ref="J1523" si="1292">D1523*J$48</f>
        <v>0</v>
      </c>
      <c r="K1523" s="29"/>
      <c r="L1523" s="29"/>
      <c r="M1523" s="29"/>
      <c r="N1523" s="29"/>
      <c r="O1523" s="29"/>
      <c r="P1523" s="30">
        <f t="shared" si="1290"/>
        <v>0</v>
      </c>
      <c r="Q1523" s="31">
        <f t="shared" si="1288"/>
        <v>0</v>
      </c>
    </row>
    <row r="1524" spans="1:17" x14ac:dyDescent="0.2">
      <c r="A1524" s="10"/>
      <c r="B1524" s="26"/>
      <c r="C1524" s="11">
        <v>2009</v>
      </c>
      <c r="D1524" s="32">
        <f>SPFI_CLB14!$D$32</f>
        <v>0.52383000000000002</v>
      </c>
      <c r="E1524" s="32"/>
      <c r="F1524" s="32"/>
      <c r="G1524" s="32"/>
      <c r="H1524" s="32"/>
      <c r="I1524" s="32"/>
      <c r="J1524" s="28">
        <f t="shared" ref="J1524" si="1293">D1524*J$48</f>
        <v>0</v>
      </c>
      <c r="K1524" s="29"/>
      <c r="L1524" s="29"/>
      <c r="M1524" s="29"/>
      <c r="N1524" s="29"/>
      <c r="O1524" s="29"/>
      <c r="P1524" s="30">
        <f t="shared" si="1290"/>
        <v>0</v>
      </c>
      <c r="Q1524" s="31">
        <f t="shared" si="1288"/>
        <v>0</v>
      </c>
    </row>
    <row r="1525" spans="1:17" x14ac:dyDescent="0.2">
      <c r="A1525" s="10"/>
      <c r="B1525" s="26"/>
      <c r="C1525" s="11">
        <v>2010</v>
      </c>
      <c r="D1525" s="32">
        <f>SPFI_CLB14!$D$33</f>
        <v>0.31394</v>
      </c>
      <c r="E1525" s="32"/>
      <c r="F1525" s="32"/>
      <c r="G1525" s="32"/>
      <c r="H1525" s="32"/>
      <c r="I1525" s="32"/>
      <c r="J1525" s="28">
        <f t="shared" ref="J1525" si="1294">D1525*J$48</f>
        <v>0</v>
      </c>
      <c r="K1525" s="29"/>
      <c r="L1525" s="29"/>
      <c r="M1525" s="29"/>
      <c r="N1525" s="29"/>
      <c r="O1525" s="29"/>
      <c r="P1525" s="30">
        <f t="shared" si="1290"/>
        <v>0</v>
      </c>
      <c r="Q1525" s="31">
        <f t="shared" si="1288"/>
        <v>0</v>
      </c>
    </row>
    <row r="1526" spans="1:17" x14ac:dyDescent="0.2">
      <c r="A1526" s="10"/>
      <c r="B1526" s="26"/>
      <c r="C1526" s="11">
        <v>2011</v>
      </c>
      <c r="D1526" s="32">
        <f>SPFI_CLB14!$D$34</f>
        <v>0.294348</v>
      </c>
      <c r="E1526" s="32"/>
      <c r="F1526" s="32"/>
      <c r="G1526" s="32"/>
      <c r="H1526" s="32"/>
      <c r="I1526" s="32"/>
      <c r="J1526" s="28">
        <f t="shared" ref="J1526" si="1295">D1526*J$48</f>
        <v>0</v>
      </c>
      <c r="K1526" s="29"/>
      <c r="L1526" s="29"/>
      <c r="M1526" s="29"/>
      <c r="N1526" s="29"/>
      <c r="O1526" s="29"/>
      <c r="P1526" s="30">
        <f t="shared" ref="P1526" si="1296">SUM(J1526:O1526)</f>
        <v>0</v>
      </c>
      <c r="Q1526" s="31">
        <f t="shared" ref="Q1526" si="1297">IF(C$48&gt;0,P1526/C$48,0)</f>
        <v>0</v>
      </c>
    </row>
    <row r="1527" spans="1:17" x14ac:dyDescent="0.2">
      <c r="A1527" s="10"/>
      <c r="B1527" s="26"/>
      <c r="C1527" s="11">
        <v>2012</v>
      </c>
      <c r="D1527" s="32">
        <f>SPFI_CLB14!$D$35</f>
        <v>0.34784100000000001</v>
      </c>
      <c r="E1527" s="32"/>
      <c r="F1527" s="32"/>
      <c r="G1527" s="32"/>
      <c r="H1527" s="32"/>
      <c r="I1527" s="32"/>
      <c r="J1527" s="28">
        <f t="shared" ref="J1527" si="1298">D1527*J$48</f>
        <v>0</v>
      </c>
      <c r="K1527" s="29"/>
      <c r="L1527" s="29"/>
      <c r="M1527" s="29"/>
      <c r="N1527" s="29"/>
      <c r="O1527" s="29"/>
      <c r="P1527" s="30">
        <f t="shared" ref="P1527" si="1299">SUM(J1527:O1527)</f>
        <v>0</v>
      </c>
      <c r="Q1527" s="31">
        <f t="shared" ref="Q1527" si="1300">IF(C$48&gt;0,P1527/C$48,0)</f>
        <v>0</v>
      </c>
    </row>
    <row r="1528" spans="1:17" x14ac:dyDescent="0.2">
      <c r="A1528" s="5" t="s">
        <v>17</v>
      </c>
      <c r="B1528" s="21">
        <v>3</v>
      </c>
      <c r="C1528" s="6">
        <v>1982</v>
      </c>
      <c r="D1528" s="27">
        <f>SPFI_CLB14!$D$5</f>
        <v>0.98153299999999999</v>
      </c>
      <c r="E1528" s="27"/>
      <c r="F1528" s="27"/>
      <c r="G1528" s="27"/>
      <c r="H1528" s="27"/>
      <c r="I1528" s="27"/>
      <c r="J1528" s="33">
        <f t="shared" ref="J1528:J1540" si="1301">D1528*J$49</f>
        <v>0</v>
      </c>
      <c r="K1528" s="27"/>
      <c r="L1528" s="27"/>
      <c r="M1528" s="27"/>
      <c r="N1528" s="27"/>
      <c r="O1528" s="27"/>
      <c r="P1528" s="34">
        <f t="shared" si="1290"/>
        <v>0</v>
      </c>
      <c r="Q1528" s="35">
        <f t="shared" ref="Q1528:Q1544" si="1302">IF(C$49&gt;0,P1528/C$49,0)</f>
        <v>0</v>
      </c>
    </row>
    <row r="1529" spans="1:17" x14ac:dyDescent="0.2">
      <c r="A1529" s="10"/>
      <c r="B1529" s="26"/>
      <c r="C1529" s="11">
        <v>1983</v>
      </c>
      <c r="D1529" s="32">
        <f>SPFI_CLB14!$D$6</f>
        <v>0.93659899999999996</v>
      </c>
      <c r="E1529" s="32"/>
      <c r="F1529" s="32"/>
      <c r="G1529" s="32"/>
      <c r="H1529" s="32"/>
      <c r="I1529" s="32"/>
      <c r="J1529" s="28">
        <f t="shared" si="1301"/>
        <v>0</v>
      </c>
      <c r="K1529" s="29"/>
      <c r="L1529" s="29"/>
      <c r="M1529" s="29"/>
      <c r="N1529" s="29"/>
      <c r="O1529" s="29"/>
      <c r="P1529" s="30">
        <f t="shared" ref="P1529:P1540" si="1303">SUM(J1529:O1529)</f>
        <v>0</v>
      </c>
      <c r="Q1529" s="31">
        <f t="shared" si="1302"/>
        <v>0</v>
      </c>
    </row>
    <row r="1530" spans="1:17" x14ac:dyDescent="0.2">
      <c r="A1530" s="10"/>
      <c r="B1530" s="26"/>
      <c r="C1530" s="11">
        <v>1984</v>
      </c>
      <c r="D1530" s="32">
        <f>SPFI_CLB14!$D$7</f>
        <v>0.92793599999999998</v>
      </c>
      <c r="E1530" s="32"/>
      <c r="F1530" s="32"/>
      <c r="G1530" s="32"/>
      <c r="H1530" s="32"/>
      <c r="I1530" s="32"/>
      <c r="J1530" s="28">
        <f t="shared" si="1301"/>
        <v>0</v>
      </c>
      <c r="K1530" s="29"/>
      <c r="L1530" s="29"/>
      <c r="M1530" s="29"/>
      <c r="N1530" s="29"/>
      <c r="O1530" s="29"/>
      <c r="P1530" s="30">
        <f t="shared" si="1303"/>
        <v>0</v>
      </c>
      <c r="Q1530" s="31">
        <f t="shared" si="1302"/>
        <v>0</v>
      </c>
    </row>
    <row r="1531" spans="1:17" x14ac:dyDescent="0.2">
      <c r="A1531" s="10"/>
      <c r="B1531" s="26"/>
      <c r="C1531" s="11">
        <v>1985</v>
      </c>
      <c r="D1531" s="32">
        <f>SPFI_CLB14!$D$8</f>
        <v>0.90386500000000003</v>
      </c>
      <c r="E1531" s="32"/>
      <c r="F1531" s="32"/>
      <c r="G1531" s="32"/>
      <c r="H1531" s="32"/>
      <c r="I1531" s="32"/>
      <c r="J1531" s="28">
        <f t="shared" si="1301"/>
        <v>0</v>
      </c>
      <c r="K1531" s="29"/>
      <c r="L1531" s="29"/>
      <c r="M1531" s="29"/>
      <c r="N1531" s="29"/>
      <c r="O1531" s="29"/>
      <c r="P1531" s="30">
        <f t="shared" si="1303"/>
        <v>0</v>
      </c>
      <c r="Q1531" s="31">
        <f t="shared" si="1302"/>
        <v>0</v>
      </c>
    </row>
    <row r="1532" spans="1:17" x14ac:dyDescent="0.2">
      <c r="A1532" s="10"/>
      <c r="B1532" s="26"/>
      <c r="C1532" s="11">
        <v>1986</v>
      </c>
      <c r="D1532" s="32">
        <f>SPFI_CLB14!$D$9</f>
        <v>0.73087500000000005</v>
      </c>
      <c r="E1532" s="32"/>
      <c r="F1532" s="32"/>
      <c r="G1532" s="32"/>
      <c r="H1532" s="32"/>
      <c r="I1532" s="32"/>
      <c r="J1532" s="28">
        <f t="shared" si="1301"/>
        <v>0</v>
      </c>
      <c r="K1532" s="29"/>
      <c r="L1532" s="29"/>
      <c r="M1532" s="29"/>
      <c r="N1532" s="29"/>
      <c r="O1532" s="29"/>
      <c r="P1532" s="30">
        <f t="shared" si="1303"/>
        <v>0</v>
      </c>
      <c r="Q1532" s="31">
        <f t="shared" si="1302"/>
        <v>0</v>
      </c>
    </row>
    <row r="1533" spans="1:17" x14ac:dyDescent="0.2">
      <c r="A1533" s="10"/>
      <c r="B1533" s="26"/>
      <c r="C1533" s="11">
        <v>1987</v>
      </c>
      <c r="D1533" s="32">
        <f>SPFI_CLB14!$D$10</f>
        <v>0.71733499999999994</v>
      </c>
      <c r="E1533" s="32"/>
      <c r="F1533" s="32"/>
      <c r="G1533" s="32"/>
      <c r="H1533" s="32"/>
      <c r="I1533" s="32"/>
      <c r="J1533" s="28">
        <f t="shared" si="1301"/>
        <v>0</v>
      </c>
      <c r="K1533" s="29"/>
      <c r="L1533" s="29"/>
      <c r="M1533" s="29"/>
      <c r="N1533" s="29"/>
      <c r="O1533" s="29"/>
      <c r="P1533" s="30">
        <f t="shared" si="1303"/>
        <v>0</v>
      </c>
      <c r="Q1533" s="31">
        <f t="shared" si="1302"/>
        <v>0</v>
      </c>
    </row>
    <row r="1534" spans="1:17" x14ac:dyDescent="0.2">
      <c r="A1534" s="10"/>
      <c r="B1534" s="26"/>
      <c r="C1534" s="11">
        <v>1988</v>
      </c>
      <c r="D1534" s="32">
        <f>SPFI_CLB14!$D$11</f>
        <v>0.64558800000000005</v>
      </c>
      <c r="E1534" s="32"/>
      <c r="F1534" s="32"/>
      <c r="G1534" s="32"/>
      <c r="H1534" s="32"/>
      <c r="I1534" s="32"/>
      <c r="J1534" s="28">
        <f t="shared" si="1301"/>
        <v>0</v>
      </c>
      <c r="K1534" s="29"/>
      <c r="L1534" s="29"/>
      <c r="M1534" s="29"/>
      <c r="N1534" s="29"/>
      <c r="O1534" s="29"/>
      <c r="P1534" s="30">
        <f t="shared" si="1303"/>
        <v>0</v>
      </c>
      <c r="Q1534" s="31">
        <f t="shared" si="1302"/>
        <v>0</v>
      </c>
    </row>
    <row r="1535" spans="1:17" x14ac:dyDescent="0.2">
      <c r="A1535" s="10"/>
      <c r="B1535" s="26"/>
      <c r="C1535" s="11">
        <v>1989</v>
      </c>
      <c r="D1535" s="32">
        <f>SPFI_CLB14!$D$12</f>
        <v>0.65287700000000004</v>
      </c>
      <c r="E1535" s="32"/>
      <c r="F1535" s="32"/>
      <c r="G1535" s="32"/>
      <c r="H1535" s="32"/>
      <c r="I1535" s="32"/>
      <c r="J1535" s="28">
        <f t="shared" si="1301"/>
        <v>0</v>
      </c>
      <c r="K1535" s="29"/>
      <c r="L1535" s="29"/>
      <c r="M1535" s="29"/>
      <c r="N1535" s="29"/>
      <c r="O1535" s="29"/>
      <c r="P1535" s="30">
        <f t="shared" si="1303"/>
        <v>0</v>
      </c>
      <c r="Q1535" s="31">
        <f t="shared" si="1302"/>
        <v>0</v>
      </c>
    </row>
    <row r="1536" spans="1:17" x14ac:dyDescent="0.2">
      <c r="A1536" s="10"/>
      <c r="B1536" s="26"/>
      <c r="C1536" s="11">
        <v>1990</v>
      </c>
      <c r="D1536" s="32">
        <f>SPFI_CLB14!$D$13</f>
        <v>0.56965100000000002</v>
      </c>
      <c r="E1536" s="32"/>
      <c r="F1536" s="32"/>
      <c r="G1536" s="32"/>
      <c r="H1536" s="32"/>
      <c r="I1536" s="32"/>
      <c r="J1536" s="28">
        <f t="shared" si="1301"/>
        <v>0</v>
      </c>
      <c r="K1536" s="29"/>
      <c r="L1536" s="29"/>
      <c r="M1536" s="29"/>
      <c r="N1536" s="29"/>
      <c r="O1536" s="29"/>
      <c r="P1536" s="30">
        <f t="shared" si="1303"/>
        <v>0</v>
      </c>
      <c r="Q1536" s="31">
        <f t="shared" si="1302"/>
        <v>0</v>
      </c>
    </row>
    <row r="1537" spans="1:17" x14ac:dyDescent="0.2">
      <c r="A1537" s="10"/>
      <c r="B1537" s="26"/>
      <c r="C1537" s="11">
        <v>1991</v>
      </c>
      <c r="D1537" s="32">
        <f>SPFI_CLB14!$D$14</f>
        <v>0.62776900000000002</v>
      </c>
      <c r="E1537" s="32"/>
      <c r="F1537" s="32"/>
      <c r="G1537" s="32"/>
      <c r="H1537" s="32"/>
      <c r="I1537" s="32"/>
      <c r="J1537" s="28">
        <f t="shared" si="1301"/>
        <v>0</v>
      </c>
      <c r="K1537" s="29"/>
      <c r="L1537" s="29"/>
      <c r="M1537" s="29"/>
      <c r="N1537" s="29"/>
      <c r="O1537" s="29"/>
      <c r="P1537" s="30">
        <f t="shared" si="1303"/>
        <v>0</v>
      </c>
      <c r="Q1537" s="31">
        <f t="shared" si="1302"/>
        <v>0</v>
      </c>
    </row>
    <row r="1538" spans="1:17" x14ac:dyDescent="0.2">
      <c r="A1538" s="10"/>
      <c r="B1538" s="26"/>
      <c r="C1538" s="11">
        <v>1992</v>
      </c>
      <c r="D1538" s="32">
        <f>SPFI_CLB14!$D$15</f>
        <v>0.43504100000000001</v>
      </c>
      <c r="E1538" s="32"/>
      <c r="F1538" s="32"/>
      <c r="G1538" s="32"/>
      <c r="H1538" s="32"/>
      <c r="I1538" s="32"/>
      <c r="J1538" s="28">
        <f t="shared" si="1301"/>
        <v>0</v>
      </c>
      <c r="K1538" s="29"/>
      <c r="L1538" s="29"/>
      <c r="M1538" s="29"/>
      <c r="N1538" s="29"/>
      <c r="O1538" s="29"/>
      <c r="P1538" s="30">
        <f t="shared" si="1303"/>
        <v>0</v>
      </c>
      <c r="Q1538" s="31">
        <f t="shared" si="1302"/>
        <v>0</v>
      </c>
    </row>
    <row r="1539" spans="1:17" x14ac:dyDescent="0.2">
      <c r="A1539" s="10"/>
      <c r="B1539" s="26"/>
      <c r="C1539" s="11">
        <v>1993</v>
      </c>
      <c r="D1539" s="32">
        <f>SPFI_CLB14!$D$16</f>
        <v>0.499164</v>
      </c>
      <c r="E1539" s="32"/>
      <c r="F1539" s="32"/>
      <c r="G1539" s="32"/>
      <c r="H1539" s="32"/>
      <c r="I1539" s="32"/>
      <c r="J1539" s="28">
        <f t="shared" si="1301"/>
        <v>0</v>
      </c>
      <c r="K1539" s="29"/>
      <c r="L1539" s="29"/>
      <c r="M1539" s="29"/>
      <c r="N1539" s="29"/>
      <c r="O1539" s="29"/>
      <c r="P1539" s="30">
        <f t="shared" si="1303"/>
        <v>0</v>
      </c>
      <c r="Q1539" s="31">
        <f t="shared" si="1302"/>
        <v>0</v>
      </c>
    </row>
    <row r="1540" spans="1:17" x14ac:dyDescent="0.2">
      <c r="A1540" s="10"/>
      <c r="B1540" s="26"/>
      <c r="C1540" s="11">
        <v>1994</v>
      </c>
      <c r="D1540" s="32">
        <f>SPFI_CLB14!$D$17</f>
        <v>0.59591300000000003</v>
      </c>
      <c r="E1540" s="32"/>
      <c r="F1540" s="32"/>
      <c r="G1540" s="32"/>
      <c r="H1540" s="32"/>
      <c r="I1540" s="32"/>
      <c r="J1540" s="28">
        <f t="shared" si="1301"/>
        <v>0</v>
      </c>
      <c r="K1540" s="29"/>
      <c r="L1540" s="29"/>
      <c r="M1540" s="29"/>
      <c r="N1540" s="29"/>
      <c r="O1540" s="29"/>
      <c r="P1540" s="30">
        <f t="shared" si="1303"/>
        <v>0</v>
      </c>
      <c r="Q1540" s="31">
        <f t="shared" si="1302"/>
        <v>0</v>
      </c>
    </row>
    <row r="1541" spans="1:17" x14ac:dyDescent="0.2">
      <c r="A1541" s="10"/>
      <c r="B1541" s="26"/>
      <c r="C1541" s="11">
        <v>1995</v>
      </c>
      <c r="D1541" s="32">
        <f>SPFI_CLB14!$D$18</f>
        <v>0.25400800000000001</v>
      </c>
      <c r="E1541" s="32"/>
      <c r="F1541" s="32"/>
      <c r="G1541" s="32"/>
      <c r="H1541" s="32"/>
      <c r="I1541" s="32"/>
      <c r="J1541" s="28">
        <f t="shared" ref="J1541" si="1304">D1541*J$49</f>
        <v>0</v>
      </c>
      <c r="K1541" s="29"/>
      <c r="L1541" s="29"/>
      <c r="M1541" s="29"/>
      <c r="N1541" s="29"/>
      <c r="O1541" s="29"/>
      <c r="P1541" s="30">
        <f>SUM(J1541:O1541)</f>
        <v>0</v>
      </c>
      <c r="Q1541" s="31">
        <f t="shared" si="1302"/>
        <v>0</v>
      </c>
    </row>
    <row r="1542" spans="1:17" x14ac:dyDescent="0.2">
      <c r="A1542" s="10"/>
      <c r="B1542" s="26"/>
      <c r="C1542" s="11">
        <v>1996</v>
      </c>
      <c r="D1542" s="32">
        <f>SPFI_CLB14!$D$19</f>
        <v>0</v>
      </c>
      <c r="E1542" s="32"/>
      <c r="F1542" s="32"/>
      <c r="G1542" s="32"/>
      <c r="H1542" s="32"/>
      <c r="I1542" s="32"/>
      <c r="J1542" s="28">
        <f t="shared" ref="J1542" si="1305">D1542*J$49</f>
        <v>0</v>
      </c>
      <c r="K1542" s="29"/>
      <c r="L1542" s="29"/>
      <c r="M1542" s="29"/>
      <c r="N1542" s="29"/>
      <c r="O1542" s="29"/>
      <c r="P1542" s="30">
        <f>SUM(J1542:O1542)</f>
        <v>0</v>
      </c>
      <c r="Q1542" s="31">
        <f t="shared" si="1302"/>
        <v>0</v>
      </c>
    </row>
    <row r="1543" spans="1:17" x14ac:dyDescent="0.2">
      <c r="A1543" s="10"/>
      <c r="B1543" s="26"/>
      <c r="C1543" s="11">
        <v>1997</v>
      </c>
      <c r="D1543" s="32">
        <f>SPFI_CLB14!$D$20</f>
        <v>0.201487</v>
      </c>
      <c r="E1543" s="32"/>
      <c r="F1543" s="32"/>
      <c r="G1543" s="32"/>
      <c r="H1543" s="32"/>
      <c r="I1543" s="32"/>
      <c r="J1543" s="28">
        <f t="shared" ref="J1543" si="1306">D1543*J$49</f>
        <v>0</v>
      </c>
      <c r="K1543" s="29"/>
      <c r="L1543" s="29"/>
      <c r="M1543" s="29"/>
      <c r="N1543" s="29"/>
      <c r="O1543" s="29"/>
      <c r="P1543" s="30">
        <f>SUM(J1543:O1543)</f>
        <v>0</v>
      </c>
      <c r="Q1543" s="31">
        <f t="shared" si="1302"/>
        <v>0</v>
      </c>
    </row>
    <row r="1544" spans="1:17" x14ac:dyDescent="0.2">
      <c r="A1544" s="10"/>
      <c r="B1544" s="26"/>
      <c r="C1544" s="11">
        <v>1998</v>
      </c>
      <c r="D1544" s="32">
        <f>SPFI_CLB14!$D$21</f>
        <v>0.37506400000000001</v>
      </c>
      <c r="E1544" s="32"/>
      <c r="F1544" s="32"/>
      <c r="G1544" s="32"/>
      <c r="H1544" s="32"/>
      <c r="I1544" s="32"/>
      <c r="J1544" s="28">
        <f t="shared" ref="J1544" si="1307">D1544*J$49</f>
        <v>0</v>
      </c>
      <c r="K1544" s="29"/>
      <c r="L1544" s="29"/>
      <c r="M1544" s="29"/>
      <c r="N1544" s="29"/>
      <c r="O1544" s="29"/>
      <c r="P1544" s="30">
        <f>SUM(J1544:O1544)</f>
        <v>0</v>
      </c>
      <c r="Q1544" s="31">
        <f t="shared" si="1302"/>
        <v>0</v>
      </c>
    </row>
    <row r="1545" spans="1:17" x14ac:dyDescent="0.2">
      <c r="A1545" s="10"/>
      <c r="B1545" s="26"/>
      <c r="C1545" s="11">
        <v>1999</v>
      </c>
      <c r="D1545" s="32">
        <f>SPFI_CLB14!$D$22</f>
        <v>0.29823699999999997</v>
      </c>
      <c r="E1545" s="32"/>
      <c r="F1545" s="32"/>
      <c r="G1545" s="32"/>
      <c r="H1545" s="32"/>
      <c r="I1545" s="32"/>
      <c r="J1545" s="28">
        <f t="shared" ref="J1545" si="1308">D1545*J$49</f>
        <v>0</v>
      </c>
      <c r="K1545" s="29"/>
      <c r="L1545" s="29"/>
      <c r="M1545" s="29"/>
      <c r="N1545" s="29"/>
      <c r="O1545" s="29"/>
      <c r="P1545" s="30">
        <f>SUM(J1545:O1545)</f>
        <v>0</v>
      </c>
      <c r="Q1545" s="31">
        <f t="shared" ref="Q1545:Q1550" si="1309">IF(C$49&gt;0,P1545/C$49,0)</f>
        <v>0</v>
      </c>
    </row>
    <row r="1546" spans="1:17" x14ac:dyDescent="0.2">
      <c r="A1546" s="10"/>
      <c r="B1546" s="26"/>
      <c r="C1546" s="11">
        <v>2000</v>
      </c>
      <c r="D1546" s="32">
        <f>SPFI_CLB14!$D$23</f>
        <v>8.4414000000000003E-2</v>
      </c>
      <c r="E1546" s="32"/>
      <c r="F1546" s="32"/>
      <c r="G1546" s="32"/>
      <c r="H1546" s="32"/>
      <c r="I1546" s="32"/>
      <c r="J1546" s="28">
        <f t="shared" ref="J1546" si="1310">D1546*J$49</f>
        <v>0</v>
      </c>
      <c r="K1546" s="29"/>
      <c r="L1546" s="29"/>
      <c r="M1546" s="29"/>
      <c r="N1546" s="29"/>
      <c r="O1546" s="29"/>
      <c r="P1546" s="30">
        <f t="shared" ref="P1546:P1551" si="1311">SUM(J1546:O1546)</f>
        <v>0</v>
      </c>
      <c r="Q1546" s="31">
        <f t="shared" si="1309"/>
        <v>0</v>
      </c>
    </row>
    <row r="1547" spans="1:17" x14ac:dyDescent="0.2">
      <c r="A1547" s="10"/>
      <c r="B1547" s="26"/>
      <c r="C1547" s="11">
        <v>2001</v>
      </c>
      <c r="D1547" s="32">
        <f>SPFI_CLB14!$D$24</f>
        <v>7.8909000000000007E-2</v>
      </c>
      <c r="E1547" s="32"/>
      <c r="F1547" s="32"/>
      <c r="G1547" s="32"/>
      <c r="H1547" s="32"/>
      <c r="I1547" s="32"/>
      <c r="J1547" s="28">
        <f t="shared" ref="J1547" si="1312">D1547*J$49</f>
        <v>0</v>
      </c>
      <c r="K1547" s="29"/>
      <c r="L1547" s="29"/>
      <c r="M1547" s="29"/>
      <c r="N1547" s="29"/>
      <c r="O1547" s="29"/>
      <c r="P1547" s="30">
        <f t="shared" si="1311"/>
        <v>0</v>
      </c>
      <c r="Q1547" s="31">
        <f t="shared" si="1309"/>
        <v>0</v>
      </c>
    </row>
    <row r="1548" spans="1:17" x14ac:dyDescent="0.2">
      <c r="A1548" s="10"/>
      <c r="B1548" s="26"/>
      <c r="C1548" s="11">
        <v>2002</v>
      </c>
      <c r="D1548" s="32">
        <f>SPFI_CLB14!$D$25</f>
        <v>0.29974699999999999</v>
      </c>
      <c r="E1548" s="32"/>
      <c r="F1548" s="32"/>
      <c r="G1548" s="32"/>
      <c r="H1548" s="32"/>
      <c r="I1548" s="32"/>
      <c r="J1548" s="28">
        <f t="shared" ref="J1548" si="1313">D1548*J$49</f>
        <v>0</v>
      </c>
      <c r="K1548" s="29"/>
      <c r="L1548" s="29"/>
      <c r="M1548" s="29"/>
      <c r="N1548" s="29"/>
      <c r="O1548" s="29"/>
      <c r="P1548" s="30">
        <f t="shared" si="1311"/>
        <v>0</v>
      </c>
      <c r="Q1548" s="31">
        <f t="shared" si="1309"/>
        <v>0</v>
      </c>
    </row>
    <row r="1549" spans="1:17" x14ac:dyDescent="0.2">
      <c r="A1549" s="10"/>
      <c r="B1549" s="26"/>
      <c r="C1549" s="11">
        <v>2003</v>
      </c>
      <c r="D1549" s="32">
        <f>SPFI_CLB14!$D$26</f>
        <v>0.20691100000000001</v>
      </c>
      <c r="E1549" s="32"/>
      <c r="F1549" s="32"/>
      <c r="G1549" s="32"/>
      <c r="H1549" s="32"/>
      <c r="I1549" s="32"/>
      <c r="J1549" s="28">
        <f t="shared" ref="J1549" si="1314">D1549*J$49</f>
        <v>0</v>
      </c>
      <c r="K1549" s="29"/>
      <c r="L1549" s="29"/>
      <c r="M1549" s="29"/>
      <c r="N1549" s="29"/>
      <c r="O1549" s="29"/>
      <c r="P1549" s="30">
        <f t="shared" si="1311"/>
        <v>0</v>
      </c>
      <c r="Q1549" s="31">
        <f t="shared" si="1309"/>
        <v>0</v>
      </c>
    </row>
    <row r="1550" spans="1:17" x14ac:dyDescent="0.2">
      <c r="A1550" s="10"/>
      <c r="B1550" s="26"/>
      <c r="C1550" s="11">
        <v>2004</v>
      </c>
      <c r="D1550" s="32">
        <f>SPFI_CLB14!$D$27</f>
        <v>0.269237</v>
      </c>
      <c r="E1550" s="32"/>
      <c r="F1550" s="32"/>
      <c r="G1550" s="32"/>
      <c r="H1550" s="32"/>
      <c r="I1550" s="32"/>
      <c r="J1550" s="28">
        <f t="shared" ref="J1550" si="1315">D1550*J$49</f>
        <v>0</v>
      </c>
      <c r="K1550" s="29"/>
      <c r="L1550" s="29"/>
      <c r="M1550" s="29"/>
      <c r="N1550" s="29"/>
      <c r="O1550" s="29"/>
      <c r="P1550" s="30">
        <f t="shared" si="1311"/>
        <v>0</v>
      </c>
      <c r="Q1550" s="31">
        <f t="shared" si="1309"/>
        <v>0</v>
      </c>
    </row>
    <row r="1551" spans="1:17" x14ac:dyDescent="0.2">
      <c r="A1551" s="10"/>
      <c r="B1551" s="26"/>
      <c r="C1551" s="11">
        <v>2005</v>
      </c>
      <c r="D1551" s="32">
        <f>SPFI_CLB14!$D$28</f>
        <v>0.37848700000000002</v>
      </c>
      <c r="E1551" s="32"/>
      <c r="F1551" s="32"/>
      <c r="G1551" s="32"/>
      <c r="H1551" s="32"/>
      <c r="I1551" s="32"/>
      <c r="J1551" s="28">
        <f t="shared" ref="J1551" si="1316">D1551*J$49</f>
        <v>0</v>
      </c>
      <c r="K1551" s="29"/>
      <c r="L1551" s="29"/>
      <c r="M1551" s="29"/>
      <c r="N1551" s="29"/>
      <c r="O1551" s="29"/>
      <c r="P1551" s="30">
        <f t="shared" si="1311"/>
        <v>0</v>
      </c>
      <c r="Q1551" s="31">
        <f t="shared" ref="Q1551:Q1556" si="1317">IF(C$49&gt;0,P1551/C$49,0)</f>
        <v>0</v>
      </c>
    </row>
    <row r="1552" spans="1:17" x14ac:dyDescent="0.2">
      <c r="A1552" s="10"/>
      <c r="B1552" s="26"/>
      <c r="C1552" s="11">
        <v>2006</v>
      </c>
      <c r="D1552" s="32">
        <f>SPFI_CLB14!$D$29</f>
        <v>0.381023</v>
      </c>
      <c r="E1552" s="32"/>
      <c r="F1552" s="32"/>
      <c r="G1552" s="32"/>
      <c r="H1552" s="32"/>
      <c r="I1552" s="32"/>
      <c r="J1552" s="28">
        <f t="shared" ref="J1552" si="1318">D1552*J$49</f>
        <v>0</v>
      </c>
      <c r="K1552" s="29"/>
      <c r="L1552" s="29"/>
      <c r="M1552" s="29"/>
      <c r="N1552" s="29"/>
      <c r="O1552" s="29"/>
      <c r="P1552" s="30">
        <f t="shared" ref="P1552:P1559" si="1319">SUM(J1552:O1552)</f>
        <v>0</v>
      </c>
      <c r="Q1552" s="31">
        <f t="shared" si="1317"/>
        <v>0</v>
      </c>
    </row>
    <row r="1553" spans="1:17" x14ac:dyDescent="0.2">
      <c r="A1553" s="10"/>
      <c r="B1553" s="26"/>
      <c r="C1553" s="11">
        <v>2007</v>
      </c>
      <c r="D1553" s="32">
        <f>SPFI_CLB14!$D$30</f>
        <v>0.356512</v>
      </c>
      <c r="E1553" s="32"/>
      <c r="F1553" s="32"/>
      <c r="G1553" s="32"/>
      <c r="H1553" s="32"/>
      <c r="I1553" s="32"/>
      <c r="J1553" s="28">
        <f t="shared" ref="J1553" si="1320">D1553*J$49</f>
        <v>0</v>
      </c>
      <c r="K1553" s="29"/>
      <c r="L1553" s="29"/>
      <c r="M1553" s="29"/>
      <c r="N1553" s="29"/>
      <c r="O1553" s="29"/>
      <c r="P1553" s="30">
        <f t="shared" si="1319"/>
        <v>0</v>
      </c>
      <c r="Q1553" s="31">
        <f t="shared" si="1317"/>
        <v>0</v>
      </c>
    </row>
    <row r="1554" spans="1:17" x14ac:dyDescent="0.2">
      <c r="A1554" s="10"/>
      <c r="B1554" s="26"/>
      <c r="C1554" s="11">
        <v>2008</v>
      </c>
      <c r="D1554" s="32">
        <f>SPFI_CLB14!$D$31</f>
        <v>0.25494499999999998</v>
      </c>
      <c r="E1554" s="32"/>
      <c r="F1554" s="32"/>
      <c r="G1554" s="32"/>
      <c r="H1554" s="32"/>
      <c r="I1554" s="32"/>
      <c r="J1554" s="28">
        <f t="shared" ref="J1554" si="1321">D1554*J$49</f>
        <v>0</v>
      </c>
      <c r="K1554" s="29"/>
      <c r="L1554" s="29"/>
      <c r="M1554" s="29"/>
      <c r="N1554" s="29"/>
      <c r="O1554" s="29"/>
      <c r="P1554" s="30">
        <f t="shared" si="1319"/>
        <v>0</v>
      </c>
      <c r="Q1554" s="31">
        <f t="shared" si="1317"/>
        <v>0</v>
      </c>
    </row>
    <row r="1555" spans="1:17" x14ac:dyDescent="0.2">
      <c r="A1555" s="10"/>
      <c r="B1555" s="26"/>
      <c r="C1555" s="11">
        <v>2009</v>
      </c>
      <c r="D1555" s="32">
        <f>SPFI_CLB14!$D$32</f>
        <v>0.52383000000000002</v>
      </c>
      <c r="E1555" s="32"/>
      <c r="F1555" s="32"/>
      <c r="G1555" s="32"/>
      <c r="H1555" s="32"/>
      <c r="I1555" s="32"/>
      <c r="J1555" s="28">
        <f t="shared" ref="J1555" si="1322">D1555*J$49</f>
        <v>0</v>
      </c>
      <c r="K1555" s="29"/>
      <c r="L1555" s="29"/>
      <c r="M1555" s="29"/>
      <c r="N1555" s="29"/>
      <c r="O1555" s="29"/>
      <c r="P1555" s="30">
        <f t="shared" si="1319"/>
        <v>0</v>
      </c>
      <c r="Q1555" s="31">
        <f t="shared" si="1317"/>
        <v>0</v>
      </c>
    </row>
    <row r="1556" spans="1:17" x14ac:dyDescent="0.2">
      <c r="A1556" s="10"/>
      <c r="B1556" s="26"/>
      <c r="C1556" s="11">
        <v>2010</v>
      </c>
      <c r="D1556" s="32">
        <f>SPFI_CLB14!$D$33</f>
        <v>0.31394</v>
      </c>
      <c r="E1556" s="32"/>
      <c r="F1556" s="32"/>
      <c r="G1556" s="32"/>
      <c r="H1556" s="32"/>
      <c r="I1556" s="32"/>
      <c r="J1556" s="28">
        <f t="shared" ref="J1556" si="1323">D1556*J$49</f>
        <v>0</v>
      </c>
      <c r="K1556" s="29"/>
      <c r="L1556" s="29"/>
      <c r="M1556" s="29"/>
      <c r="N1556" s="29"/>
      <c r="O1556" s="29"/>
      <c r="P1556" s="30">
        <f t="shared" si="1319"/>
        <v>0</v>
      </c>
      <c r="Q1556" s="31">
        <f t="shared" si="1317"/>
        <v>0</v>
      </c>
    </row>
    <row r="1557" spans="1:17" x14ac:dyDescent="0.2">
      <c r="A1557" s="10"/>
      <c r="B1557" s="26"/>
      <c r="C1557" s="11">
        <v>2011</v>
      </c>
      <c r="D1557" s="32">
        <f>SPFI_CLB14!$D$34</f>
        <v>0.294348</v>
      </c>
      <c r="E1557" s="32"/>
      <c r="F1557" s="32"/>
      <c r="G1557" s="32"/>
      <c r="H1557" s="32"/>
      <c r="I1557" s="32"/>
      <c r="J1557" s="28">
        <f t="shared" ref="J1557" si="1324">D1557*J$49</f>
        <v>0</v>
      </c>
      <c r="K1557" s="29"/>
      <c r="L1557" s="29"/>
      <c r="M1557" s="29"/>
      <c r="N1557" s="29"/>
      <c r="O1557" s="29"/>
      <c r="P1557" s="30">
        <f t="shared" ref="P1557" si="1325">SUM(J1557:O1557)</f>
        <v>0</v>
      </c>
      <c r="Q1557" s="31">
        <f t="shared" ref="Q1557" si="1326">IF(C$49&gt;0,P1557/C$49,0)</f>
        <v>0</v>
      </c>
    </row>
    <row r="1558" spans="1:17" x14ac:dyDescent="0.2">
      <c r="A1558" s="10"/>
      <c r="B1558" s="26"/>
      <c r="C1558" s="11">
        <v>2012</v>
      </c>
      <c r="D1558" s="32">
        <f>SPFI_CLB14!$D$35</f>
        <v>0.34784100000000001</v>
      </c>
      <c r="E1558" s="32"/>
      <c r="F1558" s="32"/>
      <c r="G1558" s="32"/>
      <c r="H1558" s="32"/>
      <c r="I1558" s="32"/>
      <c r="J1558" s="28">
        <f t="shared" ref="J1558" si="1327">D1558*J$49</f>
        <v>0</v>
      </c>
      <c r="K1558" s="29"/>
      <c r="L1558" s="29"/>
      <c r="M1558" s="29"/>
      <c r="N1558" s="29"/>
      <c r="O1558" s="29"/>
      <c r="P1558" s="30">
        <f t="shared" ref="P1558" si="1328">SUM(J1558:O1558)</f>
        <v>0</v>
      </c>
      <c r="Q1558" s="31">
        <f t="shared" ref="Q1558" si="1329">IF(C$49&gt;0,P1558/C$49,0)</f>
        <v>0</v>
      </c>
    </row>
    <row r="1559" spans="1:17" x14ac:dyDescent="0.2">
      <c r="A1559" s="5" t="s">
        <v>17</v>
      </c>
      <c r="B1559" s="21">
        <v>4</v>
      </c>
      <c r="C1559" s="6">
        <v>1982</v>
      </c>
      <c r="D1559" s="27">
        <f>SPFI_CLB14!$D$5</f>
        <v>0.98153299999999999</v>
      </c>
      <c r="E1559" s="27"/>
      <c r="F1559" s="27"/>
      <c r="G1559" s="27"/>
      <c r="H1559" s="27"/>
      <c r="I1559" s="27"/>
      <c r="J1559" s="33">
        <f t="shared" ref="J1559:J1571" si="1330">D1559*J$50</f>
        <v>0</v>
      </c>
      <c r="K1559" s="27"/>
      <c r="L1559" s="27"/>
      <c r="M1559" s="27"/>
      <c r="N1559" s="27"/>
      <c r="O1559" s="27"/>
      <c r="P1559" s="34">
        <f t="shared" si="1319"/>
        <v>0</v>
      </c>
      <c r="Q1559" s="35">
        <f t="shared" ref="Q1559:Q1575" si="1331">IF(C$50&gt;0,P1559/C$50,0)</f>
        <v>0</v>
      </c>
    </row>
    <row r="1560" spans="1:17" x14ac:dyDescent="0.2">
      <c r="A1560" s="10"/>
      <c r="B1560" s="26"/>
      <c r="C1560" s="11">
        <v>1983</v>
      </c>
      <c r="D1560" s="32">
        <f>SPFI_CLB14!$D$6</f>
        <v>0.93659899999999996</v>
      </c>
      <c r="E1560" s="32"/>
      <c r="F1560" s="32"/>
      <c r="G1560" s="32"/>
      <c r="H1560" s="32"/>
      <c r="I1560" s="32"/>
      <c r="J1560" s="28">
        <f t="shared" si="1330"/>
        <v>0</v>
      </c>
      <c r="K1560" s="29"/>
      <c r="L1560" s="29"/>
      <c r="M1560" s="29"/>
      <c r="N1560" s="29"/>
      <c r="O1560" s="29"/>
      <c r="P1560" s="30">
        <f t="shared" ref="P1560:P1571" si="1332">SUM(J1560:O1560)</f>
        <v>0</v>
      </c>
      <c r="Q1560" s="31">
        <f t="shared" si="1331"/>
        <v>0</v>
      </c>
    </row>
    <row r="1561" spans="1:17" x14ac:dyDescent="0.2">
      <c r="A1561" s="10"/>
      <c r="B1561" s="26"/>
      <c r="C1561" s="11">
        <v>1984</v>
      </c>
      <c r="D1561" s="32">
        <f>SPFI_CLB14!$D$7</f>
        <v>0.92793599999999998</v>
      </c>
      <c r="E1561" s="32"/>
      <c r="F1561" s="32"/>
      <c r="G1561" s="32"/>
      <c r="H1561" s="32"/>
      <c r="I1561" s="32"/>
      <c r="J1561" s="28">
        <f t="shared" si="1330"/>
        <v>0</v>
      </c>
      <c r="K1561" s="29"/>
      <c r="L1561" s="29"/>
      <c r="M1561" s="29"/>
      <c r="N1561" s="29"/>
      <c r="O1561" s="29"/>
      <c r="P1561" s="30">
        <f t="shared" si="1332"/>
        <v>0</v>
      </c>
      <c r="Q1561" s="31">
        <f t="shared" si="1331"/>
        <v>0</v>
      </c>
    </row>
    <row r="1562" spans="1:17" x14ac:dyDescent="0.2">
      <c r="A1562" s="10"/>
      <c r="B1562" s="26"/>
      <c r="C1562" s="11">
        <v>1985</v>
      </c>
      <c r="D1562" s="32">
        <f>SPFI_CLB14!$D$8</f>
        <v>0.90386500000000003</v>
      </c>
      <c r="E1562" s="32"/>
      <c r="F1562" s="32"/>
      <c r="G1562" s="32"/>
      <c r="H1562" s="32"/>
      <c r="I1562" s="32"/>
      <c r="J1562" s="28">
        <f t="shared" si="1330"/>
        <v>0</v>
      </c>
      <c r="K1562" s="29"/>
      <c r="L1562" s="29"/>
      <c r="M1562" s="29"/>
      <c r="N1562" s="29"/>
      <c r="O1562" s="29"/>
      <c r="P1562" s="30">
        <f t="shared" si="1332"/>
        <v>0</v>
      </c>
      <c r="Q1562" s="31">
        <f t="shared" si="1331"/>
        <v>0</v>
      </c>
    </row>
    <row r="1563" spans="1:17" x14ac:dyDescent="0.2">
      <c r="A1563" s="10"/>
      <c r="B1563" s="26"/>
      <c r="C1563" s="11">
        <v>1986</v>
      </c>
      <c r="D1563" s="32">
        <f>SPFI_CLB14!$D$9</f>
        <v>0.73087500000000005</v>
      </c>
      <c r="E1563" s="32"/>
      <c r="F1563" s="32"/>
      <c r="G1563" s="32"/>
      <c r="H1563" s="32"/>
      <c r="I1563" s="32"/>
      <c r="J1563" s="28">
        <f t="shared" si="1330"/>
        <v>0</v>
      </c>
      <c r="K1563" s="29"/>
      <c r="L1563" s="29"/>
      <c r="M1563" s="29"/>
      <c r="N1563" s="29"/>
      <c r="O1563" s="29"/>
      <c r="P1563" s="30">
        <f t="shared" si="1332"/>
        <v>0</v>
      </c>
      <c r="Q1563" s="31">
        <f t="shared" si="1331"/>
        <v>0</v>
      </c>
    </row>
    <row r="1564" spans="1:17" x14ac:dyDescent="0.2">
      <c r="A1564" s="10"/>
      <c r="B1564" s="26"/>
      <c r="C1564" s="11">
        <v>1987</v>
      </c>
      <c r="D1564" s="32">
        <f>SPFI_CLB14!$D$10</f>
        <v>0.71733499999999994</v>
      </c>
      <c r="E1564" s="32"/>
      <c r="F1564" s="32"/>
      <c r="G1564" s="32"/>
      <c r="H1564" s="32"/>
      <c r="I1564" s="32"/>
      <c r="J1564" s="28">
        <f t="shared" si="1330"/>
        <v>0</v>
      </c>
      <c r="K1564" s="29"/>
      <c r="L1564" s="29"/>
      <c r="M1564" s="29"/>
      <c r="N1564" s="29"/>
      <c r="O1564" s="29"/>
      <c r="P1564" s="30">
        <f t="shared" si="1332"/>
        <v>0</v>
      </c>
      <c r="Q1564" s="31">
        <f t="shared" si="1331"/>
        <v>0</v>
      </c>
    </row>
    <row r="1565" spans="1:17" x14ac:dyDescent="0.2">
      <c r="A1565" s="10"/>
      <c r="B1565" s="26"/>
      <c r="C1565" s="11">
        <v>1988</v>
      </c>
      <c r="D1565" s="32">
        <f>SPFI_CLB14!$D$11</f>
        <v>0.64558800000000005</v>
      </c>
      <c r="E1565" s="32"/>
      <c r="F1565" s="32"/>
      <c r="G1565" s="32"/>
      <c r="H1565" s="32"/>
      <c r="I1565" s="32"/>
      <c r="J1565" s="28">
        <f t="shared" si="1330"/>
        <v>0</v>
      </c>
      <c r="K1565" s="29"/>
      <c r="L1565" s="29"/>
      <c r="M1565" s="29"/>
      <c r="N1565" s="29"/>
      <c r="O1565" s="29"/>
      <c r="P1565" s="30">
        <f t="shared" si="1332"/>
        <v>0</v>
      </c>
      <c r="Q1565" s="31">
        <f t="shared" si="1331"/>
        <v>0</v>
      </c>
    </row>
    <row r="1566" spans="1:17" x14ac:dyDescent="0.2">
      <c r="A1566" s="10"/>
      <c r="B1566" s="26"/>
      <c r="C1566" s="11">
        <v>1989</v>
      </c>
      <c r="D1566" s="32">
        <f>SPFI_CLB14!$D$12</f>
        <v>0.65287700000000004</v>
      </c>
      <c r="E1566" s="32"/>
      <c r="F1566" s="32"/>
      <c r="G1566" s="32"/>
      <c r="H1566" s="32"/>
      <c r="I1566" s="32"/>
      <c r="J1566" s="28">
        <f t="shared" si="1330"/>
        <v>0</v>
      </c>
      <c r="K1566" s="29"/>
      <c r="L1566" s="29"/>
      <c r="M1566" s="29"/>
      <c r="N1566" s="29"/>
      <c r="O1566" s="29"/>
      <c r="P1566" s="30">
        <f t="shared" si="1332"/>
        <v>0</v>
      </c>
      <c r="Q1566" s="31">
        <f t="shared" si="1331"/>
        <v>0</v>
      </c>
    </row>
    <row r="1567" spans="1:17" x14ac:dyDescent="0.2">
      <c r="A1567" s="10"/>
      <c r="B1567" s="26"/>
      <c r="C1567" s="11">
        <v>1990</v>
      </c>
      <c r="D1567" s="32">
        <f>SPFI_CLB14!$D$13</f>
        <v>0.56965100000000002</v>
      </c>
      <c r="E1567" s="32"/>
      <c r="F1567" s="32"/>
      <c r="G1567" s="32"/>
      <c r="H1567" s="32"/>
      <c r="I1567" s="32"/>
      <c r="J1567" s="28">
        <f t="shared" si="1330"/>
        <v>0</v>
      </c>
      <c r="K1567" s="29"/>
      <c r="L1567" s="29"/>
      <c r="M1567" s="29"/>
      <c r="N1567" s="29"/>
      <c r="O1567" s="29"/>
      <c r="P1567" s="30">
        <f t="shared" si="1332"/>
        <v>0</v>
      </c>
      <c r="Q1567" s="31">
        <f t="shared" si="1331"/>
        <v>0</v>
      </c>
    </row>
    <row r="1568" spans="1:17" x14ac:dyDescent="0.2">
      <c r="A1568" s="10"/>
      <c r="B1568" s="26"/>
      <c r="C1568" s="11">
        <v>1991</v>
      </c>
      <c r="D1568" s="32">
        <f>SPFI_CLB14!$D$14</f>
        <v>0.62776900000000002</v>
      </c>
      <c r="E1568" s="32"/>
      <c r="F1568" s="32"/>
      <c r="G1568" s="32"/>
      <c r="H1568" s="32"/>
      <c r="I1568" s="32"/>
      <c r="J1568" s="28">
        <f t="shared" si="1330"/>
        <v>0</v>
      </c>
      <c r="K1568" s="29"/>
      <c r="L1568" s="29"/>
      <c r="M1568" s="29"/>
      <c r="N1568" s="29"/>
      <c r="O1568" s="29"/>
      <c r="P1568" s="30">
        <f t="shared" si="1332"/>
        <v>0</v>
      </c>
      <c r="Q1568" s="31">
        <f t="shared" si="1331"/>
        <v>0</v>
      </c>
    </row>
    <row r="1569" spans="1:17" x14ac:dyDescent="0.2">
      <c r="A1569" s="10"/>
      <c r="B1569" s="26"/>
      <c r="C1569" s="11">
        <v>1992</v>
      </c>
      <c r="D1569" s="32">
        <f>SPFI_CLB14!$D$15</f>
        <v>0.43504100000000001</v>
      </c>
      <c r="E1569" s="32"/>
      <c r="F1569" s="32"/>
      <c r="G1569" s="32"/>
      <c r="H1569" s="32"/>
      <c r="I1569" s="32"/>
      <c r="J1569" s="28">
        <f t="shared" si="1330"/>
        <v>0</v>
      </c>
      <c r="K1569" s="29"/>
      <c r="L1569" s="29"/>
      <c r="M1569" s="29"/>
      <c r="N1569" s="29"/>
      <c r="O1569" s="29"/>
      <c r="P1569" s="30">
        <f t="shared" si="1332"/>
        <v>0</v>
      </c>
      <c r="Q1569" s="31">
        <f t="shared" si="1331"/>
        <v>0</v>
      </c>
    </row>
    <row r="1570" spans="1:17" x14ac:dyDescent="0.2">
      <c r="A1570" s="10"/>
      <c r="B1570" s="26"/>
      <c r="C1570" s="11">
        <v>1993</v>
      </c>
      <c r="D1570" s="32">
        <f>SPFI_CLB14!$D$16</f>
        <v>0.499164</v>
      </c>
      <c r="E1570" s="32"/>
      <c r="F1570" s="32"/>
      <c r="G1570" s="32"/>
      <c r="H1570" s="32"/>
      <c r="I1570" s="32"/>
      <c r="J1570" s="28">
        <f t="shared" si="1330"/>
        <v>0</v>
      </c>
      <c r="K1570" s="29"/>
      <c r="L1570" s="29"/>
      <c r="M1570" s="29"/>
      <c r="N1570" s="29"/>
      <c r="O1570" s="29"/>
      <c r="P1570" s="30">
        <f t="shared" si="1332"/>
        <v>0</v>
      </c>
      <c r="Q1570" s="31">
        <f t="shared" si="1331"/>
        <v>0</v>
      </c>
    </row>
    <row r="1571" spans="1:17" x14ac:dyDescent="0.2">
      <c r="A1571" s="10"/>
      <c r="B1571" s="26"/>
      <c r="C1571" s="11">
        <v>1994</v>
      </c>
      <c r="D1571" s="32">
        <f>SPFI_CLB14!$D$17</f>
        <v>0.59591300000000003</v>
      </c>
      <c r="E1571" s="32"/>
      <c r="F1571" s="32"/>
      <c r="G1571" s="32"/>
      <c r="H1571" s="32"/>
      <c r="I1571" s="32"/>
      <c r="J1571" s="28">
        <f t="shared" si="1330"/>
        <v>0</v>
      </c>
      <c r="K1571" s="29"/>
      <c r="L1571" s="29"/>
      <c r="M1571" s="29"/>
      <c r="N1571" s="29"/>
      <c r="O1571" s="29"/>
      <c r="P1571" s="30">
        <f t="shared" si="1332"/>
        <v>0</v>
      </c>
      <c r="Q1571" s="31">
        <f t="shared" si="1331"/>
        <v>0</v>
      </c>
    </row>
    <row r="1572" spans="1:17" x14ac:dyDescent="0.2">
      <c r="A1572" s="10"/>
      <c r="B1572" s="26"/>
      <c r="C1572" s="11">
        <v>1995</v>
      </c>
      <c r="D1572" s="32">
        <f>SPFI_CLB14!$D$18</f>
        <v>0.25400800000000001</v>
      </c>
      <c r="E1572" s="32"/>
      <c r="F1572" s="32"/>
      <c r="G1572" s="32"/>
      <c r="H1572" s="32"/>
      <c r="I1572" s="32"/>
      <c r="J1572" s="28">
        <f t="shared" ref="J1572" si="1333">D1572*J$50</f>
        <v>0</v>
      </c>
      <c r="K1572" s="29"/>
      <c r="L1572" s="29"/>
      <c r="M1572" s="29"/>
      <c r="N1572" s="29"/>
      <c r="O1572" s="29"/>
      <c r="P1572" s="30">
        <f>SUM(J1572:O1572)</f>
        <v>0</v>
      </c>
      <c r="Q1572" s="31">
        <f t="shared" si="1331"/>
        <v>0</v>
      </c>
    </row>
    <row r="1573" spans="1:17" x14ac:dyDescent="0.2">
      <c r="A1573" s="10"/>
      <c r="B1573" s="26"/>
      <c r="C1573" s="11">
        <v>1996</v>
      </c>
      <c r="D1573" s="32">
        <f>SPFI_CLB14!$D$19</f>
        <v>0</v>
      </c>
      <c r="E1573" s="32"/>
      <c r="F1573" s="32"/>
      <c r="G1573" s="32"/>
      <c r="H1573" s="32"/>
      <c r="I1573" s="32"/>
      <c r="J1573" s="28">
        <f t="shared" ref="J1573" si="1334">D1573*J$50</f>
        <v>0</v>
      </c>
      <c r="K1573" s="29"/>
      <c r="L1573" s="29"/>
      <c r="M1573" s="29"/>
      <c r="N1573" s="29"/>
      <c r="O1573" s="29"/>
      <c r="P1573" s="30">
        <f>SUM(J1573:O1573)</f>
        <v>0</v>
      </c>
      <c r="Q1573" s="31">
        <f t="shared" si="1331"/>
        <v>0</v>
      </c>
    </row>
    <row r="1574" spans="1:17" x14ac:dyDescent="0.2">
      <c r="A1574" s="10"/>
      <c r="B1574" s="26"/>
      <c r="C1574" s="11">
        <v>1997</v>
      </c>
      <c r="D1574" s="32">
        <f>SPFI_CLB14!$D$20</f>
        <v>0.201487</v>
      </c>
      <c r="E1574" s="32"/>
      <c r="F1574" s="32"/>
      <c r="G1574" s="32"/>
      <c r="H1574" s="32"/>
      <c r="I1574" s="32"/>
      <c r="J1574" s="28">
        <f t="shared" ref="J1574" si="1335">D1574*J$50</f>
        <v>0</v>
      </c>
      <c r="K1574" s="29"/>
      <c r="L1574" s="29"/>
      <c r="M1574" s="29"/>
      <c r="N1574" s="29"/>
      <c r="O1574" s="29"/>
      <c r="P1574" s="30">
        <f>SUM(J1574:O1574)</f>
        <v>0</v>
      </c>
      <c r="Q1574" s="31">
        <f t="shared" si="1331"/>
        <v>0</v>
      </c>
    </row>
    <row r="1575" spans="1:17" x14ac:dyDescent="0.2">
      <c r="A1575" s="10"/>
      <c r="B1575" s="26"/>
      <c r="C1575" s="11">
        <v>1998</v>
      </c>
      <c r="D1575" s="32">
        <f>SPFI_CLB14!$D$21</f>
        <v>0.37506400000000001</v>
      </c>
      <c r="E1575" s="32"/>
      <c r="F1575" s="32"/>
      <c r="G1575" s="32"/>
      <c r="H1575" s="32"/>
      <c r="I1575" s="32"/>
      <c r="J1575" s="28">
        <f t="shared" ref="J1575" si="1336">D1575*J$50</f>
        <v>0</v>
      </c>
      <c r="K1575" s="29"/>
      <c r="L1575" s="29"/>
      <c r="M1575" s="29"/>
      <c r="N1575" s="29"/>
      <c r="O1575" s="29"/>
      <c r="P1575" s="30">
        <f>SUM(J1575:O1575)</f>
        <v>0</v>
      </c>
      <c r="Q1575" s="31">
        <f t="shared" si="1331"/>
        <v>0</v>
      </c>
    </row>
    <row r="1576" spans="1:17" x14ac:dyDescent="0.2">
      <c r="A1576" s="10"/>
      <c r="B1576" s="26"/>
      <c r="C1576" s="11">
        <v>1999</v>
      </c>
      <c r="D1576" s="32">
        <f>SPFI_CLB14!$D$22</f>
        <v>0.29823699999999997</v>
      </c>
      <c r="E1576" s="32"/>
      <c r="F1576" s="32"/>
      <c r="G1576" s="32"/>
      <c r="H1576" s="32"/>
      <c r="I1576" s="32"/>
      <c r="J1576" s="28">
        <f t="shared" ref="J1576" si="1337">D1576*J$50</f>
        <v>0</v>
      </c>
      <c r="K1576" s="29"/>
      <c r="L1576" s="29"/>
      <c r="M1576" s="29"/>
      <c r="N1576" s="29"/>
      <c r="O1576" s="29"/>
      <c r="P1576" s="30">
        <f>SUM(J1576:O1576)</f>
        <v>0</v>
      </c>
      <c r="Q1576" s="31">
        <f t="shared" ref="Q1576:Q1581" si="1338">IF(C$50&gt;0,P1576/C$50,0)</f>
        <v>0</v>
      </c>
    </row>
    <row r="1577" spans="1:17" x14ac:dyDescent="0.2">
      <c r="A1577" s="10"/>
      <c r="B1577" s="26"/>
      <c r="C1577" s="11">
        <v>2000</v>
      </c>
      <c r="D1577" s="32">
        <f>SPFI_CLB14!$D$23</f>
        <v>8.4414000000000003E-2</v>
      </c>
      <c r="E1577" s="32"/>
      <c r="F1577" s="32"/>
      <c r="G1577" s="32"/>
      <c r="H1577" s="32"/>
      <c r="I1577" s="32"/>
      <c r="J1577" s="28">
        <f t="shared" ref="J1577" si="1339">D1577*J$50</f>
        <v>0</v>
      </c>
      <c r="K1577" s="29"/>
      <c r="L1577" s="29"/>
      <c r="M1577" s="29"/>
      <c r="N1577" s="29"/>
      <c r="O1577" s="29"/>
      <c r="P1577" s="30">
        <f t="shared" ref="P1577:P1582" si="1340">SUM(J1577:O1577)</f>
        <v>0</v>
      </c>
      <c r="Q1577" s="31">
        <f t="shared" si="1338"/>
        <v>0</v>
      </c>
    </row>
    <row r="1578" spans="1:17" x14ac:dyDescent="0.2">
      <c r="A1578" s="10"/>
      <c r="B1578" s="26"/>
      <c r="C1578" s="11">
        <v>2001</v>
      </c>
      <c r="D1578" s="32">
        <f>SPFI_CLB14!$D$24</f>
        <v>7.8909000000000007E-2</v>
      </c>
      <c r="E1578" s="32"/>
      <c r="F1578" s="32"/>
      <c r="G1578" s="32"/>
      <c r="H1578" s="32"/>
      <c r="I1578" s="32"/>
      <c r="J1578" s="28">
        <f t="shared" ref="J1578" si="1341">D1578*J$50</f>
        <v>0</v>
      </c>
      <c r="K1578" s="29"/>
      <c r="L1578" s="29"/>
      <c r="M1578" s="29"/>
      <c r="N1578" s="29"/>
      <c r="O1578" s="29"/>
      <c r="P1578" s="30">
        <f t="shared" si="1340"/>
        <v>0</v>
      </c>
      <c r="Q1578" s="31">
        <f t="shared" si="1338"/>
        <v>0</v>
      </c>
    </row>
    <row r="1579" spans="1:17" x14ac:dyDescent="0.2">
      <c r="A1579" s="10"/>
      <c r="B1579" s="26"/>
      <c r="C1579" s="11">
        <v>2002</v>
      </c>
      <c r="D1579" s="32">
        <f>SPFI_CLB14!$D$25</f>
        <v>0.29974699999999999</v>
      </c>
      <c r="E1579" s="32"/>
      <c r="F1579" s="32"/>
      <c r="G1579" s="32"/>
      <c r="H1579" s="32"/>
      <c r="I1579" s="32"/>
      <c r="J1579" s="28">
        <f t="shared" ref="J1579" si="1342">D1579*J$50</f>
        <v>0</v>
      </c>
      <c r="K1579" s="29"/>
      <c r="L1579" s="29"/>
      <c r="M1579" s="29"/>
      <c r="N1579" s="29"/>
      <c r="O1579" s="29"/>
      <c r="P1579" s="30">
        <f t="shared" si="1340"/>
        <v>0</v>
      </c>
      <c r="Q1579" s="31">
        <f t="shared" si="1338"/>
        <v>0</v>
      </c>
    </row>
    <row r="1580" spans="1:17" x14ac:dyDescent="0.2">
      <c r="A1580" s="10"/>
      <c r="B1580" s="26"/>
      <c r="C1580" s="11">
        <v>2003</v>
      </c>
      <c r="D1580" s="32">
        <f>SPFI_CLB14!$D$26</f>
        <v>0.20691100000000001</v>
      </c>
      <c r="E1580" s="32"/>
      <c r="F1580" s="32"/>
      <c r="G1580" s="32"/>
      <c r="H1580" s="32"/>
      <c r="I1580" s="32"/>
      <c r="J1580" s="28">
        <f t="shared" ref="J1580" si="1343">D1580*J$50</f>
        <v>0</v>
      </c>
      <c r="K1580" s="29"/>
      <c r="L1580" s="29"/>
      <c r="M1580" s="29"/>
      <c r="N1580" s="29"/>
      <c r="O1580" s="29"/>
      <c r="P1580" s="30">
        <f t="shared" si="1340"/>
        <v>0</v>
      </c>
      <c r="Q1580" s="31">
        <f t="shared" si="1338"/>
        <v>0</v>
      </c>
    </row>
    <row r="1581" spans="1:17" x14ac:dyDescent="0.2">
      <c r="A1581" s="10"/>
      <c r="B1581" s="26"/>
      <c r="C1581" s="11">
        <v>2004</v>
      </c>
      <c r="D1581" s="32">
        <f>SPFI_CLB14!$D$27</f>
        <v>0.269237</v>
      </c>
      <c r="E1581" s="32"/>
      <c r="F1581" s="32"/>
      <c r="G1581" s="32"/>
      <c r="H1581" s="32"/>
      <c r="I1581" s="32"/>
      <c r="J1581" s="28">
        <f t="shared" ref="J1581" si="1344">D1581*J$50</f>
        <v>0</v>
      </c>
      <c r="K1581" s="29"/>
      <c r="L1581" s="29"/>
      <c r="M1581" s="29"/>
      <c r="N1581" s="29"/>
      <c r="O1581" s="29"/>
      <c r="P1581" s="30">
        <f t="shared" si="1340"/>
        <v>0</v>
      </c>
      <c r="Q1581" s="31">
        <f t="shared" si="1338"/>
        <v>0</v>
      </c>
    </row>
    <row r="1582" spans="1:17" x14ac:dyDescent="0.2">
      <c r="A1582" s="10"/>
      <c r="B1582" s="26"/>
      <c r="C1582" s="11">
        <v>2005</v>
      </c>
      <c r="D1582" s="32">
        <f>SPFI_CLB14!$D$28</f>
        <v>0.37848700000000002</v>
      </c>
      <c r="E1582" s="32"/>
      <c r="F1582" s="32"/>
      <c r="G1582" s="32"/>
      <c r="H1582" s="32"/>
      <c r="I1582" s="32"/>
      <c r="J1582" s="28">
        <f t="shared" ref="J1582" si="1345">D1582*J$50</f>
        <v>0</v>
      </c>
      <c r="K1582" s="29"/>
      <c r="L1582" s="29"/>
      <c r="M1582" s="29"/>
      <c r="N1582" s="29"/>
      <c r="O1582" s="29"/>
      <c r="P1582" s="30">
        <f t="shared" si="1340"/>
        <v>0</v>
      </c>
      <c r="Q1582" s="31">
        <f t="shared" ref="Q1582:Q1587" si="1346">IF(C$50&gt;0,P1582/C$50,0)</f>
        <v>0</v>
      </c>
    </row>
    <row r="1583" spans="1:17" x14ac:dyDescent="0.2">
      <c r="A1583" s="10"/>
      <c r="B1583" s="26"/>
      <c r="C1583" s="11">
        <v>2006</v>
      </c>
      <c r="D1583" s="32">
        <f>SPFI_CLB14!$D$29</f>
        <v>0.381023</v>
      </c>
      <c r="E1583" s="32"/>
      <c r="F1583" s="32"/>
      <c r="G1583" s="32"/>
      <c r="H1583" s="32"/>
      <c r="I1583" s="32"/>
      <c r="J1583" s="28">
        <f t="shared" ref="J1583" si="1347">D1583*J$50</f>
        <v>0</v>
      </c>
      <c r="K1583" s="29"/>
      <c r="L1583" s="29"/>
      <c r="M1583" s="29"/>
      <c r="N1583" s="29"/>
      <c r="O1583" s="29"/>
      <c r="P1583" s="30">
        <f t="shared" ref="P1583:P1590" si="1348">SUM(J1583:O1583)</f>
        <v>0</v>
      </c>
      <c r="Q1583" s="31">
        <f t="shared" si="1346"/>
        <v>0</v>
      </c>
    </row>
    <row r="1584" spans="1:17" x14ac:dyDescent="0.2">
      <c r="A1584" s="10"/>
      <c r="B1584" s="26"/>
      <c r="C1584" s="11">
        <v>2007</v>
      </c>
      <c r="D1584" s="32">
        <f>SPFI_CLB14!$D$30</f>
        <v>0.356512</v>
      </c>
      <c r="E1584" s="32"/>
      <c r="F1584" s="32"/>
      <c r="G1584" s="32"/>
      <c r="H1584" s="32"/>
      <c r="I1584" s="32"/>
      <c r="J1584" s="28">
        <f t="shared" ref="J1584" si="1349">D1584*J$50</f>
        <v>0</v>
      </c>
      <c r="K1584" s="29"/>
      <c r="L1584" s="29"/>
      <c r="M1584" s="29"/>
      <c r="N1584" s="29"/>
      <c r="O1584" s="29"/>
      <c r="P1584" s="30">
        <f t="shared" si="1348"/>
        <v>0</v>
      </c>
      <c r="Q1584" s="31">
        <f t="shared" si="1346"/>
        <v>0</v>
      </c>
    </row>
    <row r="1585" spans="1:17" x14ac:dyDescent="0.2">
      <c r="A1585" s="10"/>
      <c r="B1585" s="26"/>
      <c r="C1585" s="11">
        <v>2008</v>
      </c>
      <c r="D1585" s="32">
        <f>SPFI_CLB14!$D$31</f>
        <v>0.25494499999999998</v>
      </c>
      <c r="E1585" s="32"/>
      <c r="F1585" s="32"/>
      <c r="G1585" s="32"/>
      <c r="H1585" s="32"/>
      <c r="I1585" s="32"/>
      <c r="J1585" s="28">
        <f t="shared" ref="J1585" si="1350">D1585*J$50</f>
        <v>0</v>
      </c>
      <c r="K1585" s="29"/>
      <c r="L1585" s="29"/>
      <c r="M1585" s="29"/>
      <c r="N1585" s="29"/>
      <c r="O1585" s="29"/>
      <c r="P1585" s="30">
        <f t="shared" si="1348"/>
        <v>0</v>
      </c>
      <c r="Q1585" s="31">
        <f t="shared" si="1346"/>
        <v>0</v>
      </c>
    </row>
    <row r="1586" spans="1:17" x14ac:dyDescent="0.2">
      <c r="A1586" s="10"/>
      <c r="B1586" s="26"/>
      <c r="C1586" s="11">
        <v>2009</v>
      </c>
      <c r="D1586" s="32">
        <f>SPFI_CLB14!$D$32</f>
        <v>0.52383000000000002</v>
      </c>
      <c r="E1586" s="32"/>
      <c r="F1586" s="32"/>
      <c r="G1586" s="32"/>
      <c r="H1586" s="32"/>
      <c r="I1586" s="32"/>
      <c r="J1586" s="28">
        <f t="shared" ref="J1586" si="1351">D1586*J$50</f>
        <v>0</v>
      </c>
      <c r="K1586" s="29"/>
      <c r="L1586" s="29"/>
      <c r="M1586" s="29"/>
      <c r="N1586" s="29"/>
      <c r="O1586" s="29"/>
      <c r="P1586" s="30">
        <f t="shared" si="1348"/>
        <v>0</v>
      </c>
      <c r="Q1586" s="31">
        <f t="shared" si="1346"/>
        <v>0</v>
      </c>
    </row>
    <row r="1587" spans="1:17" x14ac:dyDescent="0.2">
      <c r="A1587" s="10"/>
      <c r="B1587" s="26"/>
      <c r="C1587" s="11">
        <v>2010</v>
      </c>
      <c r="D1587" s="32">
        <f>SPFI_CLB14!$D$33</f>
        <v>0.31394</v>
      </c>
      <c r="E1587" s="32"/>
      <c r="F1587" s="32"/>
      <c r="G1587" s="32"/>
      <c r="H1587" s="32"/>
      <c r="I1587" s="32"/>
      <c r="J1587" s="28">
        <f t="shared" ref="J1587" si="1352">D1587*J$50</f>
        <v>0</v>
      </c>
      <c r="K1587" s="29"/>
      <c r="L1587" s="29"/>
      <c r="M1587" s="29"/>
      <c r="N1587" s="29"/>
      <c r="O1587" s="29"/>
      <c r="P1587" s="30">
        <f t="shared" si="1348"/>
        <v>0</v>
      </c>
      <c r="Q1587" s="31">
        <f t="shared" si="1346"/>
        <v>0</v>
      </c>
    </row>
    <row r="1588" spans="1:17" x14ac:dyDescent="0.2">
      <c r="A1588" s="10"/>
      <c r="B1588" s="26"/>
      <c r="C1588" s="11">
        <v>2011</v>
      </c>
      <c r="D1588" s="32">
        <f>SPFI_CLB14!$D$34</f>
        <v>0.294348</v>
      </c>
      <c r="E1588" s="32"/>
      <c r="F1588" s="32"/>
      <c r="G1588" s="32"/>
      <c r="H1588" s="32"/>
      <c r="I1588" s="32"/>
      <c r="J1588" s="28">
        <f t="shared" ref="J1588" si="1353">D1588*J$50</f>
        <v>0</v>
      </c>
      <c r="K1588" s="29"/>
      <c r="L1588" s="29"/>
      <c r="M1588" s="29"/>
      <c r="N1588" s="29"/>
      <c r="O1588" s="29"/>
      <c r="P1588" s="30">
        <f t="shared" ref="P1588" si="1354">SUM(J1588:O1588)</f>
        <v>0</v>
      </c>
      <c r="Q1588" s="31">
        <f t="shared" ref="Q1588" si="1355">IF(C$50&gt;0,P1588/C$50,0)</f>
        <v>0</v>
      </c>
    </row>
    <row r="1589" spans="1:17" x14ac:dyDescent="0.2">
      <c r="A1589" s="10"/>
      <c r="B1589" s="26"/>
      <c r="C1589" s="11">
        <v>2012</v>
      </c>
      <c r="D1589" s="32">
        <f>SPFI_CLB14!$D$35</f>
        <v>0.34784100000000001</v>
      </c>
      <c r="E1589" s="32"/>
      <c r="F1589" s="32"/>
      <c r="G1589" s="32"/>
      <c r="H1589" s="32"/>
      <c r="I1589" s="32"/>
      <c r="J1589" s="28">
        <f t="shared" ref="J1589" si="1356">D1589*J$50</f>
        <v>0</v>
      </c>
      <c r="K1589" s="29"/>
      <c r="L1589" s="29"/>
      <c r="M1589" s="29"/>
      <c r="N1589" s="29"/>
      <c r="O1589" s="29"/>
      <c r="P1589" s="30">
        <f t="shared" ref="P1589" si="1357">SUM(J1589:O1589)</f>
        <v>0</v>
      </c>
      <c r="Q1589" s="31">
        <f t="shared" ref="Q1589" si="1358">IF(C$50&gt;0,P1589/C$50,0)</f>
        <v>0</v>
      </c>
    </row>
    <row r="1590" spans="1:17" x14ac:dyDescent="0.2">
      <c r="A1590" s="5" t="s">
        <v>17</v>
      </c>
      <c r="B1590" s="21">
        <v>5</v>
      </c>
      <c r="C1590" s="6">
        <v>1982</v>
      </c>
      <c r="D1590" s="27">
        <f>SPFI_CLB14!$D$5</f>
        <v>0.98153299999999999</v>
      </c>
      <c r="E1590" s="27"/>
      <c r="F1590" s="27"/>
      <c r="G1590" s="27"/>
      <c r="H1590" s="27"/>
      <c r="I1590" s="27"/>
      <c r="J1590" s="33">
        <f t="shared" ref="J1590:J1602" si="1359">D1590*J$51</f>
        <v>0</v>
      </c>
      <c r="K1590" s="27"/>
      <c r="L1590" s="27"/>
      <c r="M1590" s="27"/>
      <c r="N1590" s="27"/>
      <c r="O1590" s="27"/>
      <c r="P1590" s="34">
        <f t="shared" si="1348"/>
        <v>0</v>
      </c>
      <c r="Q1590" s="35">
        <f t="shared" ref="Q1590:Q1606" si="1360">IF(C$51&gt;0,P1590/C$51,0)</f>
        <v>0</v>
      </c>
    </row>
    <row r="1591" spans="1:17" x14ac:dyDescent="0.2">
      <c r="A1591" s="10"/>
      <c r="B1591" s="26"/>
      <c r="C1591" s="11">
        <v>1983</v>
      </c>
      <c r="D1591" s="32">
        <f>SPFI_CLB14!$D$6</f>
        <v>0.93659899999999996</v>
      </c>
      <c r="E1591" s="32"/>
      <c r="F1591" s="32"/>
      <c r="G1591" s="32"/>
      <c r="H1591" s="32"/>
      <c r="I1591" s="32"/>
      <c r="J1591" s="28">
        <f t="shared" si="1359"/>
        <v>0</v>
      </c>
      <c r="K1591" s="29"/>
      <c r="L1591" s="29"/>
      <c r="M1591" s="29"/>
      <c r="N1591" s="29"/>
      <c r="O1591" s="29"/>
      <c r="P1591" s="30">
        <f t="shared" ref="P1591:P1602" si="1361">SUM(J1591:O1591)</f>
        <v>0</v>
      </c>
      <c r="Q1591" s="31">
        <f t="shared" si="1360"/>
        <v>0</v>
      </c>
    </row>
    <row r="1592" spans="1:17" x14ac:dyDescent="0.2">
      <c r="A1592" s="10"/>
      <c r="B1592" s="26"/>
      <c r="C1592" s="11">
        <v>1984</v>
      </c>
      <c r="D1592" s="32">
        <f>SPFI_CLB14!$D$7</f>
        <v>0.92793599999999998</v>
      </c>
      <c r="E1592" s="32"/>
      <c r="F1592" s="32"/>
      <c r="G1592" s="32"/>
      <c r="H1592" s="32"/>
      <c r="I1592" s="32"/>
      <c r="J1592" s="28">
        <f t="shared" si="1359"/>
        <v>0</v>
      </c>
      <c r="K1592" s="29"/>
      <c r="L1592" s="29"/>
      <c r="M1592" s="29"/>
      <c r="N1592" s="29"/>
      <c r="O1592" s="29"/>
      <c r="P1592" s="30">
        <f t="shared" si="1361"/>
        <v>0</v>
      </c>
      <c r="Q1592" s="31">
        <f t="shared" si="1360"/>
        <v>0</v>
      </c>
    </row>
    <row r="1593" spans="1:17" x14ac:dyDescent="0.2">
      <c r="A1593" s="10"/>
      <c r="B1593" s="26"/>
      <c r="C1593" s="11">
        <v>1985</v>
      </c>
      <c r="D1593" s="32">
        <f>SPFI_CLB14!$D$8</f>
        <v>0.90386500000000003</v>
      </c>
      <c r="E1593" s="32"/>
      <c r="F1593" s="32"/>
      <c r="G1593" s="32"/>
      <c r="H1593" s="32"/>
      <c r="I1593" s="32"/>
      <c r="J1593" s="28">
        <f t="shared" si="1359"/>
        <v>0</v>
      </c>
      <c r="K1593" s="29"/>
      <c r="L1593" s="29"/>
      <c r="M1593" s="29"/>
      <c r="N1593" s="29"/>
      <c r="O1593" s="29"/>
      <c r="P1593" s="30">
        <f t="shared" si="1361"/>
        <v>0</v>
      </c>
      <c r="Q1593" s="31">
        <f t="shared" si="1360"/>
        <v>0</v>
      </c>
    </row>
    <row r="1594" spans="1:17" x14ac:dyDescent="0.2">
      <c r="A1594" s="10"/>
      <c r="B1594" s="26"/>
      <c r="C1594" s="11">
        <v>1986</v>
      </c>
      <c r="D1594" s="32">
        <f>SPFI_CLB14!$D$9</f>
        <v>0.73087500000000005</v>
      </c>
      <c r="E1594" s="32"/>
      <c r="F1594" s="32"/>
      <c r="G1594" s="32"/>
      <c r="H1594" s="32"/>
      <c r="I1594" s="32"/>
      <c r="J1594" s="28">
        <f t="shared" si="1359"/>
        <v>0</v>
      </c>
      <c r="K1594" s="29"/>
      <c r="L1594" s="29"/>
      <c r="M1594" s="29"/>
      <c r="N1594" s="29"/>
      <c r="O1594" s="29"/>
      <c r="P1594" s="30">
        <f t="shared" si="1361"/>
        <v>0</v>
      </c>
      <c r="Q1594" s="31">
        <f t="shared" si="1360"/>
        <v>0</v>
      </c>
    </row>
    <row r="1595" spans="1:17" x14ac:dyDescent="0.2">
      <c r="A1595" s="10"/>
      <c r="B1595" s="26"/>
      <c r="C1595" s="11">
        <v>1987</v>
      </c>
      <c r="D1595" s="32">
        <f>SPFI_CLB14!$D$10</f>
        <v>0.71733499999999994</v>
      </c>
      <c r="E1595" s="32"/>
      <c r="F1595" s="32"/>
      <c r="G1595" s="32"/>
      <c r="H1595" s="32"/>
      <c r="I1595" s="32"/>
      <c r="J1595" s="28">
        <f t="shared" si="1359"/>
        <v>0</v>
      </c>
      <c r="K1595" s="29"/>
      <c r="L1595" s="29"/>
      <c r="M1595" s="29"/>
      <c r="N1595" s="29"/>
      <c r="O1595" s="29"/>
      <c r="P1595" s="30">
        <f t="shared" si="1361"/>
        <v>0</v>
      </c>
      <c r="Q1595" s="31">
        <f t="shared" si="1360"/>
        <v>0</v>
      </c>
    </row>
    <row r="1596" spans="1:17" x14ac:dyDescent="0.2">
      <c r="A1596" s="10"/>
      <c r="B1596" s="26"/>
      <c r="C1596" s="11">
        <v>1988</v>
      </c>
      <c r="D1596" s="32">
        <f>SPFI_CLB14!$D$11</f>
        <v>0.64558800000000005</v>
      </c>
      <c r="E1596" s="32"/>
      <c r="F1596" s="32"/>
      <c r="G1596" s="32"/>
      <c r="H1596" s="32"/>
      <c r="I1596" s="32"/>
      <c r="J1596" s="28">
        <f t="shared" si="1359"/>
        <v>0</v>
      </c>
      <c r="K1596" s="29"/>
      <c r="L1596" s="29"/>
      <c r="M1596" s="29"/>
      <c r="N1596" s="29"/>
      <c r="O1596" s="29"/>
      <c r="P1596" s="30">
        <f t="shared" si="1361"/>
        <v>0</v>
      </c>
      <c r="Q1596" s="31">
        <f t="shared" si="1360"/>
        <v>0</v>
      </c>
    </row>
    <row r="1597" spans="1:17" x14ac:dyDescent="0.2">
      <c r="A1597" s="10"/>
      <c r="B1597" s="26"/>
      <c r="C1597" s="11">
        <v>1989</v>
      </c>
      <c r="D1597" s="32">
        <f>SPFI_CLB14!$D$12</f>
        <v>0.65287700000000004</v>
      </c>
      <c r="E1597" s="32"/>
      <c r="F1597" s="32"/>
      <c r="G1597" s="32"/>
      <c r="H1597" s="32"/>
      <c r="I1597" s="32"/>
      <c r="J1597" s="28">
        <f t="shared" si="1359"/>
        <v>0</v>
      </c>
      <c r="K1597" s="29"/>
      <c r="L1597" s="29"/>
      <c r="M1597" s="29"/>
      <c r="N1597" s="29"/>
      <c r="O1597" s="29"/>
      <c r="P1597" s="30">
        <f t="shared" si="1361"/>
        <v>0</v>
      </c>
      <c r="Q1597" s="31">
        <f t="shared" si="1360"/>
        <v>0</v>
      </c>
    </row>
    <row r="1598" spans="1:17" x14ac:dyDescent="0.2">
      <c r="A1598" s="10"/>
      <c r="B1598" s="26"/>
      <c r="C1598" s="11">
        <v>1990</v>
      </c>
      <c r="D1598" s="32">
        <f>SPFI_CLB14!$D$13</f>
        <v>0.56965100000000002</v>
      </c>
      <c r="E1598" s="32"/>
      <c r="F1598" s="32"/>
      <c r="G1598" s="32"/>
      <c r="H1598" s="32"/>
      <c r="I1598" s="32"/>
      <c r="J1598" s="28">
        <f t="shared" si="1359"/>
        <v>0</v>
      </c>
      <c r="K1598" s="29"/>
      <c r="L1598" s="29"/>
      <c r="M1598" s="29"/>
      <c r="N1598" s="29"/>
      <c r="O1598" s="29"/>
      <c r="P1598" s="30">
        <f t="shared" si="1361"/>
        <v>0</v>
      </c>
      <c r="Q1598" s="31">
        <f t="shared" si="1360"/>
        <v>0</v>
      </c>
    </row>
    <row r="1599" spans="1:17" x14ac:dyDescent="0.2">
      <c r="A1599" s="10"/>
      <c r="B1599" s="26"/>
      <c r="C1599" s="11">
        <v>1991</v>
      </c>
      <c r="D1599" s="32">
        <f>SPFI_CLB14!$D$14</f>
        <v>0.62776900000000002</v>
      </c>
      <c r="E1599" s="32"/>
      <c r="F1599" s="32"/>
      <c r="G1599" s="32"/>
      <c r="H1599" s="32"/>
      <c r="I1599" s="32"/>
      <c r="J1599" s="28">
        <f t="shared" si="1359"/>
        <v>0</v>
      </c>
      <c r="K1599" s="29"/>
      <c r="L1599" s="29"/>
      <c r="M1599" s="29"/>
      <c r="N1599" s="29"/>
      <c r="O1599" s="29"/>
      <c r="P1599" s="30">
        <f t="shared" si="1361"/>
        <v>0</v>
      </c>
      <c r="Q1599" s="31">
        <f t="shared" si="1360"/>
        <v>0</v>
      </c>
    </row>
    <row r="1600" spans="1:17" x14ac:dyDescent="0.2">
      <c r="A1600" s="10"/>
      <c r="B1600" s="26"/>
      <c r="C1600" s="11">
        <v>1992</v>
      </c>
      <c r="D1600" s="32">
        <f>SPFI_CLB14!$D$15</f>
        <v>0.43504100000000001</v>
      </c>
      <c r="E1600" s="32"/>
      <c r="F1600" s="32"/>
      <c r="G1600" s="32"/>
      <c r="H1600" s="32"/>
      <c r="I1600" s="32"/>
      <c r="J1600" s="28">
        <f t="shared" si="1359"/>
        <v>0</v>
      </c>
      <c r="K1600" s="29"/>
      <c r="L1600" s="29"/>
      <c r="M1600" s="29"/>
      <c r="N1600" s="29"/>
      <c r="O1600" s="29"/>
      <c r="P1600" s="30">
        <f t="shared" si="1361"/>
        <v>0</v>
      </c>
      <c r="Q1600" s="31">
        <f t="shared" si="1360"/>
        <v>0</v>
      </c>
    </row>
    <row r="1601" spans="1:17" x14ac:dyDescent="0.2">
      <c r="A1601" s="10"/>
      <c r="B1601" s="26"/>
      <c r="C1601" s="11">
        <v>1993</v>
      </c>
      <c r="D1601" s="32">
        <f>SPFI_CLB14!$D$16</f>
        <v>0.499164</v>
      </c>
      <c r="E1601" s="32"/>
      <c r="F1601" s="32"/>
      <c r="G1601" s="32"/>
      <c r="H1601" s="32"/>
      <c r="I1601" s="32"/>
      <c r="J1601" s="28">
        <f t="shared" si="1359"/>
        <v>0</v>
      </c>
      <c r="K1601" s="29"/>
      <c r="L1601" s="29"/>
      <c r="M1601" s="29"/>
      <c r="N1601" s="29"/>
      <c r="O1601" s="29"/>
      <c r="P1601" s="30">
        <f t="shared" si="1361"/>
        <v>0</v>
      </c>
      <c r="Q1601" s="31">
        <f t="shared" si="1360"/>
        <v>0</v>
      </c>
    </row>
    <row r="1602" spans="1:17" x14ac:dyDescent="0.2">
      <c r="A1602" s="10"/>
      <c r="B1602" s="26"/>
      <c r="C1602" s="11">
        <v>1994</v>
      </c>
      <c r="D1602" s="32">
        <f>SPFI_CLB14!$D$17</f>
        <v>0.59591300000000003</v>
      </c>
      <c r="E1602" s="32"/>
      <c r="F1602" s="32"/>
      <c r="G1602" s="32"/>
      <c r="H1602" s="32"/>
      <c r="I1602" s="32"/>
      <c r="J1602" s="28">
        <f t="shared" si="1359"/>
        <v>0</v>
      </c>
      <c r="K1602" s="29"/>
      <c r="L1602" s="29"/>
      <c r="M1602" s="29"/>
      <c r="N1602" s="29"/>
      <c r="O1602" s="29"/>
      <c r="P1602" s="30">
        <f t="shared" si="1361"/>
        <v>0</v>
      </c>
      <c r="Q1602" s="31">
        <f t="shared" si="1360"/>
        <v>0</v>
      </c>
    </row>
    <row r="1603" spans="1:17" x14ac:dyDescent="0.2">
      <c r="A1603" s="10"/>
      <c r="B1603" s="26"/>
      <c r="C1603" s="11">
        <v>1995</v>
      </c>
      <c r="D1603" s="32">
        <f>SPFI_CLB14!$D$18</f>
        <v>0.25400800000000001</v>
      </c>
      <c r="E1603" s="32"/>
      <c r="F1603" s="32"/>
      <c r="G1603" s="32"/>
      <c r="H1603" s="32"/>
      <c r="I1603" s="32"/>
      <c r="J1603" s="28">
        <f t="shared" ref="J1603" si="1362">D1603*J$51</f>
        <v>0</v>
      </c>
      <c r="K1603" s="29"/>
      <c r="L1603" s="29"/>
      <c r="M1603" s="29"/>
      <c r="N1603" s="29"/>
      <c r="O1603" s="29"/>
      <c r="P1603" s="30">
        <f>SUM(J1603:O1603)</f>
        <v>0</v>
      </c>
      <c r="Q1603" s="31">
        <f t="shared" si="1360"/>
        <v>0</v>
      </c>
    </row>
    <row r="1604" spans="1:17" x14ac:dyDescent="0.2">
      <c r="A1604" s="10"/>
      <c r="B1604" s="26"/>
      <c r="C1604" s="11">
        <v>1996</v>
      </c>
      <c r="D1604" s="32">
        <f>SPFI_CLB14!$D$19</f>
        <v>0</v>
      </c>
      <c r="E1604" s="32"/>
      <c r="F1604" s="32"/>
      <c r="G1604" s="32"/>
      <c r="H1604" s="32"/>
      <c r="I1604" s="32"/>
      <c r="J1604" s="28">
        <f t="shared" ref="J1604" si="1363">D1604*J$51</f>
        <v>0</v>
      </c>
      <c r="K1604" s="29"/>
      <c r="L1604" s="29"/>
      <c r="M1604" s="29"/>
      <c r="N1604" s="29"/>
      <c r="O1604" s="29"/>
      <c r="P1604" s="30">
        <f>SUM(J1604:O1604)</f>
        <v>0</v>
      </c>
      <c r="Q1604" s="31">
        <f t="shared" si="1360"/>
        <v>0</v>
      </c>
    </row>
    <row r="1605" spans="1:17" x14ac:dyDescent="0.2">
      <c r="A1605" s="10"/>
      <c r="B1605" s="26"/>
      <c r="C1605" s="11">
        <v>1997</v>
      </c>
      <c r="D1605" s="32">
        <f>SPFI_CLB14!$D$20</f>
        <v>0.201487</v>
      </c>
      <c r="E1605" s="32"/>
      <c r="F1605" s="32"/>
      <c r="G1605" s="32"/>
      <c r="H1605" s="32"/>
      <c r="I1605" s="32"/>
      <c r="J1605" s="28">
        <f t="shared" ref="J1605" si="1364">D1605*J$51</f>
        <v>0</v>
      </c>
      <c r="K1605" s="29"/>
      <c r="L1605" s="29"/>
      <c r="M1605" s="29"/>
      <c r="N1605" s="29"/>
      <c r="O1605" s="29"/>
      <c r="P1605" s="30">
        <f>SUM(J1605:O1605)</f>
        <v>0</v>
      </c>
      <c r="Q1605" s="31">
        <f t="shared" si="1360"/>
        <v>0</v>
      </c>
    </row>
    <row r="1606" spans="1:17" x14ac:dyDescent="0.2">
      <c r="A1606" s="10"/>
      <c r="B1606" s="26"/>
      <c r="C1606" s="11">
        <v>1998</v>
      </c>
      <c r="D1606" s="32">
        <f>SPFI_CLB14!$D$21</f>
        <v>0.37506400000000001</v>
      </c>
      <c r="E1606" s="32"/>
      <c r="F1606" s="32"/>
      <c r="G1606" s="32"/>
      <c r="H1606" s="32"/>
      <c r="I1606" s="32"/>
      <c r="J1606" s="28">
        <f t="shared" ref="J1606" si="1365">D1606*J$51</f>
        <v>0</v>
      </c>
      <c r="K1606" s="29"/>
      <c r="L1606" s="29"/>
      <c r="M1606" s="29"/>
      <c r="N1606" s="29"/>
      <c r="O1606" s="29"/>
      <c r="P1606" s="30">
        <f>SUM(J1606:O1606)</f>
        <v>0</v>
      </c>
      <c r="Q1606" s="31">
        <f t="shared" si="1360"/>
        <v>0</v>
      </c>
    </row>
    <row r="1607" spans="1:17" x14ac:dyDescent="0.2">
      <c r="A1607" s="10"/>
      <c r="B1607" s="26"/>
      <c r="C1607" s="11">
        <v>1999</v>
      </c>
      <c r="D1607" s="32">
        <f>SPFI_CLB14!$D$22</f>
        <v>0.29823699999999997</v>
      </c>
      <c r="E1607" s="32"/>
      <c r="F1607" s="32"/>
      <c r="G1607" s="32"/>
      <c r="H1607" s="32"/>
      <c r="I1607" s="32"/>
      <c r="J1607" s="28">
        <f t="shared" ref="J1607" si="1366">D1607*J$51</f>
        <v>0</v>
      </c>
      <c r="K1607" s="29"/>
      <c r="L1607" s="29"/>
      <c r="M1607" s="29"/>
      <c r="N1607" s="29"/>
      <c r="O1607" s="29"/>
      <c r="P1607" s="30">
        <f>SUM(J1607:O1607)</f>
        <v>0</v>
      </c>
      <c r="Q1607" s="31">
        <f t="shared" ref="Q1607:Q1612" si="1367">IF(C$51&gt;0,P1607/C$51,0)</f>
        <v>0</v>
      </c>
    </row>
    <row r="1608" spans="1:17" x14ac:dyDescent="0.2">
      <c r="A1608" s="10"/>
      <c r="B1608" s="26"/>
      <c r="C1608" s="11">
        <v>2000</v>
      </c>
      <c r="D1608" s="32">
        <f>SPFI_CLB14!$D$23</f>
        <v>8.4414000000000003E-2</v>
      </c>
      <c r="E1608" s="32"/>
      <c r="F1608" s="32"/>
      <c r="G1608" s="32"/>
      <c r="H1608" s="32"/>
      <c r="I1608" s="32"/>
      <c r="J1608" s="28">
        <f t="shared" ref="J1608" si="1368">D1608*J$51</f>
        <v>0</v>
      </c>
      <c r="K1608" s="29"/>
      <c r="L1608" s="29"/>
      <c r="M1608" s="29"/>
      <c r="N1608" s="29"/>
      <c r="O1608" s="29"/>
      <c r="P1608" s="30">
        <f t="shared" ref="P1608:P1613" si="1369">SUM(J1608:O1608)</f>
        <v>0</v>
      </c>
      <c r="Q1608" s="31">
        <f t="shared" si="1367"/>
        <v>0</v>
      </c>
    </row>
    <row r="1609" spans="1:17" x14ac:dyDescent="0.2">
      <c r="A1609" s="10"/>
      <c r="B1609" s="26"/>
      <c r="C1609" s="11">
        <v>2001</v>
      </c>
      <c r="D1609" s="32">
        <f>SPFI_CLB14!$D$24</f>
        <v>7.8909000000000007E-2</v>
      </c>
      <c r="E1609" s="32"/>
      <c r="F1609" s="32"/>
      <c r="G1609" s="32"/>
      <c r="H1609" s="32"/>
      <c r="I1609" s="32"/>
      <c r="J1609" s="28">
        <f t="shared" ref="J1609" si="1370">D1609*J$51</f>
        <v>0</v>
      </c>
      <c r="K1609" s="29"/>
      <c r="L1609" s="29"/>
      <c r="M1609" s="29"/>
      <c r="N1609" s="29"/>
      <c r="O1609" s="29"/>
      <c r="P1609" s="30">
        <f t="shared" si="1369"/>
        <v>0</v>
      </c>
      <c r="Q1609" s="31">
        <f t="shared" si="1367"/>
        <v>0</v>
      </c>
    </row>
    <row r="1610" spans="1:17" x14ac:dyDescent="0.2">
      <c r="A1610" s="10"/>
      <c r="B1610" s="26"/>
      <c r="C1610" s="11">
        <v>2002</v>
      </c>
      <c r="D1610" s="32">
        <f>SPFI_CLB14!$D$25</f>
        <v>0.29974699999999999</v>
      </c>
      <c r="E1610" s="32"/>
      <c r="F1610" s="32"/>
      <c r="G1610" s="32"/>
      <c r="H1610" s="32"/>
      <c r="I1610" s="32"/>
      <c r="J1610" s="28">
        <f t="shared" ref="J1610" si="1371">D1610*J$51</f>
        <v>0</v>
      </c>
      <c r="K1610" s="29"/>
      <c r="L1610" s="29"/>
      <c r="M1610" s="29"/>
      <c r="N1610" s="29"/>
      <c r="O1610" s="29"/>
      <c r="P1610" s="30">
        <f t="shared" si="1369"/>
        <v>0</v>
      </c>
      <c r="Q1610" s="31">
        <f t="shared" si="1367"/>
        <v>0</v>
      </c>
    </row>
    <row r="1611" spans="1:17" x14ac:dyDescent="0.2">
      <c r="A1611" s="10"/>
      <c r="B1611" s="26"/>
      <c r="C1611" s="11">
        <v>2003</v>
      </c>
      <c r="D1611" s="32">
        <f>SPFI_CLB14!$D$26</f>
        <v>0.20691100000000001</v>
      </c>
      <c r="E1611" s="32"/>
      <c r="F1611" s="32"/>
      <c r="G1611" s="32"/>
      <c r="H1611" s="32"/>
      <c r="I1611" s="32"/>
      <c r="J1611" s="28">
        <f t="shared" ref="J1611" si="1372">D1611*J$51</f>
        <v>0</v>
      </c>
      <c r="K1611" s="29"/>
      <c r="L1611" s="29"/>
      <c r="M1611" s="29"/>
      <c r="N1611" s="29"/>
      <c r="O1611" s="29"/>
      <c r="P1611" s="30">
        <f t="shared" si="1369"/>
        <v>0</v>
      </c>
      <c r="Q1611" s="31">
        <f t="shared" si="1367"/>
        <v>0</v>
      </c>
    </row>
    <row r="1612" spans="1:17" x14ac:dyDescent="0.2">
      <c r="A1612" s="10"/>
      <c r="B1612" s="26"/>
      <c r="C1612" s="11">
        <v>2004</v>
      </c>
      <c r="D1612" s="32">
        <f>SPFI_CLB14!$D$27</f>
        <v>0.269237</v>
      </c>
      <c r="E1612" s="32"/>
      <c r="F1612" s="32"/>
      <c r="G1612" s="32"/>
      <c r="H1612" s="32"/>
      <c r="I1612" s="32"/>
      <c r="J1612" s="28">
        <f t="shared" ref="J1612" si="1373">D1612*J$51</f>
        <v>0</v>
      </c>
      <c r="K1612" s="29"/>
      <c r="L1612" s="29"/>
      <c r="M1612" s="29"/>
      <c r="N1612" s="29"/>
      <c r="O1612" s="29"/>
      <c r="P1612" s="30">
        <f t="shared" si="1369"/>
        <v>0</v>
      </c>
      <c r="Q1612" s="31">
        <f t="shared" si="1367"/>
        <v>0</v>
      </c>
    </row>
    <row r="1613" spans="1:17" x14ac:dyDescent="0.2">
      <c r="A1613" s="10"/>
      <c r="B1613" s="26"/>
      <c r="C1613" s="11">
        <v>2005</v>
      </c>
      <c r="D1613" s="32">
        <f>SPFI_CLB14!$D$28</f>
        <v>0.37848700000000002</v>
      </c>
      <c r="E1613" s="32"/>
      <c r="F1613" s="32"/>
      <c r="G1613" s="32"/>
      <c r="H1613" s="32"/>
      <c r="I1613" s="32"/>
      <c r="J1613" s="28">
        <f t="shared" ref="J1613" si="1374">D1613*J$51</f>
        <v>0</v>
      </c>
      <c r="K1613" s="29"/>
      <c r="L1613" s="29"/>
      <c r="M1613" s="29"/>
      <c r="N1613" s="29"/>
      <c r="O1613" s="29"/>
      <c r="P1613" s="30">
        <f t="shared" si="1369"/>
        <v>0</v>
      </c>
      <c r="Q1613" s="31">
        <f t="shared" ref="Q1613:Q1618" si="1375">IF(C$51&gt;0,P1613/C$51,0)</f>
        <v>0</v>
      </c>
    </row>
    <row r="1614" spans="1:17" x14ac:dyDescent="0.2">
      <c r="A1614" s="10"/>
      <c r="B1614" s="26"/>
      <c r="C1614" s="11">
        <v>2006</v>
      </c>
      <c r="D1614" s="32">
        <f>SPFI_CLB14!$D$29</f>
        <v>0.381023</v>
      </c>
      <c r="E1614" s="32"/>
      <c r="F1614" s="32"/>
      <c r="G1614" s="32"/>
      <c r="H1614" s="32"/>
      <c r="I1614" s="32"/>
      <c r="J1614" s="28">
        <f t="shared" ref="J1614" si="1376">D1614*J$51</f>
        <v>0</v>
      </c>
      <c r="K1614" s="29"/>
      <c r="L1614" s="29"/>
      <c r="M1614" s="29"/>
      <c r="N1614" s="29"/>
      <c r="O1614" s="29"/>
      <c r="P1614" s="30">
        <f t="shared" ref="P1614:P1621" si="1377">SUM(J1614:O1614)</f>
        <v>0</v>
      </c>
      <c r="Q1614" s="31">
        <f t="shared" si="1375"/>
        <v>0</v>
      </c>
    </row>
    <row r="1615" spans="1:17" x14ac:dyDescent="0.2">
      <c r="A1615" s="10"/>
      <c r="B1615" s="26"/>
      <c r="C1615" s="11">
        <v>2007</v>
      </c>
      <c r="D1615" s="32">
        <f>SPFI_CLB14!$D$30</f>
        <v>0.356512</v>
      </c>
      <c r="E1615" s="32"/>
      <c r="F1615" s="32"/>
      <c r="G1615" s="32"/>
      <c r="H1615" s="32"/>
      <c r="I1615" s="32"/>
      <c r="J1615" s="28">
        <f t="shared" ref="J1615" si="1378">D1615*J$51</f>
        <v>0</v>
      </c>
      <c r="K1615" s="29"/>
      <c r="L1615" s="29"/>
      <c r="M1615" s="29"/>
      <c r="N1615" s="29"/>
      <c r="O1615" s="29"/>
      <c r="P1615" s="30">
        <f t="shared" si="1377"/>
        <v>0</v>
      </c>
      <c r="Q1615" s="31">
        <f t="shared" si="1375"/>
        <v>0</v>
      </c>
    </row>
    <row r="1616" spans="1:17" x14ac:dyDescent="0.2">
      <c r="A1616" s="10"/>
      <c r="B1616" s="26"/>
      <c r="C1616" s="11">
        <v>2008</v>
      </c>
      <c r="D1616" s="32">
        <f>SPFI_CLB14!$D$31</f>
        <v>0.25494499999999998</v>
      </c>
      <c r="E1616" s="32"/>
      <c r="F1616" s="32"/>
      <c r="G1616" s="32"/>
      <c r="H1616" s="32"/>
      <c r="I1616" s="32"/>
      <c r="J1616" s="28">
        <f t="shared" ref="J1616" si="1379">D1616*J$51</f>
        <v>0</v>
      </c>
      <c r="K1616" s="29"/>
      <c r="L1616" s="29"/>
      <c r="M1616" s="29"/>
      <c r="N1616" s="29"/>
      <c r="O1616" s="29"/>
      <c r="P1616" s="30">
        <f t="shared" si="1377"/>
        <v>0</v>
      </c>
      <c r="Q1616" s="31">
        <f t="shared" si="1375"/>
        <v>0</v>
      </c>
    </row>
    <row r="1617" spans="1:17" x14ac:dyDescent="0.2">
      <c r="A1617" s="10"/>
      <c r="B1617" s="26"/>
      <c r="C1617" s="11">
        <v>2009</v>
      </c>
      <c r="D1617" s="32">
        <f>SPFI_CLB14!$D$32</f>
        <v>0.52383000000000002</v>
      </c>
      <c r="E1617" s="32"/>
      <c r="F1617" s="32"/>
      <c r="G1617" s="32"/>
      <c r="H1617" s="32"/>
      <c r="I1617" s="32"/>
      <c r="J1617" s="28">
        <f t="shared" ref="J1617" si="1380">D1617*J$51</f>
        <v>0</v>
      </c>
      <c r="K1617" s="29"/>
      <c r="L1617" s="29"/>
      <c r="M1617" s="29"/>
      <c r="N1617" s="29"/>
      <c r="O1617" s="29"/>
      <c r="P1617" s="30">
        <f t="shared" si="1377"/>
        <v>0</v>
      </c>
      <c r="Q1617" s="31">
        <f t="shared" si="1375"/>
        <v>0</v>
      </c>
    </row>
    <row r="1618" spans="1:17" x14ac:dyDescent="0.2">
      <c r="A1618" s="10"/>
      <c r="B1618" s="26"/>
      <c r="C1618" s="11">
        <v>2010</v>
      </c>
      <c r="D1618" s="32">
        <f>SPFI_CLB14!$D$33</f>
        <v>0.31394</v>
      </c>
      <c r="E1618" s="32"/>
      <c r="F1618" s="32"/>
      <c r="G1618" s="32"/>
      <c r="H1618" s="32"/>
      <c r="I1618" s="32"/>
      <c r="J1618" s="28">
        <f t="shared" ref="J1618" si="1381">D1618*J$51</f>
        <v>0</v>
      </c>
      <c r="K1618" s="29"/>
      <c r="L1618" s="29"/>
      <c r="M1618" s="29"/>
      <c r="N1618" s="29"/>
      <c r="O1618" s="29"/>
      <c r="P1618" s="30">
        <f t="shared" si="1377"/>
        <v>0</v>
      </c>
      <c r="Q1618" s="31">
        <f t="shared" si="1375"/>
        <v>0</v>
      </c>
    </row>
    <row r="1619" spans="1:17" x14ac:dyDescent="0.2">
      <c r="A1619" s="10"/>
      <c r="B1619" s="26"/>
      <c r="C1619" s="11">
        <v>2011</v>
      </c>
      <c r="D1619" s="32">
        <f>SPFI_CLB14!$D$34</f>
        <v>0.294348</v>
      </c>
      <c r="E1619" s="32"/>
      <c r="F1619" s="32"/>
      <c r="G1619" s="32"/>
      <c r="H1619" s="32"/>
      <c r="I1619" s="32"/>
      <c r="J1619" s="28">
        <f t="shared" ref="J1619" si="1382">D1619*J$51</f>
        <v>0</v>
      </c>
      <c r="K1619" s="29"/>
      <c r="L1619" s="29"/>
      <c r="M1619" s="29"/>
      <c r="N1619" s="29"/>
      <c r="O1619" s="29"/>
      <c r="P1619" s="30">
        <f t="shared" ref="P1619" si="1383">SUM(J1619:O1619)</f>
        <v>0</v>
      </c>
      <c r="Q1619" s="31">
        <f t="shared" ref="Q1619" si="1384">IF(C$51&gt;0,P1619/C$51,0)</f>
        <v>0</v>
      </c>
    </row>
    <row r="1620" spans="1:17" x14ac:dyDescent="0.2">
      <c r="A1620" s="10"/>
      <c r="B1620" s="26"/>
      <c r="C1620" s="11">
        <v>2012</v>
      </c>
      <c r="D1620" s="32">
        <f>SPFI_CLB14!$D$35</f>
        <v>0.34784100000000001</v>
      </c>
      <c r="E1620" s="32"/>
      <c r="F1620" s="32"/>
      <c r="G1620" s="32"/>
      <c r="H1620" s="32"/>
      <c r="I1620" s="32"/>
      <c r="J1620" s="28">
        <f t="shared" ref="J1620" si="1385">D1620*J$51</f>
        <v>0</v>
      </c>
      <c r="K1620" s="29"/>
      <c r="L1620" s="29"/>
      <c r="M1620" s="29"/>
      <c r="N1620" s="29"/>
      <c r="O1620" s="29"/>
      <c r="P1620" s="30">
        <f t="shared" ref="P1620" si="1386">SUM(J1620:O1620)</f>
        <v>0</v>
      </c>
      <c r="Q1620" s="31">
        <f t="shared" ref="Q1620" si="1387">IF(C$51&gt;0,P1620/C$51,0)</f>
        <v>0</v>
      </c>
    </row>
    <row r="1621" spans="1:17" x14ac:dyDescent="0.2">
      <c r="A1621" s="5" t="s">
        <v>18</v>
      </c>
      <c r="B1621" s="21">
        <v>2</v>
      </c>
      <c r="C1621" s="6">
        <v>1982</v>
      </c>
      <c r="D1621" s="27">
        <f>SPFI_CLB14!$D$5</f>
        <v>0.98153299999999999</v>
      </c>
      <c r="E1621" s="27"/>
      <c r="F1621" s="27"/>
      <c r="G1621" s="27"/>
      <c r="H1621" s="27"/>
      <c r="I1621" s="27"/>
      <c r="J1621" s="33">
        <f t="shared" ref="J1621:J1633" si="1388">D1621*J$52</f>
        <v>0</v>
      </c>
      <c r="K1621" s="27"/>
      <c r="L1621" s="27"/>
      <c r="M1621" s="27"/>
      <c r="N1621" s="27"/>
      <c r="O1621" s="27"/>
      <c r="P1621" s="34">
        <f t="shared" si="1377"/>
        <v>0</v>
      </c>
      <c r="Q1621" s="35">
        <f t="shared" ref="Q1621:Q1637" si="1389">IF(C$52&gt;0,P1621/C$52,0)</f>
        <v>0</v>
      </c>
    </row>
    <row r="1622" spans="1:17" x14ac:dyDescent="0.2">
      <c r="A1622" s="10"/>
      <c r="B1622" s="26"/>
      <c r="C1622" s="11">
        <v>1983</v>
      </c>
      <c r="D1622" s="32">
        <f>SPFI_CLB14!$D$6</f>
        <v>0.93659899999999996</v>
      </c>
      <c r="E1622" s="32"/>
      <c r="F1622" s="32"/>
      <c r="G1622" s="32"/>
      <c r="H1622" s="32"/>
      <c r="I1622" s="32"/>
      <c r="J1622" s="28">
        <f t="shared" si="1388"/>
        <v>0</v>
      </c>
      <c r="K1622" s="29"/>
      <c r="L1622" s="29"/>
      <c r="M1622" s="29"/>
      <c r="N1622" s="29"/>
      <c r="O1622" s="29"/>
      <c r="P1622" s="30">
        <f t="shared" ref="P1622:P1633" si="1390">SUM(J1622:O1622)</f>
        <v>0</v>
      </c>
      <c r="Q1622" s="31">
        <f t="shared" si="1389"/>
        <v>0</v>
      </c>
    </row>
    <row r="1623" spans="1:17" x14ac:dyDescent="0.2">
      <c r="A1623" s="10"/>
      <c r="B1623" s="26"/>
      <c r="C1623" s="11">
        <v>1984</v>
      </c>
      <c r="D1623" s="32">
        <f>SPFI_CLB14!$D$7</f>
        <v>0.92793599999999998</v>
      </c>
      <c r="E1623" s="32"/>
      <c r="F1623" s="32"/>
      <c r="G1623" s="32"/>
      <c r="H1623" s="32"/>
      <c r="I1623" s="32"/>
      <c r="J1623" s="28">
        <f t="shared" si="1388"/>
        <v>0</v>
      </c>
      <c r="K1623" s="29"/>
      <c r="L1623" s="29"/>
      <c r="M1623" s="29"/>
      <c r="N1623" s="29"/>
      <c r="O1623" s="29"/>
      <c r="P1623" s="30">
        <f t="shared" si="1390"/>
        <v>0</v>
      </c>
      <c r="Q1623" s="31">
        <f t="shared" si="1389"/>
        <v>0</v>
      </c>
    </row>
    <row r="1624" spans="1:17" x14ac:dyDescent="0.2">
      <c r="A1624" s="10"/>
      <c r="B1624" s="26"/>
      <c r="C1624" s="11">
        <v>1985</v>
      </c>
      <c r="D1624" s="32">
        <f>SPFI_CLB14!$D$8</f>
        <v>0.90386500000000003</v>
      </c>
      <c r="E1624" s="32"/>
      <c r="F1624" s="32"/>
      <c r="G1624" s="32"/>
      <c r="H1624" s="32"/>
      <c r="I1624" s="32"/>
      <c r="J1624" s="28">
        <f t="shared" si="1388"/>
        <v>0</v>
      </c>
      <c r="K1624" s="29"/>
      <c r="L1624" s="29"/>
      <c r="M1624" s="29"/>
      <c r="N1624" s="29"/>
      <c r="O1624" s="29"/>
      <c r="P1624" s="30">
        <f t="shared" si="1390"/>
        <v>0</v>
      </c>
      <c r="Q1624" s="31">
        <f t="shared" si="1389"/>
        <v>0</v>
      </c>
    </row>
    <row r="1625" spans="1:17" x14ac:dyDescent="0.2">
      <c r="A1625" s="10"/>
      <c r="B1625" s="26"/>
      <c r="C1625" s="11">
        <v>1986</v>
      </c>
      <c r="D1625" s="32">
        <f>SPFI_CLB14!$D$9</f>
        <v>0.73087500000000005</v>
      </c>
      <c r="E1625" s="32"/>
      <c r="F1625" s="32"/>
      <c r="G1625" s="32"/>
      <c r="H1625" s="32"/>
      <c r="I1625" s="32"/>
      <c r="J1625" s="28">
        <f t="shared" si="1388"/>
        <v>0</v>
      </c>
      <c r="K1625" s="29"/>
      <c r="L1625" s="29"/>
      <c r="M1625" s="29"/>
      <c r="N1625" s="29"/>
      <c r="O1625" s="29"/>
      <c r="P1625" s="30">
        <f t="shared" si="1390"/>
        <v>0</v>
      </c>
      <c r="Q1625" s="31">
        <f t="shared" si="1389"/>
        <v>0</v>
      </c>
    </row>
    <row r="1626" spans="1:17" x14ac:dyDescent="0.2">
      <c r="A1626" s="10"/>
      <c r="B1626" s="26"/>
      <c r="C1626" s="11">
        <v>1987</v>
      </c>
      <c r="D1626" s="32">
        <f>SPFI_CLB14!$D$10</f>
        <v>0.71733499999999994</v>
      </c>
      <c r="E1626" s="32"/>
      <c r="F1626" s="32"/>
      <c r="G1626" s="32"/>
      <c r="H1626" s="32"/>
      <c r="I1626" s="32"/>
      <c r="J1626" s="28">
        <f t="shared" si="1388"/>
        <v>0</v>
      </c>
      <c r="K1626" s="29"/>
      <c r="L1626" s="29"/>
      <c r="M1626" s="29"/>
      <c r="N1626" s="29"/>
      <c r="O1626" s="29"/>
      <c r="P1626" s="30">
        <f t="shared" si="1390"/>
        <v>0</v>
      </c>
      <c r="Q1626" s="31">
        <f t="shared" si="1389"/>
        <v>0</v>
      </c>
    </row>
    <row r="1627" spans="1:17" x14ac:dyDescent="0.2">
      <c r="A1627" s="10"/>
      <c r="B1627" s="26"/>
      <c r="C1627" s="11">
        <v>1988</v>
      </c>
      <c r="D1627" s="32">
        <f>SPFI_CLB14!$D$11</f>
        <v>0.64558800000000005</v>
      </c>
      <c r="E1627" s="32"/>
      <c r="F1627" s="32"/>
      <c r="G1627" s="32"/>
      <c r="H1627" s="32"/>
      <c r="I1627" s="32"/>
      <c r="J1627" s="28">
        <f t="shared" si="1388"/>
        <v>0</v>
      </c>
      <c r="K1627" s="29"/>
      <c r="L1627" s="29"/>
      <c r="M1627" s="29"/>
      <c r="N1627" s="29"/>
      <c r="O1627" s="29"/>
      <c r="P1627" s="30">
        <f t="shared" si="1390"/>
        <v>0</v>
      </c>
      <c r="Q1627" s="31">
        <f t="shared" si="1389"/>
        <v>0</v>
      </c>
    </row>
    <row r="1628" spans="1:17" x14ac:dyDescent="0.2">
      <c r="A1628" s="10"/>
      <c r="B1628" s="26"/>
      <c r="C1628" s="11">
        <v>1989</v>
      </c>
      <c r="D1628" s="32">
        <f>SPFI_CLB14!$D$12</f>
        <v>0.65287700000000004</v>
      </c>
      <c r="E1628" s="32"/>
      <c r="F1628" s="32"/>
      <c r="G1628" s="32"/>
      <c r="H1628" s="32"/>
      <c r="I1628" s="32"/>
      <c r="J1628" s="28">
        <f t="shared" si="1388"/>
        <v>0</v>
      </c>
      <c r="K1628" s="29"/>
      <c r="L1628" s="29"/>
      <c r="M1628" s="29"/>
      <c r="N1628" s="29"/>
      <c r="O1628" s="29"/>
      <c r="P1628" s="30">
        <f t="shared" si="1390"/>
        <v>0</v>
      </c>
      <c r="Q1628" s="31">
        <f t="shared" si="1389"/>
        <v>0</v>
      </c>
    </row>
    <row r="1629" spans="1:17" x14ac:dyDescent="0.2">
      <c r="A1629" s="10"/>
      <c r="B1629" s="26"/>
      <c r="C1629" s="11">
        <v>1990</v>
      </c>
      <c r="D1629" s="32">
        <f>SPFI_CLB14!$D$13</f>
        <v>0.56965100000000002</v>
      </c>
      <c r="E1629" s="32"/>
      <c r="F1629" s="32"/>
      <c r="G1629" s="32"/>
      <c r="H1629" s="32"/>
      <c r="I1629" s="32"/>
      <c r="J1629" s="28">
        <f t="shared" si="1388"/>
        <v>0</v>
      </c>
      <c r="K1629" s="29"/>
      <c r="L1629" s="29"/>
      <c r="M1629" s="29"/>
      <c r="N1629" s="29"/>
      <c r="O1629" s="29"/>
      <c r="P1629" s="30">
        <f t="shared" si="1390"/>
        <v>0</v>
      </c>
      <c r="Q1629" s="31">
        <f t="shared" si="1389"/>
        <v>0</v>
      </c>
    </row>
    <row r="1630" spans="1:17" x14ac:dyDescent="0.2">
      <c r="A1630" s="10"/>
      <c r="B1630" s="26"/>
      <c r="C1630" s="11">
        <v>1991</v>
      </c>
      <c r="D1630" s="32">
        <f>SPFI_CLB14!$D$14</f>
        <v>0.62776900000000002</v>
      </c>
      <c r="E1630" s="32"/>
      <c r="F1630" s="32"/>
      <c r="G1630" s="32"/>
      <c r="H1630" s="32"/>
      <c r="I1630" s="32"/>
      <c r="J1630" s="28">
        <f t="shared" si="1388"/>
        <v>0</v>
      </c>
      <c r="K1630" s="29"/>
      <c r="L1630" s="29"/>
      <c r="M1630" s="29"/>
      <c r="N1630" s="29"/>
      <c r="O1630" s="29"/>
      <c r="P1630" s="30">
        <f t="shared" si="1390"/>
        <v>0</v>
      </c>
      <c r="Q1630" s="31">
        <f t="shared" si="1389"/>
        <v>0</v>
      </c>
    </row>
    <row r="1631" spans="1:17" x14ac:dyDescent="0.2">
      <c r="A1631" s="10"/>
      <c r="B1631" s="26"/>
      <c r="C1631" s="11">
        <v>1992</v>
      </c>
      <c r="D1631" s="32">
        <f>SPFI_CLB14!$D$15</f>
        <v>0.43504100000000001</v>
      </c>
      <c r="E1631" s="32"/>
      <c r="F1631" s="32"/>
      <c r="G1631" s="32"/>
      <c r="H1631" s="32"/>
      <c r="I1631" s="32"/>
      <c r="J1631" s="28">
        <f t="shared" si="1388"/>
        <v>0</v>
      </c>
      <c r="K1631" s="29"/>
      <c r="L1631" s="29"/>
      <c r="M1631" s="29"/>
      <c r="N1631" s="29"/>
      <c r="O1631" s="29"/>
      <c r="P1631" s="30">
        <f t="shared" si="1390"/>
        <v>0</v>
      </c>
      <c r="Q1631" s="31">
        <f t="shared" si="1389"/>
        <v>0</v>
      </c>
    </row>
    <row r="1632" spans="1:17" x14ac:dyDescent="0.2">
      <c r="A1632" s="10"/>
      <c r="B1632" s="26"/>
      <c r="C1632" s="11">
        <v>1993</v>
      </c>
      <c r="D1632" s="32">
        <f>SPFI_CLB14!$D$16</f>
        <v>0.499164</v>
      </c>
      <c r="E1632" s="32"/>
      <c r="F1632" s="32"/>
      <c r="G1632" s="32"/>
      <c r="H1632" s="32"/>
      <c r="I1632" s="32"/>
      <c r="J1632" s="28">
        <f t="shared" si="1388"/>
        <v>0</v>
      </c>
      <c r="K1632" s="29"/>
      <c r="L1632" s="29"/>
      <c r="M1632" s="29"/>
      <c r="N1632" s="29"/>
      <c r="O1632" s="29"/>
      <c r="P1632" s="30">
        <f t="shared" si="1390"/>
        <v>0</v>
      </c>
      <c r="Q1632" s="31">
        <f t="shared" si="1389"/>
        <v>0</v>
      </c>
    </row>
    <row r="1633" spans="1:17" x14ac:dyDescent="0.2">
      <c r="A1633" s="10"/>
      <c r="B1633" s="26"/>
      <c r="C1633" s="11">
        <v>1994</v>
      </c>
      <c r="D1633" s="32">
        <f>SPFI_CLB14!$D$17</f>
        <v>0.59591300000000003</v>
      </c>
      <c r="E1633" s="32"/>
      <c r="F1633" s="32"/>
      <c r="G1633" s="32"/>
      <c r="H1633" s="32"/>
      <c r="I1633" s="32"/>
      <c r="J1633" s="28">
        <f t="shared" si="1388"/>
        <v>0</v>
      </c>
      <c r="K1633" s="29"/>
      <c r="L1633" s="29"/>
      <c r="M1633" s="29"/>
      <c r="N1633" s="29"/>
      <c r="O1633" s="29"/>
      <c r="P1633" s="30">
        <f t="shared" si="1390"/>
        <v>0</v>
      </c>
      <c r="Q1633" s="31">
        <f t="shared" si="1389"/>
        <v>0</v>
      </c>
    </row>
    <row r="1634" spans="1:17" x14ac:dyDescent="0.2">
      <c r="A1634" s="10"/>
      <c r="B1634" s="26"/>
      <c r="C1634" s="11">
        <v>1995</v>
      </c>
      <c r="D1634" s="32">
        <f>SPFI_CLB14!$D$18</f>
        <v>0.25400800000000001</v>
      </c>
      <c r="E1634" s="32"/>
      <c r="F1634" s="32"/>
      <c r="G1634" s="32"/>
      <c r="H1634" s="32"/>
      <c r="I1634" s="32"/>
      <c r="J1634" s="28">
        <f t="shared" ref="J1634" si="1391">D1634*J$52</f>
        <v>0</v>
      </c>
      <c r="K1634" s="29"/>
      <c r="L1634" s="29"/>
      <c r="M1634" s="29"/>
      <c r="N1634" s="29"/>
      <c r="O1634" s="29"/>
      <c r="P1634" s="30">
        <f>SUM(J1634:O1634)</f>
        <v>0</v>
      </c>
      <c r="Q1634" s="31">
        <f t="shared" si="1389"/>
        <v>0</v>
      </c>
    </row>
    <row r="1635" spans="1:17" x14ac:dyDescent="0.2">
      <c r="A1635" s="10"/>
      <c r="B1635" s="26"/>
      <c r="C1635" s="11">
        <v>1996</v>
      </c>
      <c r="D1635" s="32">
        <f>SPFI_CLB14!$D$19</f>
        <v>0</v>
      </c>
      <c r="E1635" s="32"/>
      <c r="F1635" s="32"/>
      <c r="G1635" s="32"/>
      <c r="H1635" s="32"/>
      <c r="I1635" s="32"/>
      <c r="J1635" s="28">
        <f t="shared" ref="J1635" si="1392">D1635*J$52</f>
        <v>0</v>
      </c>
      <c r="K1635" s="29"/>
      <c r="L1635" s="29"/>
      <c r="M1635" s="29"/>
      <c r="N1635" s="29"/>
      <c r="O1635" s="29"/>
      <c r="P1635" s="30">
        <f>SUM(J1635:O1635)</f>
        <v>0</v>
      </c>
      <c r="Q1635" s="31">
        <f t="shared" si="1389"/>
        <v>0</v>
      </c>
    </row>
    <row r="1636" spans="1:17" x14ac:dyDescent="0.2">
      <c r="A1636" s="10"/>
      <c r="B1636" s="26"/>
      <c r="C1636" s="11">
        <v>1997</v>
      </c>
      <c r="D1636" s="32">
        <f>SPFI_CLB14!$D$20</f>
        <v>0.201487</v>
      </c>
      <c r="E1636" s="32"/>
      <c r="F1636" s="32"/>
      <c r="G1636" s="32"/>
      <c r="H1636" s="32"/>
      <c r="I1636" s="32"/>
      <c r="J1636" s="28">
        <f t="shared" ref="J1636" si="1393">D1636*J$52</f>
        <v>0</v>
      </c>
      <c r="K1636" s="29"/>
      <c r="L1636" s="29"/>
      <c r="M1636" s="29"/>
      <c r="N1636" s="29"/>
      <c r="O1636" s="29"/>
      <c r="P1636" s="30">
        <f>SUM(J1636:O1636)</f>
        <v>0</v>
      </c>
      <c r="Q1636" s="31">
        <f t="shared" si="1389"/>
        <v>0</v>
      </c>
    </row>
    <row r="1637" spans="1:17" x14ac:dyDescent="0.2">
      <c r="A1637" s="10"/>
      <c r="B1637" s="26"/>
      <c r="C1637" s="11">
        <v>1998</v>
      </c>
      <c r="D1637" s="32">
        <f>SPFI_CLB14!$D$21</f>
        <v>0.37506400000000001</v>
      </c>
      <c r="E1637" s="32"/>
      <c r="F1637" s="32"/>
      <c r="G1637" s="32"/>
      <c r="H1637" s="32"/>
      <c r="I1637" s="32"/>
      <c r="J1637" s="28">
        <f t="shared" ref="J1637" si="1394">D1637*J$52</f>
        <v>0</v>
      </c>
      <c r="K1637" s="29"/>
      <c r="L1637" s="29"/>
      <c r="M1637" s="29"/>
      <c r="N1637" s="29"/>
      <c r="O1637" s="29"/>
      <c r="P1637" s="30">
        <f>SUM(J1637:O1637)</f>
        <v>0</v>
      </c>
      <c r="Q1637" s="31">
        <f t="shared" si="1389"/>
        <v>0</v>
      </c>
    </row>
    <row r="1638" spans="1:17" x14ac:dyDescent="0.2">
      <c r="A1638" s="10"/>
      <c r="B1638" s="26"/>
      <c r="C1638" s="11">
        <v>1999</v>
      </c>
      <c r="D1638" s="32">
        <f>SPFI_CLB14!$D$22</f>
        <v>0.29823699999999997</v>
      </c>
      <c r="E1638" s="32"/>
      <c r="F1638" s="32"/>
      <c r="G1638" s="32"/>
      <c r="H1638" s="32"/>
      <c r="I1638" s="32"/>
      <c r="J1638" s="28">
        <f t="shared" ref="J1638" si="1395">D1638*J$52</f>
        <v>0</v>
      </c>
      <c r="K1638" s="29"/>
      <c r="L1638" s="29"/>
      <c r="M1638" s="29"/>
      <c r="N1638" s="29"/>
      <c r="O1638" s="29"/>
      <c r="P1638" s="30">
        <f>SUM(J1638:O1638)</f>
        <v>0</v>
      </c>
      <c r="Q1638" s="31">
        <f t="shared" ref="Q1638:Q1643" si="1396">IF(C$52&gt;0,P1638/C$52,0)</f>
        <v>0</v>
      </c>
    </row>
    <row r="1639" spans="1:17" x14ac:dyDescent="0.2">
      <c r="A1639" s="10"/>
      <c r="B1639" s="26"/>
      <c r="C1639" s="11">
        <v>2000</v>
      </c>
      <c r="D1639" s="32">
        <f>SPFI_CLB14!$D$23</f>
        <v>8.4414000000000003E-2</v>
      </c>
      <c r="E1639" s="32"/>
      <c r="F1639" s="32"/>
      <c r="G1639" s="32"/>
      <c r="H1639" s="32"/>
      <c r="I1639" s="32"/>
      <c r="J1639" s="28">
        <f t="shared" ref="J1639" si="1397">D1639*J$52</f>
        <v>0</v>
      </c>
      <c r="K1639" s="29"/>
      <c r="L1639" s="29"/>
      <c r="M1639" s="29"/>
      <c r="N1639" s="29"/>
      <c r="O1639" s="29"/>
      <c r="P1639" s="30">
        <f t="shared" ref="P1639:P1644" si="1398">SUM(J1639:O1639)</f>
        <v>0</v>
      </c>
      <c r="Q1639" s="31">
        <f t="shared" si="1396"/>
        <v>0</v>
      </c>
    </row>
    <row r="1640" spans="1:17" x14ac:dyDescent="0.2">
      <c r="A1640" s="10"/>
      <c r="B1640" s="26"/>
      <c r="C1640" s="11">
        <v>2001</v>
      </c>
      <c r="D1640" s="32">
        <f>SPFI_CLB14!$D$24</f>
        <v>7.8909000000000007E-2</v>
      </c>
      <c r="E1640" s="32"/>
      <c r="F1640" s="32"/>
      <c r="G1640" s="32"/>
      <c r="H1640" s="32"/>
      <c r="I1640" s="32"/>
      <c r="J1640" s="28">
        <f t="shared" ref="J1640" si="1399">D1640*J$52</f>
        <v>0</v>
      </c>
      <c r="K1640" s="29"/>
      <c r="L1640" s="29"/>
      <c r="M1640" s="29"/>
      <c r="N1640" s="29"/>
      <c r="O1640" s="29"/>
      <c r="P1640" s="30">
        <f t="shared" si="1398"/>
        <v>0</v>
      </c>
      <c r="Q1640" s="31">
        <f t="shared" si="1396"/>
        <v>0</v>
      </c>
    </row>
    <row r="1641" spans="1:17" x14ac:dyDescent="0.2">
      <c r="A1641" s="10"/>
      <c r="B1641" s="26"/>
      <c r="C1641" s="11">
        <v>2002</v>
      </c>
      <c r="D1641" s="32">
        <f>SPFI_CLB14!$D$25</f>
        <v>0.29974699999999999</v>
      </c>
      <c r="E1641" s="32"/>
      <c r="F1641" s="32"/>
      <c r="G1641" s="32"/>
      <c r="H1641" s="32"/>
      <c r="I1641" s="32"/>
      <c r="J1641" s="28">
        <f t="shared" ref="J1641" si="1400">D1641*J$52</f>
        <v>0</v>
      </c>
      <c r="K1641" s="29"/>
      <c r="L1641" s="29"/>
      <c r="M1641" s="29"/>
      <c r="N1641" s="29"/>
      <c r="O1641" s="29"/>
      <c r="P1641" s="30">
        <f t="shared" si="1398"/>
        <v>0</v>
      </c>
      <c r="Q1641" s="31">
        <f t="shared" si="1396"/>
        <v>0</v>
      </c>
    </row>
    <row r="1642" spans="1:17" x14ac:dyDescent="0.2">
      <c r="A1642" s="10"/>
      <c r="B1642" s="26"/>
      <c r="C1642" s="11">
        <v>2003</v>
      </c>
      <c r="D1642" s="32">
        <f>SPFI_CLB14!$D$26</f>
        <v>0.20691100000000001</v>
      </c>
      <c r="E1642" s="32"/>
      <c r="F1642" s="32"/>
      <c r="G1642" s="32"/>
      <c r="H1642" s="32"/>
      <c r="I1642" s="32"/>
      <c r="J1642" s="28">
        <f t="shared" ref="J1642" si="1401">D1642*J$52</f>
        <v>0</v>
      </c>
      <c r="K1642" s="29"/>
      <c r="L1642" s="29"/>
      <c r="M1642" s="29"/>
      <c r="N1642" s="29"/>
      <c r="O1642" s="29"/>
      <c r="P1642" s="30">
        <f t="shared" si="1398"/>
        <v>0</v>
      </c>
      <c r="Q1642" s="31">
        <f t="shared" si="1396"/>
        <v>0</v>
      </c>
    </row>
    <row r="1643" spans="1:17" x14ac:dyDescent="0.2">
      <c r="A1643" s="10"/>
      <c r="B1643" s="26"/>
      <c r="C1643" s="11">
        <v>2004</v>
      </c>
      <c r="D1643" s="32">
        <f>SPFI_CLB14!$D$27</f>
        <v>0.269237</v>
      </c>
      <c r="E1643" s="32"/>
      <c r="F1643" s="32"/>
      <c r="G1643" s="32"/>
      <c r="H1643" s="32"/>
      <c r="I1643" s="32"/>
      <c r="J1643" s="28">
        <f t="shared" ref="J1643" si="1402">D1643*J$52</f>
        <v>0</v>
      </c>
      <c r="K1643" s="29"/>
      <c r="L1643" s="29"/>
      <c r="M1643" s="29"/>
      <c r="N1643" s="29"/>
      <c r="O1643" s="29"/>
      <c r="P1643" s="30">
        <f t="shared" si="1398"/>
        <v>0</v>
      </c>
      <c r="Q1643" s="31">
        <f t="shared" si="1396"/>
        <v>0</v>
      </c>
    </row>
    <row r="1644" spans="1:17" x14ac:dyDescent="0.2">
      <c r="A1644" s="10"/>
      <c r="B1644" s="26"/>
      <c r="C1644" s="11">
        <v>2005</v>
      </c>
      <c r="D1644" s="32">
        <f>SPFI_CLB14!$D$28</f>
        <v>0.37848700000000002</v>
      </c>
      <c r="E1644" s="32"/>
      <c r="F1644" s="32"/>
      <c r="G1644" s="32"/>
      <c r="H1644" s="32"/>
      <c r="I1644" s="32"/>
      <c r="J1644" s="28">
        <f t="shared" ref="J1644" si="1403">D1644*J$52</f>
        <v>0</v>
      </c>
      <c r="K1644" s="29"/>
      <c r="L1644" s="29"/>
      <c r="M1644" s="29"/>
      <c r="N1644" s="29"/>
      <c r="O1644" s="29"/>
      <c r="P1644" s="30">
        <f t="shared" si="1398"/>
        <v>0</v>
      </c>
      <c r="Q1644" s="31">
        <f t="shared" ref="Q1644:Q1649" si="1404">IF(C$52&gt;0,P1644/C$52,0)</f>
        <v>0</v>
      </c>
    </row>
    <row r="1645" spans="1:17" x14ac:dyDescent="0.2">
      <c r="A1645" s="10"/>
      <c r="B1645" s="26"/>
      <c r="C1645" s="11">
        <v>2006</v>
      </c>
      <c r="D1645" s="32">
        <f>SPFI_CLB14!$D$29</f>
        <v>0.381023</v>
      </c>
      <c r="E1645" s="32"/>
      <c r="F1645" s="32"/>
      <c r="G1645" s="32"/>
      <c r="H1645" s="32"/>
      <c r="I1645" s="32"/>
      <c r="J1645" s="28">
        <f t="shared" ref="J1645" si="1405">D1645*J$52</f>
        <v>0</v>
      </c>
      <c r="K1645" s="29"/>
      <c r="L1645" s="29"/>
      <c r="M1645" s="29"/>
      <c r="N1645" s="29"/>
      <c r="O1645" s="29"/>
      <c r="P1645" s="30">
        <f t="shared" ref="P1645:P1652" si="1406">SUM(J1645:O1645)</f>
        <v>0</v>
      </c>
      <c r="Q1645" s="31">
        <f t="shared" si="1404"/>
        <v>0</v>
      </c>
    </row>
    <row r="1646" spans="1:17" x14ac:dyDescent="0.2">
      <c r="A1646" s="10"/>
      <c r="B1646" s="26"/>
      <c r="C1646" s="11">
        <v>2007</v>
      </c>
      <c r="D1646" s="32">
        <f>SPFI_CLB14!$D$30</f>
        <v>0.356512</v>
      </c>
      <c r="E1646" s="32"/>
      <c r="F1646" s="32"/>
      <c r="G1646" s="32"/>
      <c r="H1646" s="32"/>
      <c r="I1646" s="32"/>
      <c r="J1646" s="28">
        <f t="shared" ref="J1646" si="1407">D1646*J$52</f>
        <v>0</v>
      </c>
      <c r="K1646" s="29"/>
      <c r="L1646" s="29"/>
      <c r="M1646" s="29"/>
      <c r="N1646" s="29"/>
      <c r="O1646" s="29"/>
      <c r="P1646" s="30">
        <f t="shared" si="1406"/>
        <v>0</v>
      </c>
      <c r="Q1646" s="31">
        <f t="shared" si="1404"/>
        <v>0</v>
      </c>
    </row>
    <row r="1647" spans="1:17" x14ac:dyDescent="0.2">
      <c r="A1647" s="10"/>
      <c r="B1647" s="26"/>
      <c r="C1647" s="11">
        <v>2008</v>
      </c>
      <c r="D1647" s="32">
        <f>SPFI_CLB14!$D$31</f>
        <v>0.25494499999999998</v>
      </c>
      <c r="E1647" s="32"/>
      <c r="F1647" s="32"/>
      <c r="G1647" s="32"/>
      <c r="H1647" s="32"/>
      <c r="I1647" s="32"/>
      <c r="J1647" s="28">
        <f t="shared" ref="J1647" si="1408">D1647*J$52</f>
        <v>0</v>
      </c>
      <c r="K1647" s="29"/>
      <c r="L1647" s="29"/>
      <c r="M1647" s="29"/>
      <c r="N1647" s="29"/>
      <c r="O1647" s="29"/>
      <c r="P1647" s="30">
        <f t="shared" si="1406"/>
        <v>0</v>
      </c>
      <c r="Q1647" s="31">
        <f t="shared" si="1404"/>
        <v>0</v>
      </c>
    </row>
    <row r="1648" spans="1:17" x14ac:dyDescent="0.2">
      <c r="A1648" s="10"/>
      <c r="B1648" s="26"/>
      <c r="C1648" s="11">
        <v>2009</v>
      </c>
      <c r="D1648" s="32">
        <f>SPFI_CLB14!$D$32</f>
        <v>0.52383000000000002</v>
      </c>
      <c r="E1648" s="32"/>
      <c r="F1648" s="32"/>
      <c r="G1648" s="32"/>
      <c r="H1648" s="32"/>
      <c r="I1648" s="32"/>
      <c r="J1648" s="28">
        <f t="shared" ref="J1648" si="1409">D1648*J$52</f>
        <v>0</v>
      </c>
      <c r="K1648" s="29"/>
      <c r="L1648" s="29"/>
      <c r="M1648" s="29"/>
      <c r="N1648" s="29"/>
      <c r="O1648" s="29"/>
      <c r="P1648" s="30">
        <f t="shared" si="1406"/>
        <v>0</v>
      </c>
      <c r="Q1648" s="31">
        <f t="shared" si="1404"/>
        <v>0</v>
      </c>
    </row>
    <row r="1649" spans="1:17" x14ac:dyDescent="0.2">
      <c r="A1649" s="10"/>
      <c r="B1649" s="26"/>
      <c r="C1649" s="11">
        <v>2010</v>
      </c>
      <c r="D1649" s="32">
        <f>SPFI_CLB14!$D$33</f>
        <v>0.31394</v>
      </c>
      <c r="E1649" s="32"/>
      <c r="F1649" s="32"/>
      <c r="G1649" s="32"/>
      <c r="H1649" s="32"/>
      <c r="I1649" s="32"/>
      <c r="J1649" s="28">
        <f t="shared" ref="J1649" si="1410">D1649*J$52</f>
        <v>0</v>
      </c>
      <c r="K1649" s="29"/>
      <c r="L1649" s="29"/>
      <c r="M1649" s="29"/>
      <c r="N1649" s="29"/>
      <c r="O1649" s="29"/>
      <c r="P1649" s="30">
        <f t="shared" si="1406"/>
        <v>0</v>
      </c>
      <c r="Q1649" s="31">
        <f t="shared" si="1404"/>
        <v>0</v>
      </c>
    </row>
    <row r="1650" spans="1:17" x14ac:dyDescent="0.2">
      <c r="A1650" s="10"/>
      <c r="B1650" s="26"/>
      <c r="C1650" s="11">
        <v>2011</v>
      </c>
      <c r="D1650" s="32">
        <f>SPFI_CLB14!$D$34</f>
        <v>0.294348</v>
      </c>
      <c r="E1650" s="32"/>
      <c r="F1650" s="32"/>
      <c r="G1650" s="32"/>
      <c r="H1650" s="32"/>
      <c r="I1650" s="32"/>
      <c r="J1650" s="28">
        <f t="shared" ref="J1650" si="1411">D1650*J$52</f>
        <v>0</v>
      </c>
      <c r="K1650" s="29"/>
      <c r="L1650" s="29"/>
      <c r="M1650" s="29"/>
      <c r="N1650" s="29"/>
      <c r="O1650" s="29"/>
      <c r="P1650" s="30">
        <f t="shared" ref="P1650" si="1412">SUM(J1650:O1650)</f>
        <v>0</v>
      </c>
      <c r="Q1650" s="31">
        <f t="shared" ref="Q1650" si="1413">IF(C$52&gt;0,P1650/C$52,0)</f>
        <v>0</v>
      </c>
    </row>
    <row r="1651" spans="1:17" x14ac:dyDescent="0.2">
      <c r="A1651" s="10"/>
      <c r="B1651" s="26"/>
      <c r="C1651" s="11">
        <v>2012</v>
      </c>
      <c r="D1651" s="32">
        <f>SPFI_CLB14!$D$35</f>
        <v>0.34784100000000001</v>
      </c>
      <c r="E1651" s="32"/>
      <c r="F1651" s="32"/>
      <c r="G1651" s="32"/>
      <c r="H1651" s="32"/>
      <c r="I1651" s="32"/>
      <c r="J1651" s="28">
        <f t="shared" ref="J1651" si="1414">D1651*J$52</f>
        <v>0</v>
      </c>
      <c r="K1651" s="29"/>
      <c r="L1651" s="29"/>
      <c r="M1651" s="29"/>
      <c r="N1651" s="29"/>
      <c r="O1651" s="29"/>
      <c r="P1651" s="30">
        <f t="shared" ref="P1651" si="1415">SUM(J1651:O1651)</f>
        <v>0</v>
      </c>
      <c r="Q1651" s="31">
        <f t="shared" ref="Q1651" si="1416">IF(C$52&gt;0,P1651/C$52,0)</f>
        <v>0</v>
      </c>
    </row>
    <row r="1652" spans="1:17" x14ac:dyDescent="0.2">
      <c r="A1652" s="5" t="s">
        <v>18</v>
      </c>
      <c r="B1652" s="21">
        <v>3</v>
      </c>
      <c r="C1652" s="6">
        <v>1982</v>
      </c>
      <c r="D1652" s="27">
        <f>SPFI_CLB14!$D$5</f>
        <v>0.98153299999999999</v>
      </c>
      <c r="E1652" s="27"/>
      <c r="F1652" s="27"/>
      <c r="G1652" s="27"/>
      <c r="H1652" s="27"/>
      <c r="I1652" s="27"/>
      <c r="J1652" s="33">
        <f t="shared" ref="J1652:J1664" si="1417">D1652*J$53</f>
        <v>0</v>
      </c>
      <c r="K1652" s="27"/>
      <c r="L1652" s="27"/>
      <c r="M1652" s="27"/>
      <c r="N1652" s="27"/>
      <c r="O1652" s="27"/>
      <c r="P1652" s="34">
        <f t="shared" si="1406"/>
        <v>0</v>
      </c>
      <c r="Q1652" s="35">
        <f t="shared" ref="Q1652:Q1668" si="1418">IF(C$53&gt;0,P1652/C$53,0)</f>
        <v>0</v>
      </c>
    </row>
    <row r="1653" spans="1:17" x14ac:dyDescent="0.2">
      <c r="A1653" s="10"/>
      <c r="B1653" s="26"/>
      <c r="C1653" s="11">
        <v>1983</v>
      </c>
      <c r="D1653" s="32">
        <f>SPFI_CLB14!$D$6</f>
        <v>0.93659899999999996</v>
      </c>
      <c r="E1653" s="32"/>
      <c r="F1653" s="32"/>
      <c r="G1653" s="32"/>
      <c r="H1653" s="32"/>
      <c r="I1653" s="32"/>
      <c r="J1653" s="28">
        <f t="shared" si="1417"/>
        <v>0</v>
      </c>
      <c r="K1653" s="29"/>
      <c r="L1653" s="29"/>
      <c r="M1653" s="29"/>
      <c r="N1653" s="29"/>
      <c r="O1653" s="29"/>
      <c r="P1653" s="30">
        <f t="shared" ref="P1653:P1664" si="1419">SUM(J1653:O1653)</f>
        <v>0</v>
      </c>
      <c r="Q1653" s="31">
        <f t="shared" si="1418"/>
        <v>0</v>
      </c>
    </row>
    <row r="1654" spans="1:17" x14ac:dyDescent="0.2">
      <c r="A1654" s="10"/>
      <c r="B1654" s="26"/>
      <c r="C1654" s="11">
        <v>1984</v>
      </c>
      <c r="D1654" s="32">
        <f>SPFI_CLB14!$D$7</f>
        <v>0.92793599999999998</v>
      </c>
      <c r="E1654" s="32"/>
      <c r="F1654" s="32"/>
      <c r="G1654" s="32"/>
      <c r="H1654" s="32"/>
      <c r="I1654" s="32"/>
      <c r="J1654" s="28">
        <f t="shared" si="1417"/>
        <v>0</v>
      </c>
      <c r="K1654" s="29"/>
      <c r="L1654" s="29"/>
      <c r="M1654" s="29"/>
      <c r="N1654" s="29"/>
      <c r="O1654" s="29"/>
      <c r="P1654" s="30">
        <f t="shared" si="1419"/>
        <v>0</v>
      </c>
      <c r="Q1654" s="31">
        <f t="shared" si="1418"/>
        <v>0</v>
      </c>
    </row>
    <row r="1655" spans="1:17" x14ac:dyDescent="0.2">
      <c r="A1655" s="10"/>
      <c r="B1655" s="26"/>
      <c r="C1655" s="11">
        <v>1985</v>
      </c>
      <c r="D1655" s="32">
        <f>SPFI_CLB14!$D$8</f>
        <v>0.90386500000000003</v>
      </c>
      <c r="E1655" s="32"/>
      <c r="F1655" s="32"/>
      <c r="G1655" s="32"/>
      <c r="H1655" s="32"/>
      <c r="I1655" s="32"/>
      <c r="J1655" s="28">
        <f t="shared" si="1417"/>
        <v>0</v>
      </c>
      <c r="K1655" s="29"/>
      <c r="L1655" s="29"/>
      <c r="M1655" s="29"/>
      <c r="N1655" s="29"/>
      <c r="O1655" s="29"/>
      <c r="P1655" s="30">
        <f t="shared" si="1419"/>
        <v>0</v>
      </c>
      <c r="Q1655" s="31">
        <f t="shared" si="1418"/>
        <v>0</v>
      </c>
    </row>
    <row r="1656" spans="1:17" x14ac:dyDescent="0.2">
      <c r="A1656" s="10"/>
      <c r="B1656" s="26"/>
      <c r="C1656" s="11">
        <v>1986</v>
      </c>
      <c r="D1656" s="32">
        <f>SPFI_CLB14!$D$9</f>
        <v>0.73087500000000005</v>
      </c>
      <c r="E1656" s="32"/>
      <c r="F1656" s="32"/>
      <c r="G1656" s="32"/>
      <c r="H1656" s="32"/>
      <c r="I1656" s="32"/>
      <c r="J1656" s="28">
        <f t="shared" si="1417"/>
        <v>0</v>
      </c>
      <c r="K1656" s="29"/>
      <c r="L1656" s="29"/>
      <c r="M1656" s="29"/>
      <c r="N1656" s="29"/>
      <c r="O1656" s="29"/>
      <c r="P1656" s="30">
        <f t="shared" si="1419"/>
        <v>0</v>
      </c>
      <c r="Q1656" s="31">
        <f t="shared" si="1418"/>
        <v>0</v>
      </c>
    </row>
    <row r="1657" spans="1:17" x14ac:dyDescent="0.2">
      <c r="A1657" s="10"/>
      <c r="B1657" s="26"/>
      <c r="C1657" s="11">
        <v>1987</v>
      </c>
      <c r="D1657" s="32">
        <f>SPFI_CLB14!$D$10</f>
        <v>0.71733499999999994</v>
      </c>
      <c r="E1657" s="32"/>
      <c r="F1657" s="32"/>
      <c r="G1657" s="32"/>
      <c r="H1657" s="32"/>
      <c r="I1657" s="32"/>
      <c r="J1657" s="28">
        <f t="shared" si="1417"/>
        <v>0</v>
      </c>
      <c r="K1657" s="29"/>
      <c r="L1657" s="29"/>
      <c r="M1657" s="29"/>
      <c r="N1657" s="29"/>
      <c r="O1657" s="29"/>
      <c r="P1657" s="30">
        <f t="shared" si="1419"/>
        <v>0</v>
      </c>
      <c r="Q1657" s="31">
        <f t="shared" si="1418"/>
        <v>0</v>
      </c>
    </row>
    <row r="1658" spans="1:17" x14ac:dyDescent="0.2">
      <c r="A1658" s="10"/>
      <c r="B1658" s="26"/>
      <c r="C1658" s="11">
        <v>1988</v>
      </c>
      <c r="D1658" s="32">
        <f>SPFI_CLB14!$D$11</f>
        <v>0.64558800000000005</v>
      </c>
      <c r="E1658" s="32"/>
      <c r="F1658" s="32"/>
      <c r="G1658" s="32"/>
      <c r="H1658" s="32"/>
      <c r="I1658" s="32"/>
      <c r="J1658" s="28">
        <f t="shared" si="1417"/>
        <v>0</v>
      </c>
      <c r="K1658" s="29"/>
      <c r="L1658" s="29"/>
      <c r="M1658" s="29"/>
      <c r="N1658" s="29"/>
      <c r="O1658" s="29"/>
      <c r="P1658" s="30">
        <f t="shared" si="1419"/>
        <v>0</v>
      </c>
      <c r="Q1658" s="31">
        <f t="shared" si="1418"/>
        <v>0</v>
      </c>
    </row>
    <row r="1659" spans="1:17" x14ac:dyDescent="0.2">
      <c r="A1659" s="10"/>
      <c r="B1659" s="26"/>
      <c r="C1659" s="11">
        <v>1989</v>
      </c>
      <c r="D1659" s="32">
        <f>SPFI_CLB14!$D$12</f>
        <v>0.65287700000000004</v>
      </c>
      <c r="E1659" s="32"/>
      <c r="F1659" s="32"/>
      <c r="G1659" s="32"/>
      <c r="H1659" s="32"/>
      <c r="I1659" s="32"/>
      <c r="J1659" s="28">
        <f t="shared" si="1417"/>
        <v>0</v>
      </c>
      <c r="K1659" s="29"/>
      <c r="L1659" s="29"/>
      <c r="M1659" s="29"/>
      <c r="N1659" s="29"/>
      <c r="O1659" s="29"/>
      <c r="P1659" s="30">
        <f t="shared" si="1419"/>
        <v>0</v>
      </c>
      <c r="Q1659" s="31">
        <f t="shared" si="1418"/>
        <v>0</v>
      </c>
    </row>
    <row r="1660" spans="1:17" x14ac:dyDescent="0.2">
      <c r="A1660" s="10"/>
      <c r="B1660" s="26"/>
      <c r="C1660" s="11">
        <v>1990</v>
      </c>
      <c r="D1660" s="32">
        <f>SPFI_CLB14!$D$13</f>
        <v>0.56965100000000002</v>
      </c>
      <c r="E1660" s="32"/>
      <c r="F1660" s="32"/>
      <c r="G1660" s="32"/>
      <c r="H1660" s="32"/>
      <c r="I1660" s="32"/>
      <c r="J1660" s="28">
        <f t="shared" si="1417"/>
        <v>0</v>
      </c>
      <c r="K1660" s="29"/>
      <c r="L1660" s="29"/>
      <c r="M1660" s="29"/>
      <c r="N1660" s="29"/>
      <c r="O1660" s="29"/>
      <c r="P1660" s="30">
        <f t="shared" si="1419"/>
        <v>0</v>
      </c>
      <c r="Q1660" s="31">
        <f t="shared" si="1418"/>
        <v>0</v>
      </c>
    </row>
    <row r="1661" spans="1:17" x14ac:dyDescent="0.2">
      <c r="A1661" s="10"/>
      <c r="B1661" s="26"/>
      <c r="C1661" s="11">
        <v>1991</v>
      </c>
      <c r="D1661" s="32">
        <f>SPFI_CLB14!$D$14</f>
        <v>0.62776900000000002</v>
      </c>
      <c r="E1661" s="32"/>
      <c r="F1661" s="32"/>
      <c r="G1661" s="32"/>
      <c r="H1661" s="32"/>
      <c r="I1661" s="32"/>
      <c r="J1661" s="28">
        <f t="shared" si="1417"/>
        <v>0</v>
      </c>
      <c r="K1661" s="29"/>
      <c r="L1661" s="29"/>
      <c r="M1661" s="29"/>
      <c r="N1661" s="29"/>
      <c r="O1661" s="29"/>
      <c r="P1661" s="30">
        <f t="shared" si="1419"/>
        <v>0</v>
      </c>
      <c r="Q1661" s="31">
        <f t="shared" si="1418"/>
        <v>0</v>
      </c>
    </row>
    <row r="1662" spans="1:17" x14ac:dyDescent="0.2">
      <c r="A1662" s="10"/>
      <c r="B1662" s="26"/>
      <c r="C1662" s="11">
        <v>1992</v>
      </c>
      <c r="D1662" s="32">
        <f>SPFI_CLB14!$D$15</f>
        <v>0.43504100000000001</v>
      </c>
      <c r="E1662" s="32"/>
      <c r="F1662" s="32"/>
      <c r="G1662" s="32"/>
      <c r="H1662" s="32"/>
      <c r="I1662" s="32"/>
      <c r="J1662" s="28">
        <f t="shared" si="1417"/>
        <v>0</v>
      </c>
      <c r="K1662" s="29"/>
      <c r="L1662" s="29"/>
      <c r="M1662" s="29"/>
      <c r="N1662" s="29"/>
      <c r="O1662" s="29"/>
      <c r="P1662" s="30">
        <f t="shared" si="1419"/>
        <v>0</v>
      </c>
      <c r="Q1662" s="31">
        <f t="shared" si="1418"/>
        <v>0</v>
      </c>
    </row>
    <row r="1663" spans="1:17" x14ac:dyDescent="0.2">
      <c r="A1663" s="10"/>
      <c r="B1663" s="26"/>
      <c r="C1663" s="11">
        <v>1993</v>
      </c>
      <c r="D1663" s="32">
        <f>SPFI_CLB14!$D$16</f>
        <v>0.499164</v>
      </c>
      <c r="E1663" s="32"/>
      <c r="F1663" s="32"/>
      <c r="G1663" s="32"/>
      <c r="H1663" s="32"/>
      <c r="I1663" s="32"/>
      <c r="J1663" s="28">
        <f t="shared" si="1417"/>
        <v>0</v>
      </c>
      <c r="K1663" s="29"/>
      <c r="L1663" s="29"/>
      <c r="M1663" s="29"/>
      <c r="N1663" s="29"/>
      <c r="O1663" s="29"/>
      <c r="P1663" s="30">
        <f t="shared" si="1419"/>
        <v>0</v>
      </c>
      <c r="Q1663" s="31">
        <f t="shared" si="1418"/>
        <v>0</v>
      </c>
    </row>
    <row r="1664" spans="1:17" x14ac:dyDescent="0.2">
      <c r="A1664" s="10"/>
      <c r="B1664" s="26"/>
      <c r="C1664" s="11">
        <v>1994</v>
      </c>
      <c r="D1664" s="32">
        <f>SPFI_CLB14!$D$17</f>
        <v>0.59591300000000003</v>
      </c>
      <c r="E1664" s="32"/>
      <c r="F1664" s="32"/>
      <c r="G1664" s="32"/>
      <c r="H1664" s="32"/>
      <c r="I1664" s="32"/>
      <c r="J1664" s="28">
        <f t="shared" si="1417"/>
        <v>0</v>
      </c>
      <c r="K1664" s="29"/>
      <c r="L1664" s="29"/>
      <c r="M1664" s="29"/>
      <c r="N1664" s="29"/>
      <c r="O1664" s="29"/>
      <c r="P1664" s="30">
        <f t="shared" si="1419"/>
        <v>0</v>
      </c>
      <c r="Q1664" s="31">
        <f t="shared" si="1418"/>
        <v>0</v>
      </c>
    </row>
    <row r="1665" spans="1:17" x14ac:dyDescent="0.2">
      <c r="A1665" s="10"/>
      <c r="B1665" s="26"/>
      <c r="C1665" s="11">
        <v>1995</v>
      </c>
      <c r="D1665" s="32">
        <f>SPFI_CLB14!$D$18</f>
        <v>0.25400800000000001</v>
      </c>
      <c r="E1665" s="32"/>
      <c r="F1665" s="32"/>
      <c r="G1665" s="32"/>
      <c r="H1665" s="32"/>
      <c r="I1665" s="32"/>
      <c r="J1665" s="28">
        <f t="shared" ref="J1665" si="1420">D1665*J$53</f>
        <v>0</v>
      </c>
      <c r="K1665" s="29"/>
      <c r="L1665" s="29"/>
      <c r="M1665" s="29"/>
      <c r="N1665" s="29"/>
      <c r="O1665" s="29"/>
      <c r="P1665" s="30">
        <f>SUM(J1665:O1665)</f>
        <v>0</v>
      </c>
      <c r="Q1665" s="31">
        <f t="shared" si="1418"/>
        <v>0</v>
      </c>
    </row>
    <row r="1666" spans="1:17" x14ac:dyDescent="0.2">
      <c r="A1666" s="10"/>
      <c r="B1666" s="26"/>
      <c r="C1666" s="11">
        <v>1996</v>
      </c>
      <c r="D1666" s="32">
        <f>SPFI_CLB14!$D$19</f>
        <v>0</v>
      </c>
      <c r="E1666" s="32"/>
      <c r="F1666" s="32"/>
      <c r="G1666" s="32"/>
      <c r="H1666" s="32"/>
      <c r="I1666" s="32"/>
      <c r="J1666" s="28">
        <f t="shared" ref="J1666" si="1421">D1666*J$53</f>
        <v>0</v>
      </c>
      <c r="K1666" s="29"/>
      <c r="L1666" s="29"/>
      <c r="M1666" s="29"/>
      <c r="N1666" s="29"/>
      <c r="O1666" s="29"/>
      <c r="P1666" s="30">
        <f>SUM(J1666:O1666)</f>
        <v>0</v>
      </c>
      <c r="Q1666" s="31">
        <f t="shared" si="1418"/>
        <v>0</v>
      </c>
    </row>
    <row r="1667" spans="1:17" x14ac:dyDescent="0.2">
      <c r="A1667" s="10"/>
      <c r="B1667" s="26"/>
      <c r="C1667" s="11">
        <v>1997</v>
      </c>
      <c r="D1667" s="32">
        <f>SPFI_CLB14!$D$20</f>
        <v>0.201487</v>
      </c>
      <c r="E1667" s="32"/>
      <c r="F1667" s="32"/>
      <c r="G1667" s="32"/>
      <c r="H1667" s="32"/>
      <c r="I1667" s="32"/>
      <c r="J1667" s="28">
        <f t="shared" ref="J1667" si="1422">D1667*J$53</f>
        <v>0</v>
      </c>
      <c r="K1667" s="29"/>
      <c r="L1667" s="29"/>
      <c r="M1667" s="29"/>
      <c r="N1667" s="29"/>
      <c r="O1667" s="29"/>
      <c r="P1667" s="30">
        <f>SUM(J1667:O1667)</f>
        <v>0</v>
      </c>
      <c r="Q1667" s="31">
        <f t="shared" si="1418"/>
        <v>0</v>
      </c>
    </row>
    <row r="1668" spans="1:17" x14ac:dyDescent="0.2">
      <c r="A1668" s="10"/>
      <c r="B1668" s="26"/>
      <c r="C1668" s="11">
        <v>1998</v>
      </c>
      <c r="D1668" s="32">
        <f>SPFI_CLB14!$D$21</f>
        <v>0.37506400000000001</v>
      </c>
      <c r="E1668" s="32"/>
      <c r="F1668" s="32"/>
      <c r="G1668" s="32"/>
      <c r="H1668" s="32"/>
      <c r="I1668" s="32"/>
      <c r="J1668" s="28">
        <f t="shared" ref="J1668" si="1423">D1668*J$53</f>
        <v>0</v>
      </c>
      <c r="K1668" s="29"/>
      <c r="L1668" s="29"/>
      <c r="M1668" s="29"/>
      <c r="N1668" s="29"/>
      <c r="O1668" s="29"/>
      <c r="P1668" s="30">
        <f>SUM(J1668:O1668)</f>
        <v>0</v>
      </c>
      <c r="Q1668" s="31">
        <f t="shared" si="1418"/>
        <v>0</v>
      </c>
    </row>
    <row r="1669" spans="1:17" x14ac:dyDescent="0.2">
      <c r="A1669" s="10"/>
      <c r="B1669" s="26"/>
      <c r="C1669" s="11">
        <v>1999</v>
      </c>
      <c r="D1669" s="32">
        <f>SPFI_CLB14!$D$22</f>
        <v>0.29823699999999997</v>
      </c>
      <c r="E1669" s="32"/>
      <c r="F1669" s="32"/>
      <c r="G1669" s="32"/>
      <c r="H1669" s="32"/>
      <c r="I1669" s="32"/>
      <c r="J1669" s="28">
        <f t="shared" ref="J1669" si="1424">D1669*J$53</f>
        <v>0</v>
      </c>
      <c r="K1669" s="29"/>
      <c r="L1669" s="29"/>
      <c r="M1669" s="29"/>
      <c r="N1669" s="29"/>
      <c r="O1669" s="29"/>
      <c r="P1669" s="30">
        <f>SUM(J1669:O1669)</f>
        <v>0</v>
      </c>
      <c r="Q1669" s="31">
        <f t="shared" ref="Q1669:Q1674" si="1425">IF(C$53&gt;0,P1669/C$53,0)</f>
        <v>0</v>
      </c>
    </row>
    <row r="1670" spans="1:17" x14ac:dyDescent="0.2">
      <c r="A1670" s="10"/>
      <c r="B1670" s="26"/>
      <c r="C1670" s="11">
        <v>2000</v>
      </c>
      <c r="D1670" s="32">
        <f>SPFI_CLB14!$D$23</f>
        <v>8.4414000000000003E-2</v>
      </c>
      <c r="E1670" s="32"/>
      <c r="F1670" s="32"/>
      <c r="G1670" s="32"/>
      <c r="H1670" s="32"/>
      <c r="I1670" s="32"/>
      <c r="J1670" s="28">
        <f t="shared" ref="J1670" si="1426">D1670*J$53</f>
        <v>0</v>
      </c>
      <c r="K1670" s="29"/>
      <c r="L1670" s="29"/>
      <c r="M1670" s="29"/>
      <c r="N1670" s="29"/>
      <c r="O1670" s="29"/>
      <c r="P1670" s="30">
        <f t="shared" ref="P1670:P1675" si="1427">SUM(J1670:O1670)</f>
        <v>0</v>
      </c>
      <c r="Q1670" s="31">
        <f t="shared" si="1425"/>
        <v>0</v>
      </c>
    </row>
    <row r="1671" spans="1:17" x14ac:dyDescent="0.2">
      <c r="A1671" s="10"/>
      <c r="B1671" s="26"/>
      <c r="C1671" s="11">
        <v>2001</v>
      </c>
      <c r="D1671" s="32">
        <f>SPFI_CLB14!$D$24</f>
        <v>7.8909000000000007E-2</v>
      </c>
      <c r="E1671" s="32"/>
      <c r="F1671" s="32"/>
      <c r="G1671" s="32"/>
      <c r="H1671" s="32"/>
      <c r="I1671" s="32"/>
      <c r="J1671" s="28">
        <f t="shared" ref="J1671" si="1428">D1671*J$53</f>
        <v>0</v>
      </c>
      <c r="K1671" s="29"/>
      <c r="L1671" s="29"/>
      <c r="M1671" s="29"/>
      <c r="N1671" s="29"/>
      <c r="O1671" s="29"/>
      <c r="P1671" s="30">
        <f t="shared" si="1427"/>
        <v>0</v>
      </c>
      <c r="Q1671" s="31">
        <f t="shared" si="1425"/>
        <v>0</v>
      </c>
    </row>
    <row r="1672" spans="1:17" x14ac:dyDescent="0.2">
      <c r="A1672" s="10"/>
      <c r="B1672" s="26"/>
      <c r="C1672" s="11">
        <v>2002</v>
      </c>
      <c r="D1672" s="32">
        <f>SPFI_CLB14!$D$25</f>
        <v>0.29974699999999999</v>
      </c>
      <c r="E1672" s="32"/>
      <c r="F1672" s="32"/>
      <c r="G1672" s="32"/>
      <c r="H1672" s="32"/>
      <c r="I1672" s="32"/>
      <c r="J1672" s="28">
        <f t="shared" ref="J1672" si="1429">D1672*J$53</f>
        <v>0</v>
      </c>
      <c r="K1672" s="29"/>
      <c r="L1672" s="29"/>
      <c r="M1672" s="29"/>
      <c r="N1672" s="29"/>
      <c r="O1672" s="29"/>
      <c r="P1672" s="30">
        <f t="shared" si="1427"/>
        <v>0</v>
      </c>
      <c r="Q1672" s="31">
        <f t="shared" si="1425"/>
        <v>0</v>
      </c>
    </row>
    <row r="1673" spans="1:17" x14ac:dyDescent="0.2">
      <c r="A1673" s="10"/>
      <c r="B1673" s="26"/>
      <c r="C1673" s="11">
        <v>2003</v>
      </c>
      <c r="D1673" s="32">
        <f>SPFI_CLB14!$D$26</f>
        <v>0.20691100000000001</v>
      </c>
      <c r="E1673" s="32"/>
      <c r="F1673" s="32"/>
      <c r="G1673" s="32"/>
      <c r="H1673" s="32"/>
      <c r="I1673" s="32"/>
      <c r="J1673" s="28">
        <f t="shared" ref="J1673" si="1430">D1673*J$53</f>
        <v>0</v>
      </c>
      <c r="K1673" s="29"/>
      <c r="L1673" s="29"/>
      <c r="M1673" s="29"/>
      <c r="N1673" s="29"/>
      <c r="O1673" s="29"/>
      <c r="P1673" s="30">
        <f t="shared" si="1427"/>
        <v>0</v>
      </c>
      <c r="Q1673" s="31">
        <f t="shared" si="1425"/>
        <v>0</v>
      </c>
    </row>
    <row r="1674" spans="1:17" x14ac:dyDescent="0.2">
      <c r="A1674" s="10"/>
      <c r="B1674" s="26"/>
      <c r="C1674" s="11">
        <v>2004</v>
      </c>
      <c r="D1674" s="32">
        <f>SPFI_CLB14!$D$27</f>
        <v>0.269237</v>
      </c>
      <c r="E1674" s="32"/>
      <c r="F1674" s="32"/>
      <c r="G1674" s="32"/>
      <c r="H1674" s="32"/>
      <c r="I1674" s="32"/>
      <c r="J1674" s="28">
        <f t="shared" ref="J1674" si="1431">D1674*J$53</f>
        <v>0</v>
      </c>
      <c r="K1674" s="29"/>
      <c r="L1674" s="29"/>
      <c r="M1674" s="29"/>
      <c r="N1674" s="29"/>
      <c r="O1674" s="29"/>
      <c r="P1674" s="30">
        <f t="shared" si="1427"/>
        <v>0</v>
      </c>
      <c r="Q1674" s="31">
        <f t="shared" si="1425"/>
        <v>0</v>
      </c>
    </row>
    <row r="1675" spans="1:17" x14ac:dyDescent="0.2">
      <c r="A1675" s="10"/>
      <c r="B1675" s="26"/>
      <c r="C1675" s="11">
        <v>2005</v>
      </c>
      <c r="D1675" s="32">
        <f>SPFI_CLB14!$D$28</f>
        <v>0.37848700000000002</v>
      </c>
      <c r="E1675" s="32"/>
      <c r="F1675" s="32"/>
      <c r="G1675" s="32"/>
      <c r="H1675" s="32"/>
      <c r="I1675" s="32"/>
      <c r="J1675" s="28">
        <f t="shared" ref="J1675" si="1432">D1675*J$53</f>
        <v>0</v>
      </c>
      <c r="K1675" s="29"/>
      <c r="L1675" s="29"/>
      <c r="M1675" s="29"/>
      <c r="N1675" s="29"/>
      <c r="O1675" s="29"/>
      <c r="P1675" s="30">
        <f t="shared" si="1427"/>
        <v>0</v>
      </c>
      <c r="Q1675" s="31">
        <f t="shared" ref="Q1675:Q1680" si="1433">IF(C$53&gt;0,P1675/C$53,0)</f>
        <v>0</v>
      </c>
    </row>
    <row r="1676" spans="1:17" x14ac:dyDescent="0.2">
      <c r="A1676" s="10"/>
      <c r="B1676" s="26"/>
      <c r="C1676" s="11">
        <v>2006</v>
      </c>
      <c r="D1676" s="32">
        <f>SPFI_CLB14!$D$29</f>
        <v>0.381023</v>
      </c>
      <c r="E1676" s="32"/>
      <c r="F1676" s="32"/>
      <c r="G1676" s="32"/>
      <c r="H1676" s="32"/>
      <c r="I1676" s="32"/>
      <c r="J1676" s="28">
        <f t="shared" ref="J1676" si="1434">D1676*J$53</f>
        <v>0</v>
      </c>
      <c r="K1676" s="29"/>
      <c r="L1676" s="29"/>
      <c r="M1676" s="29"/>
      <c r="N1676" s="29"/>
      <c r="O1676" s="29"/>
      <c r="P1676" s="30">
        <f t="shared" ref="P1676:P1683" si="1435">SUM(J1676:O1676)</f>
        <v>0</v>
      </c>
      <c r="Q1676" s="31">
        <f t="shared" si="1433"/>
        <v>0</v>
      </c>
    </row>
    <row r="1677" spans="1:17" x14ac:dyDescent="0.2">
      <c r="A1677" s="10"/>
      <c r="B1677" s="26"/>
      <c r="C1677" s="11">
        <v>2007</v>
      </c>
      <c r="D1677" s="32">
        <f>SPFI_CLB14!$D$30</f>
        <v>0.356512</v>
      </c>
      <c r="E1677" s="32"/>
      <c r="F1677" s="32"/>
      <c r="G1677" s="32"/>
      <c r="H1677" s="32"/>
      <c r="I1677" s="32"/>
      <c r="J1677" s="28">
        <f t="shared" ref="J1677" si="1436">D1677*J$53</f>
        <v>0</v>
      </c>
      <c r="K1677" s="29"/>
      <c r="L1677" s="29"/>
      <c r="M1677" s="29"/>
      <c r="N1677" s="29"/>
      <c r="O1677" s="29"/>
      <c r="P1677" s="30">
        <f t="shared" si="1435"/>
        <v>0</v>
      </c>
      <c r="Q1677" s="31">
        <f t="shared" si="1433"/>
        <v>0</v>
      </c>
    </row>
    <row r="1678" spans="1:17" x14ac:dyDescent="0.2">
      <c r="A1678" s="10"/>
      <c r="B1678" s="26"/>
      <c r="C1678" s="11">
        <v>2008</v>
      </c>
      <c r="D1678" s="32">
        <f>SPFI_CLB14!$D$31</f>
        <v>0.25494499999999998</v>
      </c>
      <c r="E1678" s="32"/>
      <c r="F1678" s="32"/>
      <c r="G1678" s="32"/>
      <c r="H1678" s="32"/>
      <c r="I1678" s="32"/>
      <c r="J1678" s="28">
        <f t="shared" ref="J1678" si="1437">D1678*J$53</f>
        <v>0</v>
      </c>
      <c r="K1678" s="29"/>
      <c r="L1678" s="29"/>
      <c r="M1678" s="29"/>
      <c r="N1678" s="29"/>
      <c r="O1678" s="29"/>
      <c r="P1678" s="30">
        <f t="shared" si="1435"/>
        <v>0</v>
      </c>
      <c r="Q1678" s="31">
        <f t="shared" si="1433"/>
        <v>0</v>
      </c>
    </row>
    <row r="1679" spans="1:17" x14ac:dyDescent="0.2">
      <c r="A1679" s="10"/>
      <c r="B1679" s="26"/>
      <c r="C1679" s="11">
        <v>2009</v>
      </c>
      <c r="D1679" s="32">
        <f>SPFI_CLB14!$D$32</f>
        <v>0.52383000000000002</v>
      </c>
      <c r="E1679" s="32"/>
      <c r="F1679" s="32"/>
      <c r="G1679" s="32"/>
      <c r="H1679" s="32"/>
      <c r="I1679" s="32"/>
      <c r="J1679" s="28">
        <f t="shared" ref="J1679" si="1438">D1679*J$53</f>
        <v>0</v>
      </c>
      <c r="K1679" s="29"/>
      <c r="L1679" s="29"/>
      <c r="M1679" s="29"/>
      <c r="N1679" s="29"/>
      <c r="O1679" s="29"/>
      <c r="P1679" s="30">
        <f t="shared" si="1435"/>
        <v>0</v>
      </c>
      <c r="Q1679" s="31">
        <f t="shared" si="1433"/>
        <v>0</v>
      </c>
    </row>
    <row r="1680" spans="1:17" x14ac:dyDescent="0.2">
      <c r="A1680" s="10"/>
      <c r="B1680" s="26"/>
      <c r="C1680" s="11">
        <v>2010</v>
      </c>
      <c r="D1680" s="32">
        <f>SPFI_CLB14!$D$33</f>
        <v>0.31394</v>
      </c>
      <c r="E1680" s="32"/>
      <c r="F1680" s="32"/>
      <c r="G1680" s="32"/>
      <c r="H1680" s="32"/>
      <c r="I1680" s="32"/>
      <c r="J1680" s="28">
        <f t="shared" ref="J1680" si="1439">D1680*J$53</f>
        <v>0</v>
      </c>
      <c r="K1680" s="29"/>
      <c r="L1680" s="29"/>
      <c r="M1680" s="29"/>
      <c r="N1680" s="29"/>
      <c r="O1680" s="29"/>
      <c r="P1680" s="30">
        <f t="shared" si="1435"/>
        <v>0</v>
      </c>
      <c r="Q1680" s="31">
        <f t="shared" si="1433"/>
        <v>0</v>
      </c>
    </row>
    <row r="1681" spans="1:17" x14ac:dyDescent="0.2">
      <c r="A1681" s="10"/>
      <c r="B1681" s="26"/>
      <c r="C1681" s="11">
        <v>2011</v>
      </c>
      <c r="D1681" s="32">
        <f>SPFI_CLB14!$D$34</f>
        <v>0.294348</v>
      </c>
      <c r="E1681" s="32"/>
      <c r="F1681" s="32"/>
      <c r="G1681" s="32"/>
      <c r="H1681" s="32"/>
      <c r="I1681" s="32"/>
      <c r="J1681" s="28">
        <f t="shared" ref="J1681" si="1440">D1681*J$53</f>
        <v>0</v>
      </c>
      <c r="K1681" s="29"/>
      <c r="L1681" s="29"/>
      <c r="M1681" s="29"/>
      <c r="N1681" s="29"/>
      <c r="O1681" s="29"/>
      <c r="P1681" s="30">
        <f t="shared" ref="P1681" si="1441">SUM(J1681:O1681)</f>
        <v>0</v>
      </c>
      <c r="Q1681" s="31">
        <f t="shared" ref="Q1681" si="1442">IF(C$53&gt;0,P1681/C$53,0)</f>
        <v>0</v>
      </c>
    </row>
    <row r="1682" spans="1:17" x14ac:dyDescent="0.2">
      <c r="A1682" s="10"/>
      <c r="B1682" s="26"/>
      <c r="C1682" s="11">
        <v>2012</v>
      </c>
      <c r="D1682" s="32">
        <f>SPFI_CLB14!$D$35</f>
        <v>0.34784100000000001</v>
      </c>
      <c r="E1682" s="32"/>
      <c r="F1682" s="32"/>
      <c r="G1682" s="32"/>
      <c r="H1682" s="32"/>
      <c r="I1682" s="32"/>
      <c r="J1682" s="28">
        <f t="shared" ref="J1682" si="1443">D1682*J$53</f>
        <v>0</v>
      </c>
      <c r="K1682" s="29"/>
      <c r="L1682" s="29"/>
      <c r="M1682" s="29"/>
      <c r="N1682" s="29"/>
      <c r="O1682" s="29"/>
      <c r="P1682" s="30">
        <f t="shared" ref="P1682" si="1444">SUM(J1682:O1682)</f>
        <v>0</v>
      </c>
      <c r="Q1682" s="31">
        <f t="shared" ref="Q1682" si="1445">IF(C$53&gt;0,P1682/C$53,0)</f>
        <v>0</v>
      </c>
    </row>
    <row r="1683" spans="1:17" x14ac:dyDescent="0.2">
      <c r="A1683" s="5" t="s">
        <v>18</v>
      </c>
      <c r="B1683" s="21">
        <v>4</v>
      </c>
      <c r="C1683" s="6">
        <v>1982</v>
      </c>
      <c r="D1683" s="27">
        <f>SPFI_CLB14!$D$5</f>
        <v>0.98153299999999999</v>
      </c>
      <c r="E1683" s="27"/>
      <c r="F1683" s="27"/>
      <c r="G1683" s="27"/>
      <c r="H1683" s="27"/>
      <c r="I1683" s="27"/>
      <c r="J1683" s="33">
        <f t="shared" ref="J1683:J1695" si="1446">D1683*J$54</f>
        <v>0</v>
      </c>
      <c r="K1683" s="27"/>
      <c r="L1683" s="27"/>
      <c r="M1683" s="27"/>
      <c r="N1683" s="27"/>
      <c r="O1683" s="27"/>
      <c r="P1683" s="34">
        <f t="shared" si="1435"/>
        <v>0</v>
      </c>
      <c r="Q1683" s="35">
        <f t="shared" ref="Q1683:Q1699" si="1447">IF(C$54&gt;0,P1683/C$54,0)</f>
        <v>0</v>
      </c>
    </row>
    <row r="1684" spans="1:17" x14ac:dyDescent="0.2">
      <c r="A1684" s="10"/>
      <c r="B1684" s="26"/>
      <c r="C1684" s="11">
        <v>1983</v>
      </c>
      <c r="D1684" s="32">
        <f>SPFI_CLB14!$D$6</f>
        <v>0.93659899999999996</v>
      </c>
      <c r="E1684" s="32"/>
      <c r="F1684" s="32"/>
      <c r="G1684" s="32"/>
      <c r="H1684" s="32"/>
      <c r="I1684" s="32"/>
      <c r="J1684" s="28">
        <f t="shared" si="1446"/>
        <v>0</v>
      </c>
      <c r="K1684" s="29"/>
      <c r="L1684" s="29"/>
      <c r="M1684" s="29"/>
      <c r="N1684" s="29"/>
      <c r="O1684" s="29"/>
      <c r="P1684" s="30">
        <f t="shared" ref="P1684:P1695" si="1448">SUM(J1684:O1684)</f>
        <v>0</v>
      </c>
      <c r="Q1684" s="31">
        <f t="shared" si="1447"/>
        <v>0</v>
      </c>
    </row>
    <row r="1685" spans="1:17" x14ac:dyDescent="0.2">
      <c r="A1685" s="10"/>
      <c r="B1685" s="26"/>
      <c r="C1685" s="11">
        <v>1984</v>
      </c>
      <c r="D1685" s="32">
        <f>SPFI_CLB14!$D$7</f>
        <v>0.92793599999999998</v>
      </c>
      <c r="E1685" s="32"/>
      <c r="F1685" s="32"/>
      <c r="G1685" s="32"/>
      <c r="H1685" s="32"/>
      <c r="I1685" s="32"/>
      <c r="J1685" s="28">
        <f t="shared" si="1446"/>
        <v>0</v>
      </c>
      <c r="K1685" s="29"/>
      <c r="L1685" s="29"/>
      <c r="M1685" s="29"/>
      <c r="N1685" s="29"/>
      <c r="O1685" s="29"/>
      <c r="P1685" s="30">
        <f t="shared" si="1448"/>
        <v>0</v>
      </c>
      <c r="Q1685" s="31">
        <f t="shared" si="1447"/>
        <v>0</v>
      </c>
    </row>
    <row r="1686" spans="1:17" x14ac:dyDescent="0.2">
      <c r="A1686" s="10"/>
      <c r="B1686" s="26"/>
      <c r="C1686" s="11">
        <v>1985</v>
      </c>
      <c r="D1686" s="32">
        <f>SPFI_CLB14!$D$8</f>
        <v>0.90386500000000003</v>
      </c>
      <c r="E1686" s="32"/>
      <c r="F1686" s="32"/>
      <c r="G1686" s="32"/>
      <c r="H1686" s="32"/>
      <c r="I1686" s="32"/>
      <c r="J1686" s="28">
        <f t="shared" si="1446"/>
        <v>0</v>
      </c>
      <c r="K1686" s="29"/>
      <c r="L1686" s="29"/>
      <c r="M1686" s="29"/>
      <c r="N1686" s="29"/>
      <c r="O1686" s="29"/>
      <c r="P1686" s="30">
        <f t="shared" si="1448"/>
        <v>0</v>
      </c>
      <c r="Q1686" s="31">
        <f t="shared" si="1447"/>
        <v>0</v>
      </c>
    </row>
    <row r="1687" spans="1:17" x14ac:dyDescent="0.2">
      <c r="A1687" s="10"/>
      <c r="B1687" s="26"/>
      <c r="C1687" s="11">
        <v>1986</v>
      </c>
      <c r="D1687" s="32">
        <f>SPFI_CLB14!$D$9</f>
        <v>0.73087500000000005</v>
      </c>
      <c r="E1687" s="32"/>
      <c r="F1687" s="32"/>
      <c r="G1687" s="32"/>
      <c r="H1687" s="32"/>
      <c r="I1687" s="32"/>
      <c r="J1687" s="28">
        <f t="shared" si="1446"/>
        <v>0</v>
      </c>
      <c r="K1687" s="29"/>
      <c r="L1687" s="29"/>
      <c r="M1687" s="29"/>
      <c r="N1687" s="29"/>
      <c r="O1687" s="29"/>
      <c r="P1687" s="30">
        <f t="shared" si="1448"/>
        <v>0</v>
      </c>
      <c r="Q1687" s="31">
        <f t="shared" si="1447"/>
        <v>0</v>
      </c>
    </row>
    <row r="1688" spans="1:17" x14ac:dyDescent="0.2">
      <c r="A1688" s="10"/>
      <c r="B1688" s="26"/>
      <c r="C1688" s="11">
        <v>1987</v>
      </c>
      <c r="D1688" s="32">
        <f>SPFI_CLB14!$D$10</f>
        <v>0.71733499999999994</v>
      </c>
      <c r="E1688" s="32"/>
      <c r="F1688" s="32"/>
      <c r="G1688" s="32"/>
      <c r="H1688" s="32"/>
      <c r="I1688" s="32"/>
      <c r="J1688" s="28">
        <f t="shared" si="1446"/>
        <v>0</v>
      </c>
      <c r="K1688" s="29"/>
      <c r="L1688" s="29"/>
      <c r="M1688" s="29"/>
      <c r="N1688" s="29"/>
      <c r="O1688" s="29"/>
      <c r="P1688" s="30">
        <f t="shared" si="1448"/>
        <v>0</v>
      </c>
      <c r="Q1688" s="31">
        <f t="shared" si="1447"/>
        <v>0</v>
      </c>
    </row>
    <row r="1689" spans="1:17" x14ac:dyDescent="0.2">
      <c r="A1689" s="10"/>
      <c r="B1689" s="26"/>
      <c r="C1689" s="11">
        <v>1988</v>
      </c>
      <c r="D1689" s="32">
        <f>SPFI_CLB14!$D$11</f>
        <v>0.64558800000000005</v>
      </c>
      <c r="E1689" s="32"/>
      <c r="F1689" s="32"/>
      <c r="G1689" s="32"/>
      <c r="H1689" s="32"/>
      <c r="I1689" s="32"/>
      <c r="J1689" s="28">
        <f t="shared" si="1446"/>
        <v>0</v>
      </c>
      <c r="K1689" s="29"/>
      <c r="L1689" s="29"/>
      <c r="M1689" s="29"/>
      <c r="N1689" s="29"/>
      <c r="O1689" s="29"/>
      <c r="P1689" s="30">
        <f t="shared" si="1448"/>
        <v>0</v>
      </c>
      <c r="Q1689" s="31">
        <f t="shared" si="1447"/>
        <v>0</v>
      </c>
    </row>
    <row r="1690" spans="1:17" x14ac:dyDescent="0.2">
      <c r="A1690" s="10"/>
      <c r="B1690" s="26"/>
      <c r="C1690" s="11">
        <v>1989</v>
      </c>
      <c r="D1690" s="32">
        <f>SPFI_CLB14!$D$12</f>
        <v>0.65287700000000004</v>
      </c>
      <c r="E1690" s="32"/>
      <c r="F1690" s="32"/>
      <c r="G1690" s="32"/>
      <c r="H1690" s="32"/>
      <c r="I1690" s="32"/>
      <c r="J1690" s="28">
        <f t="shared" si="1446"/>
        <v>0</v>
      </c>
      <c r="K1690" s="29"/>
      <c r="L1690" s="29"/>
      <c r="M1690" s="29"/>
      <c r="N1690" s="29"/>
      <c r="O1690" s="29"/>
      <c r="P1690" s="30">
        <f t="shared" si="1448"/>
        <v>0</v>
      </c>
      <c r="Q1690" s="31">
        <f t="shared" si="1447"/>
        <v>0</v>
      </c>
    </row>
    <row r="1691" spans="1:17" x14ac:dyDescent="0.2">
      <c r="A1691" s="10"/>
      <c r="B1691" s="26"/>
      <c r="C1691" s="11">
        <v>1990</v>
      </c>
      <c r="D1691" s="32">
        <f>SPFI_CLB14!$D$13</f>
        <v>0.56965100000000002</v>
      </c>
      <c r="E1691" s="32"/>
      <c r="F1691" s="32"/>
      <c r="G1691" s="32"/>
      <c r="H1691" s="32"/>
      <c r="I1691" s="32"/>
      <c r="J1691" s="28">
        <f t="shared" si="1446"/>
        <v>0</v>
      </c>
      <c r="K1691" s="29"/>
      <c r="L1691" s="29"/>
      <c r="M1691" s="29"/>
      <c r="N1691" s="29"/>
      <c r="O1691" s="29"/>
      <c r="P1691" s="30">
        <f t="shared" si="1448"/>
        <v>0</v>
      </c>
      <c r="Q1691" s="31">
        <f t="shared" si="1447"/>
        <v>0</v>
      </c>
    </row>
    <row r="1692" spans="1:17" x14ac:dyDescent="0.2">
      <c r="A1692" s="10"/>
      <c r="B1692" s="26"/>
      <c r="C1692" s="11">
        <v>1991</v>
      </c>
      <c r="D1692" s="32">
        <f>SPFI_CLB14!$D$14</f>
        <v>0.62776900000000002</v>
      </c>
      <c r="E1692" s="32"/>
      <c r="F1692" s="32"/>
      <c r="G1692" s="32"/>
      <c r="H1692" s="32"/>
      <c r="I1692" s="32"/>
      <c r="J1692" s="28">
        <f t="shared" si="1446"/>
        <v>0</v>
      </c>
      <c r="K1692" s="29"/>
      <c r="L1692" s="29"/>
      <c r="M1692" s="29"/>
      <c r="N1692" s="29"/>
      <c r="O1692" s="29"/>
      <c r="P1692" s="30">
        <f t="shared" si="1448"/>
        <v>0</v>
      </c>
      <c r="Q1692" s="31">
        <f t="shared" si="1447"/>
        <v>0</v>
      </c>
    </row>
    <row r="1693" spans="1:17" x14ac:dyDescent="0.2">
      <c r="A1693" s="10"/>
      <c r="B1693" s="26"/>
      <c r="C1693" s="11">
        <v>1992</v>
      </c>
      <c r="D1693" s="32">
        <f>SPFI_CLB14!$D$15</f>
        <v>0.43504100000000001</v>
      </c>
      <c r="E1693" s="32"/>
      <c r="F1693" s="32"/>
      <c r="G1693" s="32"/>
      <c r="H1693" s="32"/>
      <c r="I1693" s="32"/>
      <c r="J1693" s="28">
        <f t="shared" si="1446"/>
        <v>0</v>
      </c>
      <c r="K1693" s="29"/>
      <c r="L1693" s="29"/>
      <c r="M1693" s="29"/>
      <c r="N1693" s="29"/>
      <c r="O1693" s="29"/>
      <c r="P1693" s="30">
        <f t="shared" si="1448"/>
        <v>0</v>
      </c>
      <c r="Q1693" s="31">
        <f t="shared" si="1447"/>
        <v>0</v>
      </c>
    </row>
    <row r="1694" spans="1:17" x14ac:dyDescent="0.2">
      <c r="A1694" s="10"/>
      <c r="B1694" s="26"/>
      <c r="C1694" s="11">
        <v>1993</v>
      </c>
      <c r="D1694" s="32">
        <f>SPFI_CLB14!$D$16</f>
        <v>0.499164</v>
      </c>
      <c r="E1694" s="32"/>
      <c r="F1694" s="32"/>
      <c r="G1694" s="32"/>
      <c r="H1694" s="32"/>
      <c r="I1694" s="32"/>
      <c r="J1694" s="28">
        <f t="shared" si="1446"/>
        <v>0</v>
      </c>
      <c r="K1694" s="29"/>
      <c r="L1694" s="29"/>
      <c r="M1694" s="29"/>
      <c r="N1694" s="29"/>
      <c r="O1694" s="29"/>
      <c r="P1694" s="30">
        <f t="shared" si="1448"/>
        <v>0</v>
      </c>
      <c r="Q1694" s="31">
        <f t="shared" si="1447"/>
        <v>0</v>
      </c>
    </row>
    <row r="1695" spans="1:17" x14ac:dyDescent="0.2">
      <c r="A1695" s="10"/>
      <c r="B1695" s="26"/>
      <c r="C1695" s="11">
        <v>1994</v>
      </c>
      <c r="D1695" s="32">
        <f>SPFI_CLB14!$D$17</f>
        <v>0.59591300000000003</v>
      </c>
      <c r="E1695" s="32"/>
      <c r="F1695" s="32"/>
      <c r="G1695" s="32"/>
      <c r="H1695" s="32"/>
      <c r="I1695" s="32"/>
      <c r="J1695" s="28">
        <f t="shared" si="1446"/>
        <v>0</v>
      </c>
      <c r="K1695" s="29"/>
      <c r="L1695" s="29"/>
      <c r="M1695" s="29"/>
      <c r="N1695" s="29"/>
      <c r="O1695" s="29"/>
      <c r="P1695" s="30">
        <f t="shared" si="1448"/>
        <v>0</v>
      </c>
      <c r="Q1695" s="31">
        <f t="shared" si="1447"/>
        <v>0</v>
      </c>
    </row>
    <row r="1696" spans="1:17" x14ac:dyDescent="0.2">
      <c r="A1696" s="10"/>
      <c r="B1696" s="26"/>
      <c r="C1696" s="11">
        <v>1995</v>
      </c>
      <c r="D1696" s="32">
        <f>SPFI_CLB14!$D$18</f>
        <v>0.25400800000000001</v>
      </c>
      <c r="E1696" s="32"/>
      <c r="F1696" s="32"/>
      <c r="G1696" s="32"/>
      <c r="H1696" s="32"/>
      <c r="I1696" s="32"/>
      <c r="J1696" s="28">
        <f t="shared" ref="J1696" si="1449">D1696*J$54</f>
        <v>0</v>
      </c>
      <c r="K1696" s="29"/>
      <c r="L1696" s="29"/>
      <c r="M1696" s="29"/>
      <c r="N1696" s="29"/>
      <c r="O1696" s="29"/>
      <c r="P1696" s="30">
        <f>SUM(J1696:O1696)</f>
        <v>0</v>
      </c>
      <c r="Q1696" s="31">
        <f t="shared" si="1447"/>
        <v>0</v>
      </c>
    </row>
    <row r="1697" spans="1:17" x14ac:dyDescent="0.2">
      <c r="A1697" s="10"/>
      <c r="B1697" s="26"/>
      <c r="C1697" s="11">
        <v>1996</v>
      </c>
      <c r="D1697" s="32">
        <f>SPFI_CLB14!$D$19</f>
        <v>0</v>
      </c>
      <c r="E1697" s="32"/>
      <c r="F1697" s="32"/>
      <c r="G1697" s="32"/>
      <c r="H1697" s="32"/>
      <c r="I1697" s="32"/>
      <c r="J1697" s="28">
        <f t="shared" ref="J1697" si="1450">D1697*J$54</f>
        <v>0</v>
      </c>
      <c r="K1697" s="29"/>
      <c r="L1697" s="29"/>
      <c r="M1697" s="29"/>
      <c r="N1697" s="29"/>
      <c r="O1697" s="29"/>
      <c r="P1697" s="30">
        <f>SUM(J1697:O1697)</f>
        <v>0</v>
      </c>
      <c r="Q1697" s="31">
        <f t="shared" si="1447"/>
        <v>0</v>
      </c>
    </row>
    <row r="1698" spans="1:17" x14ac:dyDescent="0.2">
      <c r="A1698" s="10"/>
      <c r="B1698" s="26"/>
      <c r="C1698" s="11">
        <v>1997</v>
      </c>
      <c r="D1698" s="32">
        <f>SPFI_CLB14!$D$20</f>
        <v>0.201487</v>
      </c>
      <c r="E1698" s="32"/>
      <c r="F1698" s="32"/>
      <c r="G1698" s="32"/>
      <c r="H1698" s="32"/>
      <c r="I1698" s="32"/>
      <c r="J1698" s="28">
        <f t="shared" ref="J1698" si="1451">D1698*J$54</f>
        <v>0</v>
      </c>
      <c r="K1698" s="29"/>
      <c r="L1698" s="29"/>
      <c r="M1698" s="29"/>
      <c r="N1698" s="29"/>
      <c r="O1698" s="29"/>
      <c r="P1698" s="30">
        <f>SUM(J1698:O1698)</f>
        <v>0</v>
      </c>
      <c r="Q1698" s="31">
        <f t="shared" si="1447"/>
        <v>0</v>
      </c>
    </row>
    <row r="1699" spans="1:17" x14ac:dyDescent="0.2">
      <c r="A1699" s="10"/>
      <c r="B1699" s="26"/>
      <c r="C1699" s="11">
        <v>1998</v>
      </c>
      <c r="D1699" s="32">
        <f>SPFI_CLB14!$D$21</f>
        <v>0.37506400000000001</v>
      </c>
      <c r="E1699" s="32"/>
      <c r="F1699" s="32"/>
      <c r="G1699" s="32"/>
      <c r="H1699" s="32"/>
      <c r="I1699" s="32"/>
      <c r="J1699" s="28">
        <f t="shared" ref="J1699" si="1452">D1699*J$54</f>
        <v>0</v>
      </c>
      <c r="K1699" s="29"/>
      <c r="L1699" s="29"/>
      <c r="M1699" s="29"/>
      <c r="N1699" s="29"/>
      <c r="O1699" s="29"/>
      <c r="P1699" s="30">
        <f>SUM(J1699:O1699)</f>
        <v>0</v>
      </c>
      <c r="Q1699" s="31">
        <f t="shared" si="1447"/>
        <v>0</v>
      </c>
    </row>
    <row r="1700" spans="1:17" x14ac:dyDescent="0.2">
      <c r="A1700" s="10"/>
      <c r="B1700" s="26"/>
      <c r="C1700" s="11">
        <v>1999</v>
      </c>
      <c r="D1700" s="32">
        <f>SPFI_CLB14!$D$22</f>
        <v>0.29823699999999997</v>
      </c>
      <c r="E1700" s="32"/>
      <c r="F1700" s="32"/>
      <c r="G1700" s="32"/>
      <c r="H1700" s="32"/>
      <c r="I1700" s="32"/>
      <c r="J1700" s="28">
        <f t="shared" ref="J1700" si="1453">D1700*J$54</f>
        <v>0</v>
      </c>
      <c r="K1700" s="29"/>
      <c r="L1700" s="29"/>
      <c r="M1700" s="29"/>
      <c r="N1700" s="29"/>
      <c r="O1700" s="29"/>
      <c r="P1700" s="30">
        <f>SUM(J1700:O1700)</f>
        <v>0</v>
      </c>
      <c r="Q1700" s="31">
        <f t="shared" ref="Q1700:Q1705" si="1454">IF(C$54&gt;0,P1700/C$54,0)</f>
        <v>0</v>
      </c>
    </row>
    <row r="1701" spans="1:17" x14ac:dyDescent="0.2">
      <c r="A1701" s="10"/>
      <c r="B1701" s="26"/>
      <c r="C1701" s="11">
        <v>2000</v>
      </c>
      <c r="D1701" s="32">
        <f>SPFI_CLB14!$D$23</f>
        <v>8.4414000000000003E-2</v>
      </c>
      <c r="E1701" s="32"/>
      <c r="F1701" s="32"/>
      <c r="G1701" s="32"/>
      <c r="H1701" s="32"/>
      <c r="I1701" s="32"/>
      <c r="J1701" s="28">
        <f t="shared" ref="J1701" si="1455">D1701*J$54</f>
        <v>0</v>
      </c>
      <c r="K1701" s="29"/>
      <c r="L1701" s="29"/>
      <c r="M1701" s="29"/>
      <c r="N1701" s="29"/>
      <c r="O1701" s="29"/>
      <c r="P1701" s="30">
        <f t="shared" ref="P1701:P1706" si="1456">SUM(J1701:O1701)</f>
        <v>0</v>
      </c>
      <c r="Q1701" s="31">
        <f t="shared" si="1454"/>
        <v>0</v>
      </c>
    </row>
    <row r="1702" spans="1:17" x14ac:dyDescent="0.2">
      <c r="A1702" s="10"/>
      <c r="B1702" s="26"/>
      <c r="C1702" s="11">
        <v>2001</v>
      </c>
      <c r="D1702" s="32">
        <f>SPFI_CLB14!$D$24</f>
        <v>7.8909000000000007E-2</v>
      </c>
      <c r="E1702" s="32"/>
      <c r="F1702" s="32"/>
      <c r="G1702" s="32"/>
      <c r="H1702" s="32"/>
      <c r="I1702" s="32"/>
      <c r="J1702" s="28">
        <f t="shared" ref="J1702" si="1457">D1702*J$54</f>
        <v>0</v>
      </c>
      <c r="K1702" s="29"/>
      <c r="L1702" s="29"/>
      <c r="M1702" s="29"/>
      <c r="N1702" s="29"/>
      <c r="O1702" s="29"/>
      <c r="P1702" s="30">
        <f t="shared" si="1456"/>
        <v>0</v>
      </c>
      <c r="Q1702" s="31">
        <f t="shared" si="1454"/>
        <v>0</v>
      </c>
    </row>
    <row r="1703" spans="1:17" x14ac:dyDescent="0.2">
      <c r="A1703" s="10"/>
      <c r="B1703" s="26"/>
      <c r="C1703" s="11">
        <v>2002</v>
      </c>
      <c r="D1703" s="32">
        <f>SPFI_CLB14!$D$25</f>
        <v>0.29974699999999999</v>
      </c>
      <c r="E1703" s="32"/>
      <c r="F1703" s="32"/>
      <c r="G1703" s="32"/>
      <c r="H1703" s="32"/>
      <c r="I1703" s="32"/>
      <c r="J1703" s="28">
        <f t="shared" ref="J1703" si="1458">D1703*J$54</f>
        <v>0</v>
      </c>
      <c r="K1703" s="29"/>
      <c r="L1703" s="29"/>
      <c r="M1703" s="29"/>
      <c r="N1703" s="29"/>
      <c r="O1703" s="29"/>
      <c r="P1703" s="30">
        <f t="shared" si="1456"/>
        <v>0</v>
      </c>
      <c r="Q1703" s="31">
        <f t="shared" si="1454"/>
        <v>0</v>
      </c>
    </row>
    <row r="1704" spans="1:17" x14ac:dyDescent="0.2">
      <c r="A1704" s="10"/>
      <c r="B1704" s="26"/>
      <c r="C1704" s="11">
        <v>2003</v>
      </c>
      <c r="D1704" s="32">
        <f>SPFI_CLB14!$D$26</f>
        <v>0.20691100000000001</v>
      </c>
      <c r="E1704" s="32"/>
      <c r="F1704" s="32"/>
      <c r="G1704" s="32"/>
      <c r="H1704" s="32"/>
      <c r="I1704" s="32"/>
      <c r="J1704" s="28">
        <f t="shared" ref="J1704" si="1459">D1704*J$54</f>
        <v>0</v>
      </c>
      <c r="K1704" s="29"/>
      <c r="L1704" s="29"/>
      <c r="M1704" s="29"/>
      <c r="N1704" s="29"/>
      <c r="O1704" s="29"/>
      <c r="P1704" s="30">
        <f t="shared" si="1456"/>
        <v>0</v>
      </c>
      <c r="Q1704" s="31">
        <f t="shared" si="1454"/>
        <v>0</v>
      </c>
    </row>
    <row r="1705" spans="1:17" x14ac:dyDescent="0.2">
      <c r="A1705" s="10"/>
      <c r="B1705" s="26"/>
      <c r="C1705" s="11">
        <v>2004</v>
      </c>
      <c r="D1705" s="32">
        <f>SPFI_CLB14!$D$27</f>
        <v>0.269237</v>
      </c>
      <c r="E1705" s="32"/>
      <c r="F1705" s="32"/>
      <c r="G1705" s="32"/>
      <c r="H1705" s="32"/>
      <c r="I1705" s="32"/>
      <c r="J1705" s="28">
        <f t="shared" ref="J1705" si="1460">D1705*J$54</f>
        <v>0</v>
      </c>
      <c r="K1705" s="29"/>
      <c r="L1705" s="29"/>
      <c r="M1705" s="29"/>
      <c r="N1705" s="29"/>
      <c r="O1705" s="29"/>
      <c r="P1705" s="30">
        <f t="shared" si="1456"/>
        <v>0</v>
      </c>
      <c r="Q1705" s="31">
        <f t="shared" si="1454"/>
        <v>0</v>
      </c>
    </row>
    <row r="1706" spans="1:17" x14ac:dyDescent="0.2">
      <c r="A1706" s="10"/>
      <c r="B1706" s="26"/>
      <c r="C1706" s="11">
        <v>2005</v>
      </c>
      <c r="D1706" s="32">
        <f>SPFI_CLB14!$D$28</f>
        <v>0.37848700000000002</v>
      </c>
      <c r="E1706" s="32"/>
      <c r="F1706" s="32"/>
      <c r="G1706" s="32"/>
      <c r="H1706" s="32"/>
      <c r="I1706" s="32"/>
      <c r="J1706" s="28">
        <f t="shared" ref="J1706" si="1461">D1706*J$54</f>
        <v>0</v>
      </c>
      <c r="K1706" s="29"/>
      <c r="L1706" s="29"/>
      <c r="M1706" s="29"/>
      <c r="N1706" s="29"/>
      <c r="O1706" s="29"/>
      <c r="P1706" s="30">
        <f t="shared" si="1456"/>
        <v>0</v>
      </c>
      <c r="Q1706" s="31">
        <f t="shared" ref="Q1706:Q1711" si="1462">IF(C$54&gt;0,P1706/C$54,0)</f>
        <v>0</v>
      </c>
    </row>
    <row r="1707" spans="1:17" x14ac:dyDescent="0.2">
      <c r="A1707" s="10"/>
      <c r="B1707" s="26"/>
      <c r="C1707" s="11">
        <v>2006</v>
      </c>
      <c r="D1707" s="32">
        <f>SPFI_CLB14!$D$29</f>
        <v>0.381023</v>
      </c>
      <c r="E1707" s="32"/>
      <c r="F1707" s="32"/>
      <c r="G1707" s="32"/>
      <c r="H1707" s="32"/>
      <c r="I1707" s="32"/>
      <c r="J1707" s="28">
        <f t="shared" ref="J1707" si="1463">D1707*J$54</f>
        <v>0</v>
      </c>
      <c r="K1707" s="29"/>
      <c r="L1707" s="29"/>
      <c r="M1707" s="29"/>
      <c r="N1707" s="29"/>
      <c r="O1707" s="29"/>
      <c r="P1707" s="30">
        <f t="shared" ref="P1707:P1714" si="1464">SUM(J1707:O1707)</f>
        <v>0</v>
      </c>
      <c r="Q1707" s="31">
        <f t="shared" si="1462"/>
        <v>0</v>
      </c>
    </row>
    <row r="1708" spans="1:17" x14ac:dyDescent="0.2">
      <c r="A1708" s="10"/>
      <c r="B1708" s="26"/>
      <c r="C1708" s="11">
        <v>2007</v>
      </c>
      <c r="D1708" s="32">
        <f>SPFI_CLB14!$D$30</f>
        <v>0.356512</v>
      </c>
      <c r="E1708" s="32"/>
      <c r="F1708" s="32"/>
      <c r="G1708" s="32"/>
      <c r="H1708" s="32"/>
      <c r="I1708" s="32"/>
      <c r="J1708" s="28">
        <f t="shared" ref="J1708" si="1465">D1708*J$54</f>
        <v>0</v>
      </c>
      <c r="K1708" s="29"/>
      <c r="L1708" s="29"/>
      <c r="M1708" s="29"/>
      <c r="N1708" s="29"/>
      <c r="O1708" s="29"/>
      <c r="P1708" s="30">
        <f t="shared" si="1464"/>
        <v>0</v>
      </c>
      <c r="Q1708" s="31">
        <f t="shared" si="1462"/>
        <v>0</v>
      </c>
    </row>
    <row r="1709" spans="1:17" x14ac:dyDescent="0.2">
      <c r="A1709" s="10"/>
      <c r="B1709" s="26"/>
      <c r="C1709" s="11">
        <v>2008</v>
      </c>
      <c r="D1709" s="32">
        <f>SPFI_CLB14!$D$31</f>
        <v>0.25494499999999998</v>
      </c>
      <c r="E1709" s="32"/>
      <c r="F1709" s="32"/>
      <c r="G1709" s="32"/>
      <c r="H1709" s="32"/>
      <c r="I1709" s="32"/>
      <c r="J1709" s="28">
        <f t="shared" ref="J1709" si="1466">D1709*J$54</f>
        <v>0</v>
      </c>
      <c r="K1709" s="29"/>
      <c r="L1709" s="29"/>
      <c r="M1709" s="29"/>
      <c r="N1709" s="29"/>
      <c r="O1709" s="29"/>
      <c r="P1709" s="30">
        <f t="shared" si="1464"/>
        <v>0</v>
      </c>
      <c r="Q1709" s="31">
        <f t="shared" si="1462"/>
        <v>0</v>
      </c>
    </row>
    <row r="1710" spans="1:17" x14ac:dyDescent="0.2">
      <c r="A1710" s="10"/>
      <c r="B1710" s="26"/>
      <c r="C1710" s="11">
        <v>2009</v>
      </c>
      <c r="D1710" s="32">
        <f>SPFI_CLB14!$D$32</f>
        <v>0.52383000000000002</v>
      </c>
      <c r="E1710" s="32"/>
      <c r="F1710" s="32"/>
      <c r="G1710" s="32"/>
      <c r="H1710" s="32"/>
      <c r="I1710" s="32"/>
      <c r="J1710" s="28">
        <f t="shared" ref="J1710" si="1467">D1710*J$54</f>
        <v>0</v>
      </c>
      <c r="K1710" s="29"/>
      <c r="L1710" s="29"/>
      <c r="M1710" s="29"/>
      <c r="N1710" s="29"/>
      <c r="O1710" s="29"/>
      <c r="P1710" s="30">
        <f t="shared" si="1464"/>
        <v>0</v>
      </c>
      <c r="Q1710" s="31">
        <f t="shared" si="1462"/>
        <v>0</v>
      </c>
    </row>
    <row r="1711" spans="1:17" x14ac:dyDescent="0.2">
      <c r="A1711" s="10"/>
      <c r="B1711" s="26"/>
      <c r="C1711" s="11">
        <v>2010</v>
      </c>
      <c r="D1711" s="32">
        <f>SPFI_CLB14!$D$33</f>
        <v>0.31394</v>
      </c>
      <c r="E1711" s="32"/>
      <c r="F1711" s="32"/>
      <c r="G1711" s="32"/>
      <c r="H1711" s="32"/>
      <c r="I1711" s="32"/>
      <c r="J1711" s="28">
        <f t="shared" ref="J1711" si="1468">D1711*J$54</f>
        <v>0</v>
      </c>
      <c r="K1711" s="29"/>
      <c r="L1711" s="29"/>
      <c r="M1711" s="29"/>
      <c r="N1711" s="29"/>
      <c r="O1711" s="29"/>
      <c r="P1711" s="30">
        <f t="shared" si="1464"/>
        <v>0</v>
      </c>
      <c r="Q1711" s="31">
        <f t="shared" si="1462"/>
        <v>0</v>
      </c>
    </row>
    <row r="1712" spans="1:17" x14ac:dyDescent="0.2">
      <c r="A1712" s="10"/>
      <c r="B1712" s="26"/>
      <c r="C1712" s="11">
        <v>2011</v>
      </c>
      <c r="D1712" s="32">
        <f>SPFI_CLB14!$D$34</f>
        <v>0.294348</v>
      </c>
      <c r="E1712" s="32"/>
      <c r="F1712" s="32"/>
      <c r="G1712" s="32"/>
      <c r="H1712" s="32"/>
      <c r="I1712" s="32"/>
      <c r="J1712" s="28">
        <f t="shared" ref="J1712" si="1469">D1712*J$54</f>
        <v>0</v>
      </c>
      <c r="K1712" s="29"/>
      <c r="L1712" s="29"/>
      <c r="M1712" s="29"/>
      <c r="N1712" s="29"/>
      <c r="O1712" s="29"/>
      <c r="P1712" s="30">
        <f t="shared" ref="P1712" si="1470">SUM(J1712:O1712)</f>
        <v>0</v>
      </c>
      <c r="Q1712" s="31">
        <f t="shared" ref="Q1712" si="1471">IF(C$54&gt;0,P1712/C$54,0)</f>
        <v>0</v>
      </c>
    </row>
    <row r="1713" spans="1:17" x14ac:dyDescent="0.2">
      <c r="A1713" s="10"/>
      <c r="B1713" s="26"/>
      <c r="C1713" s="11">
        <v>2012</v>
      </c>
      <c r="D1713" s="32">
        <f>SPFI_CLB14!$D$35</f>
        <v>0.34784100000000001</v>
      </c>
      <c r="E1713" s="32"/>
      <c r="F1713" s="32"/>
      <c r="G1713" s="32"/>
      <c r="H1713" s="32"/>
      <c r="I1713" s="32"/>
      <c r="J1713" s="28">
        <f t="shared" ref="J1713" si="1472">D1713*J$54</f>
        <v>0</v>
      </c>
      <c r="K1713" s="29"/>
      <c r="L1713" s="29"/>
      <c r="M1713" s="29"/>
      <c r="N1713" s="29"/>
      <c r="O1713" s="29"/>
      <c r="P1713" s="30">
        <f t="shared" ref="P1713" si="1473">SUM(J1713:O1713)</f>
        <v>0</v>
      </c>
      <c r="Q1713" s="31">
        <f t="shared" ref="Q1713" si="1474">IF(C$54&gt;0,P1713/C$54,0)</f>
        <v>0</v>
      </c>
    </row>
    <row r="1714" spans="1:17" x14ac:dyDescent="0.2">
      <c r="A1714" s="5" t="s">
        <v>18</v>
      </c>
      <c r="B1714" s="21">
        <v>5</v>
      </c>
      <c r="C1714" s="6">
        <v>1982</v>
      </c>
      <c r="D1714" s="27">
        <f>SPFI_CLB14!$D$5</f>
        <v>0.98153299999999999</v>
      </c>
      <c r="E1714" s="27"/>
      <c r="F1714" s="27"/>
      <c r="G1714" s="27"/>
      <c r="H1714" s="27"/>
      <c r="I1714" s="27"/>
      <c r="J1714" s="33">
        <f t="shared" ref="J1714:J1726" si="1475">D1714*J$55</f>
        <v>0</v>
      </c>
      <c r="K1714" s="27"/>
      <c r="L1714" s="27"/>
      <c r="M1714" s="27"/>
      <c r="N1714" s="27"/>
      <c r="O1714" s="27"/>
      <c r="P1714" s="34">
        <f t="shared" si="1464"/>
        <v>0</v>
      </c>
      <c r="Q1714" s="35">
        <f t="shared" ref="Q1714:Q1730" si="1476">IF(C$55&gt;0,P1714/C$55,0)</f>
        <v>0</v>
      </c>
    </row>
    <row r="1715" spans="1:17" x14ac:dyDescent="0.2">
      <c r="A1715" s="10"/>
      <c r="B1715" s="26"/>
      <c r="C1715" s="11">
        <v>1983</v>
      </c>
      <c r="D1715" s="32">
        <f>SPFI_CLB14!$D$6</f>
        <v>0.93659899999999996</v>
      </c>
      <c r="E1715" s="32"/>
      <c r="F1715" s="32"/>
      <c r="G1715" s="32"/>
      <c r="H1715" s="32"/>
      <c r="I1715" s="32"/>
      <c r="J1715" s="28">
        <f t="shared" si="1475"/>
        <v>0</v>
      </c>
      <c r="K1715" s="29"/>
      <c r="L1715" s="29"/>
      <c r="M1715" s="29"/>
      <c r="N1715" s="29"/>
      <c r="O1715" s="29"/>
      <c r="P1715" s="30">
        <f t="shared" ref="P1715:P1726" si="1477">SUM(J1715:O1715)</f>
        <v>0</v>
      </c>
      <c r="Q1715" s="31">
        <f t="shared" si="1476"/>
        <v>0</v>
      </c>
    </row>
    <row r="1716" spans="1:17" x14ac:dyDescent="0.2">
      <c r="A1716" s="10"/>
      <c r="B1716" s="26"/>
      <c r="C1716" s="11">
        <v>1984</v>
      </c>
      <c r="D1716" s="32">
        <f>SPFI_CLB14!$D$7</f>
        <v>0.92793599999999998</v>
      </c>
      <c r="E1716" s="32"/>
      <c r="F1716" s="32"/>
      <c r="G1716" s="32"/>
      <c r="H1716" s="32"/>
      <c r="I1716" s="32"/>
      <c r="J1716" s="28">
        <f t="shared" si="1475"/>
        <v>0</v>
      </c>
      <c r="K1716" s="29"/>
      <c r="L1716" s="29"/>
      <c r="M1716" s="29"/>
      <c r="N1716" s="29"/>
      <c r="O1716" s="29"/>
      <c r="P1716" s="30">
        <f t="shared" si="1477"/>
        <v>0</v>
      </c>
      <c r="Q1716" s="31">
        <f t="shared" si="1476"/>
        <v>0</v>
      </c>
    </row>
    <row r="1717" spans="1:17" x14ac:dyDescent="0.2">
      <c r="A1717" s="10"/>
      <c r="B1717" s="26"/>
      <c r="C1717" s="11">
        <v>1985</v>
      </c>
      <c r="D1717" s="32">
        <f>SPFI_CLB14!$D$8</f>
        <v>0.90386500000000003</v>
      </c>
      <c r="E1717" s="32"/>
      <c r="F1717" s="32"/>
      <c r="G1717" s="32"/>
      <c r="H1717" s="32"/>
      <c r="I1717" s="32"/>
      <c r="J1717" s="28">
        <f t="shared" si="1475"/>
        <v>0</v>
      </c>
      <c r="K1717" s="29"/>
      <c r="L1717" s="29"/>
      <c r="M1717" s="29"/>
      <c r="N1717" s="29"/>
      <c r="O1717" s="29"/>
      <c r="P1717" s="30">
        <f t="shared" si="1477"/>
        <v>0</v>
      </c>
      <c r="Q1717" s="31">
        <f t="shared" si="1476"/>
        <v>0</v>
      </c>
    </row>
    <row r="1718" spans="1:17" x14ac:dyDescent="0.2">
      <c r="A1718" s="10"/>
      <c r="B1718" s="26"/>
      <c r="C1718" s="11">
        <v>1986</v>
      </c>
      <c r="D1718" s="32">
        <f>SPFI_CLB14!$D$9</f>
        <v>0.73087500000000005</v>
      </c>
      <c r="E1718" s="32"/>
      <c r="F1718" s="32"/>
      <c r="G1718" s="32"/>
      <c r="H1718" s="32"/>
      <c r="I1718" s="32"/>
      <c r="J1718" s="28">
        <f t="shared" si="1475"/>
        <v>0</v>
      </c>
      <c r="K1718" s="29"/>
      <c r="L1718" s="29"/>
      <c r="M1718" s="29"/>
      <c r="N1718" s="29"/>
      <c r="O1718" s="29"/>
      <c r="P1718" s="30">
        <f t="shared" si="1477"/>
        <v>0</v>
      </c>
      <c r="Q1718" s="31">
        <f t="shared" si="1476"/>
        <v>0</v>
      </c>
    </row>
    <row r="1719" spans="1:17" x14ac:dyDescent="0.2">
      <c r="A1719" s="10"/>
      <c r="B1719" s="26"/>
      <c r="C1719" s="11">
        <v>1987</v>
      </c>
      <c r="D1719" s="32">
        <f>SPFI_CLB14!$D$10</f>
        <v>0.71733499999999994</v>
      </c>
      <c r="E1719" s="32"/>
      <c r="F1719" s="32"/>
      <c r="G1719" s="32"/>
      <c r="H1719" s="32"/>
      <c r="I1719" s="32"/>
      <c r="J1719" s="28">
        <f t="shared" si="1475"/>
        <v>0</v>
      </c>
      <c r="K1719" s="29"/>
      <c r="L1719" s="29"/>
      <c r="M1719" s="29"/>
      <c r="N1719" s="29"/>
      <c r="O1719" s="29"/>
      <c r="P1719" s="30">
        <f t="shared" si="1477"/>
        <v>0</v>
      </c>
      <c r="Q1719" s="31">
        <f t="shared" si="1476"/>
        <v>0</v>
      </c>
    </row>
    <row r="1720" spans="1:17" x14ac:dyDescent="0.2">
      <c r="A1720" s="10"/>
      <c r="B1720" s="26"/>
      <c r="C1720" s="11">
        <v>1988</v>
      </c>
      <c r="D1720" s="32">
        <f>SPFI_CLB14!$D$11</f>
        <v>0.64558800000000005</v>
      </c>
      <c r="E1720" s="32"/>
      <c r="F1720" s="32"/>
      <c r="G1720" s="32"/>
      <c r="H1720" s="32"/>
      <c r="I1720" s="32"/>
      <c r="J1720" s="28">
        <f t="shared" si="1475"/>
        <v>0</v>
      </c>
      <c r="K1720" s="29"/>
      <c r="L1720" s="29"/>
      <c r="M1720" s="29"/>
      <c r="N1720" s="29"/>
      <c r="O1720" s="29"/>
      <c r="P1720" s="30">
        <f t="shared" si="1477"/>
        <v>0</v>
      </c>
      <c r="Q1720" s="31">
        <f t="shared" si="1476"/>
        <v>0</v>
      </c>
    </row>
    <row r="1721" spans="1:17" x14ac:dyDescent="0.2">
      <c r="A1721" s="10"/>
      <c r="B1721" s="26"/>
      <c r="C1721" s="11">
        <v>1989</v>
      </c>
      <c r="D1721" s="32">
        <f>SPFI_CLB14!$D$12</f>
        <v>0.65287700000000004</v>
      </c>
      <c r="E1721" s="32"/>
      <c r="F1721" s="32"/>
      <c r="G1721" s="32"/>
      <c r="H1721" s="32"/>
      <c r="I1721" s="32"/>
      <c r="J1721" s="28">
        <f t="shared" si="1475"/>
        <v>0</v>
      </c>
      <c r="K1721" s="29"/>
      <c r="L1721" s="29"/>
      <c r="M1721" s="29"/>
      <c r="N1721" s="29"/>
      <c r="O1721" s="29"/>
      <c r="P1721" s="30">
        <f t="shared" si="1477"/>
        <v>0</v>
      </c>
      <c r="Q1721" s="31">
        <f t="shared" si="1476"/>
        <v>0</v>
      </c>
    </row>
    <row r="1722" spans="1:17" x14ac:dyDescent="0.2">
      <c r="A1722" s="10"/>
      <c r="B1722" s="26"/>
      <c r="C1722" s="11">
        <v>1990</v>
      </c>
      <c r="D1722" s="32">
        <f>SPFI_CLB14!$D$13</f>
        <v>0.56965100000000002</v>
      </c>
      <c r="E1722" s="32"/>
      <c r="F1722" s="32"/>
      <c r="G1722" s="32"/>
      <c r="H1722" s="32"/>
      <c r="I1722" s="32"/>
      <c r="J1722" s="28">
        <f t="shared" si="1475"/>
        <v>0</v>
      </c>
      <c r="K1722" s="29"/>
      <c r="L1722" s="29"/>
      <c r="M1722" s="29"/>
      <c r="N1722" s="29"/>
      <c r="O1722" s="29"/>
      <c r="P1722" s="30">
        <f t="shared" si="1477"/>
        <v>0</v>
      </c>
      <c r="Q1722" s="31">
        <f t="shared" si="1476"/>
        <v>0</v>
      </c>
    </row>
    <row r="1723" spans="1:17" x14ac:dyDescent="0.2">
      <c r="A1723" s="10"/>
      <c r="B1723" s="26"/>
      <c r="C1723" s="11">
        <v>1991</v>
      </c>
      <c r="D1723" s="32">
        <f>SPFI_CLB14!$D$14</f>
        <v>0.62776900000000002</v>
      </c>
      <c r="E1723" s="32"/>
      <c r="F1723" s="32"/>
      <c r="G1723" s="32"/>
      <c r="H1723" s="32"/>
      <c r="I1723" s="32"/>
      <c r="J1723" s="28">
        <f t="shared" si="1475"/>
        <v>0</v>
      </c>
      <c r="K1723" s="29"/>
      <c r="L1723" s="29"/>
      <c r="M1723" s="29"/>
      <c r="N1723" s="29"/>
      <c r="O1723" s="29"/>
      <c r="P1723" s="30">
        <f t="shared" si="1477"/>
        <v>0</v>
      </c>
      <c r="Q1723" s="31">
        <f t="shared" si="1476"/>
        <v>0</v>
      </c>
    </row>
    <row r="1724" spans="1:17" x14ac:dyDescent="0.2">
      <c r="A1724" s="10"/>
      <c r="B1724" s="26"/>
      <c r="C1724" s="11">
        <v>1992</v>
      </c>
      <c r="D1724" s="32">
        <f>SPFI_CLB14!$D$15</f>
        <v>0.43504100000000001</v>
      </c>
      <c r="E1724" s="32"/>
      <c r="F1724" s="32"/>
      <c r="G1724" s="32"/>
      <c r="H1724" s="32"/>
      <c r="I1724" s="32"/>
      <c r="J1724" s="28">
        <f t="shared" si="1475"/>
        <v>0</v>
      </c>
      <c r="K1724" s="29"/>
      <c r="L1724" s="29"/>
      <c r="M1724" s="29"/>
      <c r="N1724" s="29"/>
      <c r="O1724" s="29"/>
      <c r="P1724" s="30">
        <f t="shared" si="1477"/>
        <v>0</v>
      </c>
      <c r="Q1724" s="31">
        <f t="shared" si="1476"/>
        <v>0</v>
      </c>
    </row>
    <row r="1725" spans="1:17" x14ac:dyDescent="0.2">
      <c r="A1725" s="10"/>
      <c r="B1725" s="26"/>
      <c r="C1725" s="11">
        <v>1993</v>
      </c>
      <c r="D1725" s="32">
        <f>SPFI_CLB14!$D$16</f>
        <v>0.499164</v>
      </c>
      <c r="E1725" s="32"/>
      <c r="F1725" s="32"/>
      <c r="G1725" s="32"/>
      <c r="H1725" s="32"/>
      <c r="I1725" s="32"/>
      <c r="J1725" s="28">
        <f t="shared" si="1475"/>
        <v>0</v>
      </c>
      <c r="K1725" s="29"/>
      <c r="L1725" s="29"/>
      <c r="M1725" s="29"/>
      <c r="N1725" s="29"/>
      <c r="O1725" s="29"/>
      <c r="P1725" s="30">
        <f t="shared" si="1477"/>
        <v>0</v>
      </c>
      <c r="Q1725" s="31">
        <f t="shared" si="1476"/>
        <v>0</v>
      </c>
    </row>
    <row r="1726" spans="1:17" x14ac:dyDescent="0.2">
      <c r="A1726" s="10"/>
      <c r="B1726" s="26"/>
      <c r="C1726" s="11">
        <v>1994</v>
      </c>
      <c r="D1726" s="32">
        <f>SPFI_CLB14!$D$17</f>
        <v>0.59591300000000003</v>
      </c>
      <c r="E1726" s="32"/>
      <c r="F1726" s="32"/>
      <c r="G1726" s="32"/>
      <c r="H1726" s="32"/>
      <c r="I1726" s="32"/>
      <c r="J1726" s="28">
        <f t="shared" si="1475"/>
        <v>0</v>
      </c>
      <c r="K1726" s="29"/>
      <c r="L1726" s="29"/>
      <c r="M1726" s="29"/>
      <c r="N1726" s="29"/>
      <c r="O1726" s="29"/>
      <c r="P1726" s="30">
        <f t="shared" si="1477"/>
        <v>0</v>
      </c>
      <c r="Q1726" s="31">
        <f t="shared" si="1476"/>
        <v>0</v>
      </c>
    </row>
    <row r="1727" spans="1:17" x14ac:dyDescent="0.2">
      <c r="A1727" s="10"/>
      <c r="B1727" s="26"/>
      <c r="C1727" s="11">
        <v>1995</v>
      </c>
      <c r="D1727" s="32">
        <f>SPFI_CLB14!$D$18</f>
        <v>0.25400800000000001</v>
      </c>
      <c r="E1727" s="32"/>
      <c r="F1727" s="32"/>
      <c r="G1727" s="32"/>
      <c r="H1727" s="32"/>
      <c r="I1727" s="32"/>
      <c r="J1727" s="28">
        <f t="shared" ref="J1727" si="1478">D1727*J$55</f>
        <v>0</v>
      </c>
      <c r="K1727" s="29"/>
      <c r="L1727" s="29"/>
      <c r="M1727" s="29"/>
      <c r="N1727" s="29"/>
      <c r="O1727" s="29"/>
      <c r="P1727" s="30">
        <f>SUM(J1727:O1727)</f>
        <v>0</v>
      </c>
      <c r="Q1727" s="31">
        <f t="shared" si="1476"/>
        <v>0</v>
      </c>
    </row>
    <row r="1728" spans="1:17" x14ac:dyDescent="0.2">
      <c r="A1728" s="10"/>
      <c r="B1728" s="26"/>
      <c r="C1728" s="11">
        <v>1996</v>
      </c>
      <c r="D1728" s="32">
        <f>SPFI_CLB14!$D$19</f>
        <v>0</v>
      </c>
      <c r="E1728" s="32"/>
      <c r="F1728" s="32"/>
      <c r="G1728" s="32"/>
      <c r="H1728" s="32"/>
      <c r="I1728" s="32"/>
      <c r="J1728" s="28">
        <f t="shared" ref="J1728" si="1479">D1728*J$55</f>
        <v>0</v>
      </c>
      <c r="K1728" s="29"/>
      <c r="L1728" s="29"/>
      <c r="M1728" s="29"/>
      <c r="N1728" s="29"/>
      <c r="O1728" s="29"/>
      <c r="P1728" s="30">
        <f>SUM(J1728:O1728)</f>
        <v>0</v>
      </c>
      <c r="Q1728" s="31">
        <f t="shared" si="1476"/>
        <v>0</v>
      </c>
    </row>
    <row r="1729" spans="1:17" x14ac:dyDescent="0.2">
      <c r="A1729" s="10"/>
      <c r="B1729" s="26"/>
      <c r="C1729" s="11">
        <v>1997</v>
      </c>
      <c r="D1729" s="32">
        <f>SPFI_CLB14!$D$20</f>
        <v>0.201487</v>
      </c>
      <c r="E1729" s="32"/>
      <c r="F1729" s="32"/>
      <c r="G1729" s="32"/>
      <c r="H1729" s="32"/>
      <c r="I1729" s="32"/>
      <c r="J1729" s="28">
        <f t="shared" ref="J1729" si="1480">D1729*J$55</f>
        <v>0</v>
      </c>
      <c r="K1729" s="29"/>
      <c r="L1729" s="29"/>
      <c r="M1729" s="29"/>
      <c r="N1729" s="29"/>
      <c r="O1729" s="29"/>
      <c r="P1729" s="30">
        <f>SUM(J1729:O1729)</f>
        <v>0</v>
      </c>
      <c r="Q1729" s="31">
        <f t="shared" si="1476"/>
        <v>0</v>
      </c>
    </row>
    <row r="1730" spans="1:17" x14ac:dyDescent="0.2">
      <c r="A1730" s="10"/>
      <c r="B1730" s="26"/>
      <c r="C1730" s="11">
        <v>1998</v>
      </c>
      <c r="D1730" s="32">
        <f>SPFI_CLB14!$D$21</f>
        <v>0.37506400000000001</v>
      </c>
      <c r="E1730" s="32"/>
      <c r="F1730" s="32"/>
      <c r="G1730" s="32"/>
      <c r="H1730" s="32"/>
      <c r="I1730" s="32"/>
      <c r="J1730" s="28">
        <f t="shared" ref="J1730" si="1481">D1730*J$55</f>
        <v>0</v>
      </c>
      <c r="K1730" s="29"/>
      <c r="L1730" s="29"/>
      <c r="M1730" s="29"/>
      <c r="N1730" s="29"/>
      <c r="O1730" s="29"/>
      <c r="P1730" s="30">
        <f>SUM(J1730:O1730)</f>
        <v>0</v>
      </c>
      <c r="Q1730" s="31">
        <f t="shared" si="1476"/>
        <v>0</v>
      </c>
    </row>
    <row r="1731" spans="1:17" x14ac:dyDescent="0.2">
      <c r="A1731" s="10"/>
      <c r="B1731" s="26"/>
      <c r="C1731" s="11">
        <v>1999</v>
      </c>
      <c r="D1731" s="32">
        <f>SPFI_CLB14!$D$22</f>
        <v>0.29823699999999997</v>
      </c>
      <c r="E1731" s="32"/>
      <c r="F1731" s="32"/>
      <c r="G1731" s="32"/>
      <c r="H1731" s="32"/>
      <c r="I1731" s="32"/>
      <c r="J1731" s="28">
        <f t="shared" ref="J1731" si="1482">D1731*J$55</f>
        <v>0</v>
      </c>
      <c r="K1731" s="29"/>
      <c r="L1731" s="29"/>
      <c r="M1731" s="29"/>
      <c r="N1731" s="29"/>
      <c r="O1731" s="29"/>
      <c r="P1731" s="30">
        <f>SUM(J1731:O1731)</f>
        <v>0</v>
      </c>
      <c r="Q1731" s="31">
        <f t="shared" ref="Q1731:Q1736" si="1483">IF(C$55&gt;0,P1731/C$55,0)</f>
        <v>0</v>
      </c>
    </row>
    <row r="1732" spans="1:17" x14ac:dyDescent="0.2">
      <c r="A1732" s="10"/>
      <c r="B1732" s="26"/>
      <c r="C1732" s="11">
        <v>2000</v>
      </c>
      <c r="D1732" s="32">
        <f>SPFI_CLB14!$D$23</f>
        <v>8.4414000000000003E-2</v>
      </c>
      <c r="E1732" s="32"/>
      <c r="F1732" s="32"/>
      <c r="G1732" s="32"/>
      <c r="H1732" s="32"/>
      <c r="I1732" s="32"/>
      <c r="J1732" s="28">
        <f t="shared" ref="J1732" si="1484">D1732*J$55</f>
        <v>0</v>
      </c>
      <c r="K1732" s="29"/>
      <c r="L1732" s="29"/>
      <c r="M1732" s="29"/>
      <c r="N1732" s="29"/>
      <c r="O1732" s="29"/>
      <c r="P1732" s="30">
        <f t="shared" ref="P1732:P1737" si="1485">SUM(J1732:O1732)</f>
        <v>0</v>
      </c>
      <c r="Q1732" s="31">
        <f t="shared" si="1483"/>
        <v>0</v>
      </c>
    </row>
    <row r="1733" spans="1:17" x14ac:dyDescent="0.2">
      <c r="A1733" s="10"/>
      <c r="B1733" s="26"/>
      <c r="C1733" s="11">
        <v>2001</v>
      </c>
      <c r="D1733" s="32">
        <f>SPFI_CLB14!$D$24</f>
        <v>7.8909000000000007E-2</v>
      </c>
      <c r="E1733" s="32"/>
      <c r="F1733" s="32"/>
      <c r="G1733" s="32"/>
      <c r="H1733" s="32"/>
      <c r="I1733" s="32"/>
      <c r="J1733" s="28">
        <f t="shared" ref="J1733" si="1486">D1733*J$55</f>
        <v>0</v>
      </c>
      <c r="K1733" s="29"/>
      <c r="L1733" s="29"/>
      <c r="M1733" s="29"/>
      <c r="N1733" s="29"/>
      <c r="O1733" s="29"/>
      <c r="P1733" s="30">
        <f t="shared" si="1485"/>
        <v>0</v>
      </c>
      <c r="Q1733" s="31">
        <f t="shared" si="1483"/>
        <v>0</v>
      </c>
    </row>
    <row r="1734" spans="1:17" x14ac:dyDescent="0.2">
      <c r="A1734" s="10"/>
      <c r="B1734" s="26"/>
      <c r="C1734" s="11">
        <v>2002</v>
      </c>
      <c r="D1734" s="32">
        <f>SPFI_CLB14!$D$25</f>
        <v>0.29974699999999999</v>
      </c>
      <c r="E1734" s="32"/>
      <c r="F1734" s="32"/>
      <c r="G1734" s="32"/>
      <c r="H1734" s="32"/>
      <c r="I1734" s="32"/>
      <c r="J1734" s="28">
        <f t="shared" ref="J1734" si="1487">D1734*J$55</f>
        <v>0</v>
      </c>
      <c r="K1734" s="29"/>
      <c r="L1734" s="29"/>
      <c r="M1734" s="29"/>
      <c r="N1734" s="29"/>
      <c r="O1734" s="29"/>
      <c r="P1734" s="30">
        <f t="shared" si="1485"/>
        <v>0</v>
      </c>
      <c r="Q1734" s="31">
        <f t="shared" si="1483"/>
        <v>0</v>
      </c>
    </row>
    <row r="1735" spans="1:17" x14ac:dyDescent="0.2">
      <c r="A1735" s="10"/>
      <c r="B1735" s="26"/>
      <c r="C1735" s="11">
        <v>2003</v>
      </c>
      <c r="D1735" s="32">
        <f>SPFI_CLB14!$D$26</f>
        <v>0.20691100000000001</v>
      </c>
      <c r="E1735" s="32"/>
      <c r="F1735" s="32"/>
      <c r="G1735" s="32"/>
      <c r="H1735" s="32"/>
      <c r="I1735" s="32"/>
      <c r="J1735" s="28">
        <f t="shared" ref="J1735" si="1488">D1735*J$55</f>
        <v>0</v>
      </c>
      <c r="K1735" s="29"/>
      <c r="L1735" s="29"/>
      <c r="M1735" s="29"/>
      <c r="N1735" s="29"/>
      <c r="O1735" s="29"/>
      <c r="P1735" s="30">
        <f t="shared" si="1485"/>
        <v>0</v>
      </c>
      <c r="Q1735" s="31">
        <f t="shared" si="1483"/>
        <v>0</v>
      </c>
    </row>
    <row r="1736" spans="1:17" x14ac:dyDescent="0.2">
      <c r="A1736" s="10"/>
      <c r="B1736" s="26"/>
      <c r="C1736" s="11">
        <v>2004</v>
      </c>
      <c r="D1736" s="32">
        <f>SPFI_CLB14!$D$27</f>
        <v>0.269237</v>
      </c>
      <c r="E1736" s="32"/>
      <c r="F1736" s="32"/>
      <c r="G1736" s="32"/>
      <c r="H1736" s="32"/>
      <c r="I1736" s="32"/>
      <c r="J1736" s="28">
        <f t="shared" ref="J1736" si="1489">D1736*J$55</f>
        <v>0</v>
      </c>
      <c r="K1736" s="29"/>
      <c r="L1736" s="29"/>
      <c r="M1736" s="29"/>
      <c r="N1736" s="29"/>
      <c r="O1736" s="29"/>
      <c r="P1736" s="30">
        <f t="shared" si="1485"/>
        <v>0</v>
      </c>
      <c r="Q1736" s="31">
        <f t="shared" si="1483"/>
        <v>0</v>
      </c>
    </row>
    <row r="1737" spans="1:17" x14ac:dyDescent="0.2">
      <c r="A1737" s="10"/>
      <c r="B1737" s="26"/>
      <c r="C1737" s="11">
        <v>2005</v>
      </c>
      <c r="D1737" s="32">
        <f>SPFI_CLB14!$D$28</f>
        <v>0.37848700000000002</v>
      </c>
      <c r="E1737" s="32"/>
      <c r="F1737" s="32"/>
      <c r="G1737" s="32"/>
      <c r="H1737" s="32"/>
      <c r="I1737" s="32"/>
      <c r="J1737" s="28">
        <f t="shared" ref="J1737" si="1490">D1737*J$55</f>
        <v>0</v>
      </c>
      <c r="K1737" s="29"/>
      <c r="L1737" s="29"/>
      <c r="M1737" s="29"/>
      <c r="N1737" s="29"/>
      <c r="O1737" s="29"/>
      <c r="P1737" s="30">
        <f t="shared" si="1485"/>
        <v>0</v>
      </c>
      <c r="Q1737" s="31">
        <f t="shared" ref="Q1737:Q1742" si="1491">IF(C$55&gt;0,P1737/C$55,0)</f>
        <v>0</v>
      </c>
    </row>
    <row r="1738" spans="1:17" x14ac:dyDescent="0.2">
      <c r="A1738" s="10"/>
      <c r="B1738" s="26"/>
      <c r="C1738" s="11">
        <v>2006</v>
      </c>
      <c r="D1738" s="32">
        <f>SPFI_CLB14!$D$29</f>
        <v>0.381023</v>
      </c>
      <c r="E1738" s="32"/>
      <c r="F1738" s="32"/>
      <c r="G1738" s="32"/>
      <c r="H1738" s="32"/>
      <c r="I1738" s="32"/>
      <c r="J1738" s="28">
        <f t="shared" ref="J1738" si="1492">D1738*J$55</f>
        <v>0</v>
      </c>
      <c r="K1738" s="29"/>
      <c r="L1738" s="29"/>
      <c r="M1738" s="29"/>
      <c r="N1738" s="29"/>
      <c r="O1738" s="29"/>
      <c r="P1738" s="30">
        <f t="shared" ref="P1738:P1745" si="1493">SUM(J1738:O1738)</f>
        <v>0</v>
      </c>
      <c r="Q1738" s="31">
        <f t="shared" si="1491"/>
        <v>0</v>
      </c>
    </row>
    <row r="1739" spans="1:17" x14ac:dyDescent="0.2">
      <c r="A1739" s="10"/>
      <c r="B1739" s="26"/>
      <c r="C1739" s="11">
        <v>2007</v>
      </c>
      <c r="D1739" s="32">
        <f>SPFI_CLB14!$D$30</f>
        <v>0.356512</v>
      </c>
      <c r="E1739" s="32"/>
      <c r="F1739" s="32"/>
      <c r="G1739" s="32"/>
      <c r="H1739" s="32"/>
      <c r="I1739" s="32"/>
      <c r="J1739" s="28">
        <f t="shared" ref="J1739" si="1494">D1739*J$55</f>
        <v>0</v>
      </c>
      <c r="K1739" s="29"/>
      <c r="L1739" s="29"/>
      <c r="M1739" s="29"/>
      <c r="N1739" s="29"/>
      <c r="O1739" s="29"/>
      <c r="P1739" s="30">
        <f t="shared" si="1493"/>
        <v>0</v>
      </c>
      <c r="Q1739" s="31">
        <f t="shared" si="1491"/>
        <v>0</v>
      </c>
    </row>
    <row r="1740" spans="1:17" x14ac:dyDescent="0.2">
      <c r="A1740" s="10"/>
      <c r="B1740" s="26"/>
      <c r="C1740" s="11">
        <v>2008</v>
      </c>
      <c r="D1740" s="32">
        <f>SPFI_CLB14!$D$31</f>
        <v>0.25494499999999998</v>
      </c>
      <c r="E1740" s="32"/>
      <c r="F1740" s="32"/>
      <c r="G1740" s="32"/>
      <c r="H1740" s="32"/>
      <c r="I1740" s="32"/>
      <c r="J1740" s="28">
        <f t="shared" ref="J1740" si="1495">D1740*J$55</f>
        <v>0</v>
      </c>
      <c r="K1740" s="29"/>
      <c r="L1740" s="29"/>
      <c r="M1740" s="29"/>
      <c r="N1740" s="29"/>
      <c r="O1740" s="29"/>
      <c r="P1740" s="30">
        <f t="shared" si="1493"/>
        <v>0</v>
      </c>
      <c r="Q1740" s="31">
        <f t="shared" si="1491"/>
        <v>0</v>
      </c>
    </row>
    <row r="1741" spans="1:17" x14ac:dyDescent="0.2">
      <c r="A1741" s="10"/>
      <c r="B1741" s="26"/>
      <c r="C1741" s="11">
        <v>2009</v>
      </c>
      <c r="D1741" s="32">
        <f>SPFI_CLB14!$D$32</f>
        <v>0.52383000000000002</v>
      </c>
      <c r="E1741" s="32"/>
      <c r="F1741" s="32"/>
      <c r="G1741" s="32"/>
      <c r="H1741" s="32"/>
      <c r="I1741" s="32"/>
      <c r="J1741" s="28">
        <f t="shared" ref="J1741" si="1496">D1741*J$55</f>
        <v>0</v>
      </c>
      <c r="K1741" s="29"/>
      <c r="L1741" s="29"/>
      <c r="M1741" s="29"/>
      <c r="N1741" s="29"/>
      <c r="O1741" s="29"/>
      <c r="P1741" s="30">
        <f t="shared" si="1493"/>
        <v>0</v>
      </c>
      <c r="Q1741" s="31">
        <f t="shared" si="1491"/>
        <v>0</v>
      </c>
    </row>
    <row r="1742" spans="1:17" x14ac:dyDescent="0.2">
      <c r="A1742" s="10"/>
      <c r="B1742" s="26"/>
      <c r="C1742" s="11">
        <v>2010</v>
      </c>
      <c r="D1742" s="32">
        <f>SPFI_CLB14!$D$33</f>
        <v>0.31394</v>
      </c>
      <c r="E1742" s="32"/>
      <c r="F1742" s="32"/>
      <c r="G1742" s="32"/>
      <c r="H1742" s="32"/>
      <c r="I1742" s="32"/>
      <c r="J1742" s="28">
        <f t="shared" ref="J1742" si="1497">D1742*J$55</f>
        <v>0</v>
      </c>
      <c r="K1742" s="29"/>
      <c r="L1742" s="29"/>
      <c r="M1742" s="29"/>
      <c r="N1742" s="29"/>
      <c r="O1742" s="29"/>
      <c r="P1742" s="30">
        <f t="shared" si="1493"/>
        <v>0</v>
      </c>
      <c r="Q1742" s="31">
        <f t="shared" si="1491"/>
        <v>0</v>
      </c>
    </row>
    <row r="1743" spans="1:17" x14ac:dyDescent="0.2">
      <c r="A1743" s="10"/>
      <c r="B1743" s="26"/>
      <c r="C1743" s="11">
        <v>2011</v>
      </c>
      <c r="D1743" s="32">
        <f>SPFI_CLB14!$D$34</f>
        <v>0.294348</v>
      </c>
      <c r="E1743" s="32"/>
      <c r="F1743" s="32"/>
      <c r="G1743" s="32"/>
      <c r="H1743" s="32"/>
      <c r="I1743" s="32"/>
      <c r="J1743" s="28">
        <f t="shared" ref="J1743" si="1498">D1743*J$55</f>
        <v>0</v>
      </c>
      <c r="K1743" s="29"/>
      <c r="L1743" s="29"/>
      <c r="M1743" s="29"/>
      <c r="N1743" s="29"/>
      <c r="O1743" s="29"/>
      <c r="P1743" s="30">
        <f t="shared" ref="P1743" si="1499">SUM(J1743:O1743)</f>
        <v>0</v>
      </c>
      <c r="Q1743" s="31">
        <f t="shared" ref="Q1743" si="1500">IF(C$55&gt;0,P1743/C$55,0)</f>
        <v>0</v>
      </c>
    </row>
    <row r="1744" spans="1:17" x14ac:dyDescent="0.2">
      <c r="A1744" s="10"/>
      <c r="B1744" s="26"/>
      <c r="C1744" s="11">
        <v>2012</v>
      </c>
      <c r="D1744" s="32">
        <f>SPFI_CLB14!$D$35</f>
        <v>0.34784100000000001</v>
      </c>
      <c r="E1744" s="32"/>
      <c r="F1744" s="32"/>
      <c r="G1744" s="32"/>
      <c r="H1744" s="32"/>
      <c r="I1744" s="32"/>
      <c r="J1744" s="28">
        <f t="shared" ref="J1744" si="1501">D1744*J$55</f>
        <v>0</v>
      </c>
      <c r="K1744" s="29"/>
      <c r="L1744" s="29"/>
      <c r="M1744" s="29"/>
      <c r="N1744" s="29"/>
      <c r="O1744" s="29"/>
      <c r="P1744" s="30">
        <f t="shared" ref="P1744" si="1502">SUM(J1744:O1744)</f>
        <v>0</v>
      </c>
      <c r="Q1744" s="31">
        <f t="shared" ref="Q1744" si="1503">IF(C$55&gt;0,P1744/C$55,0)</f>
        <v>0</v>
      </c>
    </row>
    <row r="1745" spans="1:17" x14ac:dyDescent="0.2">
      <c r="A1745" s="5" t="s">
        <v>19</v>
      </c>
      <c r="B1745" s="21">
        <v>2</v>
      </c>
      <c r="C1745" s="6">
        <v>1982</v>
      </c>
      <c r="D1745" s="27">
        <f>SPFI_CLB14!$D$5</f>
        <v>0.98153299999999999</v>
      </c>
      <c r="E1745" s="27"/>
      <c r="F1745" s="27"/>
      <c r="G1745" s="27"/>
      <c r="H1745" s="27"/>
      <c r="I1745" s="27"/>
      <c r="J1745" s="33">
        <f t="shared" ref="J1745:J1757" si="1504">D1745*J$56</f>
        <v>0</v>
      </c>
      <c r="K1745" s="27"/>
      <c r="L1745" s="27"/>
      <c r="M1745" s="27"/>
      <c r="N1745" s="27"/>
      <c r="O1745" s="27"/>
      <c r="P1745" s="34">
        <f t="shared" si="1493"/>
        <v>0</v>
      </c>
      <c r="Q1745" s="35">
        <f t="shared" ref="Q1745:Q1761" si="1505">IF(C$56&gt;0,P1745/C$56,0)</f>
        <v>0</v>
      </c>
    </row>
    <row r="1746" spans="1:17" x14ac:dyDescent="0.2">
      <c r="A1746" s="10"/>
      <c r="B1746" s="26"/>
      <c r="C1746" s="11">
        <v>1983</v>
      </c>
      <c r="D1746" s="32">
        <f>SPFI_CLB14!$D$6</f>
        <v>0.93659899999999996</v>
      </c>
      <c r="E1746" s="32"/>
      <c r="F1746" s="32"/>
      <c r="G1746" s="32"/>
      <c r="H1746" s="32"/>
      <c r="I1746" s="32"/>
      <c r="J1746" s="28">
        <f t="shared" si="1504"/>
        <v>0</v>
      </c>
      <c r="K1746" s="29"/>
      <c r="L1746" s="29"/>
      <c r="M1746" s="29"/>
      <c r="N1746" s="29"/>
      <c r="O1746" s="29"/>
      <c r="P1746" s="30">
        <f t="shared" ref="P1746:P1757" si="1506">SUM(J1746:O1746)</f>
        <v>0</v>
      </c>
      <c r="Q1746" s="31">
        <f t="shared" si="1505"/>
        <v>0</v>
      </c>
    </row>
    <row r="1747" spans="1:17" x14ac:dyDescent="0.2">
      <c r="A1747" s="10"/>
      <c r="B1747" s="26"/>
      <c r="C1747" s="11">
        <v>1984</v>
      </c>
      <c r="D1747" s="32">
        <f>SPFI_CLB14!$D$7</f>
        <v>0.92793599999999998</v>
      </c>
      <c r="E1747" s="32"/>
      <c r="F1747" s="32"/>
      <c r="G1747" s="32"/>
      <c r="H1747" s="32"/>
      <c r="I1747" s="32"/>
      <c r="J1747" s="28">
        <f t="shared" si="1504"/>
        <v>0</v>
      </c>
      <c r="K1747" s="29"/>
      <c r="L1747" s="29"/>
      <c r="M1747" s="29"/>
      <c r="N1747" s="29"/>
      <c r="O1747" s="29"/>
      <c r="P1747" s="30">
        <f t="shared" si="1506"/>
        <v>0</v>
      </c>
      <c r="Q1747" s="31">
        <f t="shared" si="1505"/>
        <v>0</v>
      </c>
    </row>
    <row r="1748" spans="1:17" x14ac:dyDescent="0.2">
      <c r="A1748" s="10"/>
      <c r="B1748" s="26"/>
      <c r="C1748" s="11">
        <v>1985</v>
      </c>
      <c r="D1748" s="32">
        <f>SPFI_CLB14!$D$8</f>
        <v>0.90386500000000003</v>
      </c>
      <c r="E1748" s="32"/>
      <c r="F1748" s="32"/>
      <c r="G1748" s="32"/>
      <c r="H1748" s="32"/>
      <c r="I1748" s="32"/>
      <c r="J1748" s="28">
        <f t="shared" si="1504"/>
        <v>0</v>
      </c>
      <c r="K1748" s="29"/>
      <c r="L1748" s="29"/>
      <c r="M1748" s="29"/>
      <c r="N1748" s="29"/>
      <c r="O1748" s="29"/>
      <c r="P1748" s="30">
        <f t="shared" si="1506"/>
        <v>0</v>
      </c>
      <c r="Q1748" s="31">
        <f t="shared" si="1505"/>
        <v>0</v>
      </c>
    </row>
    <row r="1749" spans="1:17" x14ac:dyDescent="0.2">
      <c r="A1749" s="10"/>
      <c r="B1749" s="26"/>
      <c r="C1749" s="11">
        <v>1986</v>
      </c>
      <c r="D1749" s="32">
        <f>SPFI_CLB14!$D$9</f>
        <v>0.73087500000000005</v>
      </c>
      <c r="E1749" s="32"/>
      <c r="F1749" s="32"/>
      <c r="G1749" s="32"/>
      <c r="H1749" s="32"/>
      <c r="I1749" s="32"/>
      <c r="J1749" s="28">
        <f t="shared" si="1504"/>
        <v>0</v>
      </c>
      <c r="K1749" s="29"/>
      <c r="L1749" s="29"/>
      <c r="M1749" s="29"/>
      <c r="N1749" s="29"/>
      <c r="O1749" s="29"/>
      <c r="P1749" s="30">
        <f t="shared" si="1506"/>
        <v>0</v>
      </c>
      <c r="Q1749" s="31">
        <f t="shared" si="1505"/>
        <v>0</v>
      </c>
    </row>
    <row r="1750" spans="1:17" x14ac:dyDescent="0.2">
      <c r="A1750" s="10"/>
      <c r="B1750" s="26"/>
      <c r="C1750" s="11">
        <v>1987</v>
      </c>
      <c r="D1750" s="32">
        <f>SPFI_CLB14!$D$10</f>
        <v>0.71733499999999994</v>
      </c>
      <c r="E1750" s="32"/>
      <c r="F1750" s="32"/>
      <c r="G1750" s="32"/>
      <c r="H1750" s="32"/>
      <c r="I1750" s="32"/>
      <c r="J1750" s="28">
        <f t="shared" si="1504"/>
        <v>0</v>
      </c>
      <c r="K1750" s="29"/>
      <c r="L1750" s="29"/>
      <c r="M1750" s="29"/>
      <c r="N1750" s="29"/>
      <c r="O1750" s="29"/>
      <c r="P1750" s="30">
        <f t="shared" si="1506"/>
        <v>0</v>
      </c>
      <c r="Q1750" s="31">
        <f t="shared" si="1505"/>
        <v>0</v>
      </c>
    </row>
    <row r="1751" spans="1:17" x14ac:dyDescent="0.2">
      <c r="A1751" s="10"/>
      <c r="B1751" s="26"/>
      <c r="C1751" s="11">
        <v>1988</v>
      </c>
      <c r="D1751" s="32">
        <f>SPFI_CLB14!$D$11</f>
        <v>0.64558800000000005</v>
      </c>
      <c r="E1751" s="32"/>
      <c r="F1751" s="32"/>
      <c r="G1751" s="32"/>
      <c r="H1751" s="32"/>
      <c r="I1751" s="32"/>
      <c r="J1751" s="28">
        <f t="shared" si="1504"/>
        <v>0</v>
      </c>
      <c r="K1751" s="29"/>
      <c r="L1751" s="29"/>
      <c r="M1751" s="29"/>
      <c r="N1751" s="29"/>
      <c r="O1751" s="29"/>
      <c r="P1751" s="30">
        <f t="shared" si="1506"/>
        <v>0</v>
      </c>
      <c r="Q1751" s="31">
        <f t="shared" si="1505"/>
        <v>0</v>
      </c>
    </row>
    <row r="1752" spans="1:17" x14ac:dyDescent="0.2">
      <c r="A1752" s="10"/>
      <c r="B1752" s="26"/>
      <c r="C1752" s="11">
        <v>1989</v>
      </c>
      <c r="D1752" s="32">
        <f>SPFI_CLB14!$D$12</f>
        <v>0.65287700000000004</v>
      </c>
      <c r="E1752" s="32"/>
      <c r="F1752" s="32"/>
      <c r="G1752" s="32"/>
      <c r="H1752" s="32"/>
      <c r="I1752" s="32"/>
      <c r="J1752" s="28">
        <f t="shared" si="1504"/>
        <v>0</v>
      </c>
      <c r="K1752" s="29"/>
      <c r="L1752" s="29"/>
      <c r="M1752" s="29"/>
      <c r="N1752" s="29"/>
      <c r="O1752" s="29"/>
      <c r="P1752" s="30">
        <f t="shared" si="1506"/>
        <v>0</v>
      </c>
      <c r="Q1752" s="31">
        <f t="shared" si="1505"/>
        <v>0</v>
      </c>
    </row>
    <row r="1753" spans="1:17" x14ac:dyDescent="0.2">
      <c r="A1753" s="10"/>
      <c r="B1753" s="26"/>
      <c r="C1753" s="11">
        <v>1990</v>
      </c>
      <c r="D1753" s="32">
        <f>SPFI_CLB14!$D$13</f>
        <v>0.56965100000000002</v>
      </c>
      <c r="E1753" s="32"/>
      <c r="F1753" s="32"/>
      <c r="G1753" s="32"/>
      <c r="H1753" s="32"/>
      <c r="I1753" s="32"/>
      <c r="J1753" s="28">
        <f t="shared" si="1504"/>
        <v>0</v>
      </c>
      <c r="K1753" s="29"/>
      <c r="L1753" s="29"/>
      <c r="M1753" s="29"/>
      <c r="N1753" s="29"/>
      <c r="O1753" s="29"/>
      <c r="P1753" s="30">
        <f t="shared" si="1506"/>
        <v>0</v>
      </c>
      <c r="Q1753" s="31">
        <f t="shared" si="1505"/>
        <v>0</v>
      </c>
    </row>
    <row r="1754" spans="1:17" x14ac:dyDescent="0.2">
      <c r="A1754" s="10"/>
      <c r="B1754" s="26"/>
      <c r="C1754" s="11">
        <v>1991</v>
      </c>
      <c r="D1754" s="32">
        <f>SPFI_CLB14!$D$14</f>
        <v>0.62776900000000002</v>
      </c>
      <c r="E1754" s="32"/>
      <c r="F1754" s="32"/>
      <c r="G1754" s="32"/>
      <c r="H1754" s="32"/>
      <c r="I1754" s="32"/>
      <c r="J1754" s="28">
        <f t="shared" si="1504"/>
        <v>0</v>
      </c>
      <c r="K1754" s="29"/>
      <c r="L1754" s="29"/>
      <c r="M1754" s="29"/>
      <c r="N1754" s="29"/>
      <c r="O1754" s="29"/>
      <c r="P1754" s="30">
        <f t="shared" si="1506"/>
        <v>0</v>
      </c>
      <c r="Q1754" s="31">
        <f t="shared" si="1505"/>
        <v>0</v>
      </c>
    </row>
    <row r="1755" spans="1:17" x14ac:dyDescent="0.2">
      <c r="A1755" s="10"/>
      <c r="B1755" s="26"/>
      <c r="C1755" s="11">
        <v>1992</v>
      </c>
      <c r="D1755" s="32">
        <f>SPFI_CLB14!$D$15</f>
        <v>0.43504100000000001</v>
      </c>
      <c r="E1755" s="32"/>
      <c r="F1755" s="32"/>
      <c r="G1755" s="32"/>
      <c r="H1755" s="32"/>
      <c r="I1755" s="32"/>
      <c r="J1755" s="28">
        <f t="shared" si="1504"/>
        <v>0</v>
      </c>
      <c r="K1755" s="29"/>
      <c r="L1755" s="29"/>
      <c r="M1755" s="29"/>
      <c r="N1755" s="29"/>
      <c r="O1755" s="29"/>
      <c r="P1755" s="30">
        <f t="shared" si="1506"/>
        <v>0</v>
      </c>
      <c r="Q1755" s="31">
        <f t="shared" si="1505"/>
        <v>0</v>
      </c>
    </row>
    <row r="1756" spans="1:17" x14ac:dyDescent="0.2">
      <c r="A1756" s="10"/>
      <c r="B1756" s="26"/>
      <c r="C1756" s="11">
        <v>1993</v>
      </c>
      <c r="D1756" s="32">
        <f>SPFI_CLB14!$D$16</f>
        <v>0.499164</v>
      </c>
      <c r="E1756" s="32"/>
      <c r="F1756" s="32"/>
      <c r="G1756" s="32"/>
      <c r="H1756" s="32"/>
      <c r="I1756" s="32"/>
      <c r="J1756" s="28">
        <f t="shared" si="1504"/>
        <v>0</v>
      </c>
      <c r="K1756" s="29"/>
      <c r="L1756" s="29"/>
      <c r="M1756" s="29"/>
      <c r="N1756" s="29"/>
      <c r="O1756" s="29"/>
      <c r="P1756" s="30">
        <f t="shared" si="1506"/>
        <v>0</v>
      </c>
      <c r="Q1756" s="31">
        <f t="shared" si="1505"/>
        <v>0</v>
      </c>
    </row>
    <row r="1757" spans="1:17" x14ac:dyDescent="0.2">
      <c r="A1757" s="10"/>
      <c r="B1757" s="26"/>
      <c r="C1757" s="11">
        <v>1994</v>
      </c>
      <c r="D1757" s="32">
        <f>SPFI_CLB14!$D$17</f>
        <v>0.59591300000000003</v>
      </c>
      <c r="E1757" s="32"/>
      <c r="F1757" s="32"/>
      <c r="G1757" s="32"/>
      <c r="H1757" s="32"/>
      <c r="I1757" s="32"/>
      <c r="J1757" s="28">
        <f t="shared" si="1504"/>
        <v>0</v>
      </c>
      <c r="K1757" s="29"/>
      <c r="L1757" s="29"/>
      <c r="M1757" s="29"/>
      <c r="N1757" s="29"/>
      <c r="O1757" s="29"/>
      <c r="P1757" s="30">
        <f t="shared" si="1506"/>
        <v>0</v>
      </c>
      <c r="Q1757" s="31">
        <f t="shared" si="1505"/>
        <v>0</v>
      </c>
    </row>
    <row r="1758" spans="1:17" x14ac:dyDescent="0.2">
      <c r="A1758" s="10"/>
      <c r="B1758" s="26"/>
      <c r="C1758" s="11">
        <v>1995</v>
      </c>
      <c r="D1758" s="32">
        <f>SPFI_CLB14!$D$18</f>
        <v>0.25400800000000001</v>
      </c>
      <c r="E1758" s="32"/>
      <c r="F1758" s="32"/>
      <c r="G1758" s="32"/>
      <c r="H1758" s="32"/>
      <c r="I1758" s="32"/>
      <c r="J1758" s="28">
        <f t="shared" ref="J1758" si="1507">D1758*J$56</f>
        <v>0</v>
      </c>
      <c r="K1758" s="29"/>
      <c r="L1758" s="29"/>
      <c r="M1758" s="29"/>
      <c r="N1758" s="29"/>
      <c r="O1758" s="29"/>
      <c r="P1758" s="30">
        <f>SUM(J1758:O1758)</f>
        <v>0</v>
      </c>
      <c r="Q1758" s="31">
        <f t="shared" si="1505"/>
        <v>0</v>
      </c>
    </row>
    <row r="1759" spans="1:17" x14ac:dyDescent="0.2">
      <c r="A1759" s="10"/>
      <c r="B1759" s="26"/>
      <c r="C1759" s="11">
        <v>1996</v>
      </c>
      <c r="D1759" s="32">
        <f>SPFI_CLB14!$D$19</f>
        <v>0</v>
      </c>
      <c r="E1759" s="32"/>
      <c r="F1759" s="32"/>
      <c r="G1759" s="32"/>
      <c r="H1759" s="32"/>
      <c r="I1759" s="32"/>
      <c r="J1759" s="28">
        <f t="shared" ref="J1759" si="1508">D1759*J$56</f>
        <v>0</v>
      </c>
      <c r="K1759" s="29"/>
      <c r="L1759" s="29"/>
      <c r="M1759" s="29"/>
      <c r="N1759" s="29"/>
      <c r="O1759" s="29"/>
      <c r="P1759" s="30">
        <f>SUM(J1759:O1759)</f>
        <v>0</v>
      </c>
      <c r="Q1759" s="31">
        <f t="shared" si="1505"/>
        <v>0</v>
      </c>
    </row>
    <row r="1760" spans="1:17" x14ac:dyDescent="0.2">
      <c r="A1760" s="10"/>
      <c r="B1760" s="26"/>
      <c r="C1760" s="11">
        <v>1997</v>
      </c>
      <c r="D1760" s="32">
        <f>SPFI_CLB14!$D$20</f>
        <v>0.201487</v>
      </c>
      <c r="E1760" s="32"/>
      <c r="F1760" s="32"/>
      <c r="G1760" s="32"/>
      <c r="H1760" s="32"/>
      <c r="I1760" s="32"/>
      <c r="J1760" s="28">
        <f t="shared" ref="J1760" si="1509">D1760*J$56</f>
        <v>0</v>
      </c>
      <c r="K1760" s="29"/>
      <c r="L1760" s="29"/>
      <c r="M1760" s="29"/>
      <c r="N1760" s="29"/>
      <c r="O1760" s="29"/>
      <c r="P1760" s="30">
        <f>SUM(J1760:O1760)</f>
        <v>0</v>
      </c>
      <c r="Q1760" s="31">
        <f t="shared" si="1505"/>
        <v>0</v>
      </c>
    </row>
    <row r="1761" spans="1:17" x14ac:dyDescent="0.2">
      <c r="A1761" s="10"/>
      <c r="B1761" s="26"/>
      <c r="C1761" s="11">
        <v>1998</v>
      </c>
      <c r="D1761" s="32">
        <f>SPFI_CLB14!$D$21</f>
        <v>0.37506400000000001</v>
      </c>
      <c r="E1761" s="32"/>
      <c r="F1761" s="32"/>
      <c r="G1761" s="32"/>
      <c r="H1761" s="32"/>
      <c r="I1761" s="32"/>
      <c r="J1761" s="28">
        <f t="shared" ref="J1761" si="1510">D1761*J$56</f>
        <v>0</v>
      </c>
      <c r="K1761" s="29"/>
      <c r="L1761" s="29"/>
      <c r="M1761" s="29"/>
      <c r="N1761" s="29"/>
      <c r="O1761" s="29"/>
      <c r="P1761" s="30">
        <f>SUM(J1761:O1761)</f>
        <v>0</v>
      </c>
      <c r="Q1761" s="31">
        <f t="shared" si="1505"/>
        <v>0</v>
      </c>
    </row>
    <row r="1762" spans="1:17" x14ac:dyDescent="0.2">
      <c r="A1762" s="10"/>
      <c r="B1762" s="26"/>
      <c r="C1762" s="11">
        <v>1999</v>
      </c>
      <c r="D1762" s="32">
        <f>SPFI_CLB14!$D$22</f>
        <v>0.29823699999999997</v>
      </c>
      <c r="E1762" s="32"/>
      <c r="F1762" s="32"/>
      <c r="G1762" s="32"/>
      <c r="H1762" s="32"/>
      <c r="I1762" s="32"/>
      <c r="J1762" s="28">
        <f t="shared" ref="J1762" si="1511">D1762*J$56</f>
        <v>0</v>
      </c>
      <c r="K1762" s="29"/>
      <c r="L1762" s="29"/>
      <c r="M1762" s="29"/>
      <c r="N1762" s="29"/>
      <c r="O1762" s="29"/>
      <c r="P1762" s="30">
        <f>SUM(J1762:O1762)</f>
        <v>0</v>
      </c>
      <c r="Q1762" s="31">
        <f t="shared" ref="Q1762:Q1767" si="1512">IF(C$56&gt;0,P1762/C$56,0)</f>
        <v>0</v>
      </c>
    </row>
    <row r="1763" spans="1:17" x14ac:dyDescent="0.2">
      <c r="A1763" s="10"/>
      <c r="B1763" s="26"/>
      <c r="C1763" s="11">
        <v>2000</v>
      </c>
      <c r="D1763" s="32">
        <f>SPFI_CLB14!$D$23</f>
        <v>8.4414000000000003E-2</v>
      </c>
      <c r="E1763" s="32"/>
      <c r="F1763" s="32"/>
      <c r="G1763" s="32"/>
      <c r="H1763" s="32"/>
      <c r="I1763" s="32"/>
      <c r="J1763" s="28">
        <f t="shared" ref="J1763" si="1513">D1763*J$56</f>
        <v>0</v>
      </c>
      <c r="K1763" s="29"/>
      <c r="L1763" s="29"/>
      <c r="M1763" s="29"/>
      <c r="N1763" s="29"/>
      <c r="O1763" s="29"/>
      <c r="P1763" s="30">
        <f t="shared" ref="P1763:P1768" si="1514">SUM(J1763:O1763)</f>
        <v>0</v>
      </c>
      <c r="Q1763" s="31">
        <f t="shared" si="1512"/>
        <v>0</v>
      </c>
    </row>
    <row r="1764" spans="1:17" x14ac:dyDescent="0.2">
      <c r="A1764" s="10"/>
      <c r="B1764" s="26"/>
      <c r="C1764" s="11">
        <v>2001</v>
      </c>
      <c r="D1764" s="32">
        <f>SPFI_CLB14!$D$24</f>
        <v>7.8909000000000007E-2</v>
      </c>
      <c r="E1764" s="32"/>
      <c r="F1764" s="32"/>
      <c r="G1764" s="32"/>
      <c r="H1764" s="32"/>
      <c r="I1764" s="32"/>
      <c r="J1764" s="28">
        <f t="shared" ref="J1764" si="1515">D1764*J$56</f>
        <v>0</v>
      </c>
      <c r="K1764" s="29"/>
      <c r="L1764" s="29"/>
      <c r="M1764" s="29"/>
      <c r="N1764" s="29"/>
      <c r="O1764" s="29"/>
      <c r="P1764" s="30">
        <f t="shared" si="1514"/>
        <v>0</v>
      </c>
      <c r="Q1764" s="31">
        <f t="shared" si="1512"/>
        <v>0</v>
      </c>
    </row>
    <row r="1765" spans="1:17" x14ac:dyDescent="0.2">
      <c r="A1765" s="10"/>
      <c r="B1765" s="26"/>
      <c r="C1765" s="11">
        <v>2002</v>
      </c>
      <c r="D1765" s="32">
        <f>SPFI_CLB14!$D$25</f>
        <v>0.29974699999999999</v>
      </c>
      <c r="E1765" s="32"/>
      <c r="F1765" s="32"/>
      <c r="G1765" s="32"/>
      <c r="H1765" s="32"/>
      <c r="I1765" s="32"/>
      <c r="J1765" s="28">
        <f t="shared" ref="J1765" si="1516">D1765*J$56</f>
        <v>0</v>
      </c>
      <c r="K1765" s="29"/>
      <c r="L1765" s="29"/>
      <c r="M1765" s="29"/>
      <c r="N1765" s="29"/>
      <c r="O1765" s="29"/>
      <c r="P1765" s="30">
        <f t="shared" si="1514"/>
        <v>0</v>
      </c>
      <c r="Q1765" s="31">
        <f t="shared" si="1512"/>
        <v>0</v>
      </c>
    </row>
    <row r="1766" spans="1:17" x14ac:dyDescent="0.2">
      <c r="A1766" s="10"/>
      <c r="B1766" s="26"/>
      <c r="C1766" s="11">
        <v>2003</v>
      </c>
      <c r="D1766" s="32">
        <f>SPFI_CLB14!$D$26</f>
        <v>0.20691100000000001</v>
      </c>
      <c r="E1766" s="32"/>
      <c r="F1766" s="32"/>
      <c r="G1766" s="32"/>
      <c r="H1766" s="32"/>
      <c r="I1766" s="32"/>
      <c r="J1766" s="28">
        <f t="shared" ref="J1766" si="1517">D1766*J$56</f>
        <v>0</v>
      </c>
      <c r="K1766" s="29"/>
      <c r="L1766" s="29"/>
      <c r="M1766" s="29"/>
      <c r="N1766" s="29"/>
      <c r="O1766" s="29"/>
      <c r="P1766" s="30">
        <f t="shared" si="1514"/>
        <v>0</v>
      </c>
      <c r="Q1766" s="31">
        <f t="shared" si="1512"/>
        <v>0</v>
      </c>
    </row>
    <row r="1767" spans="1:17" x14ac:dyDescent="0.2">
      <c r="A1767" s="10"/>
      <c r="B1767" s="26"/>
      <c r="C1767" s="11">
        <v>2004</v>
      </c>
      <c r="D1767" s="32">
        <f>SPFI_CLB14!$D$27</f>
        <v>0.269237</v>
      </c>
      <c r="E1767" s="32"/>
      <c r="F1767" s="32"/>
      <c r="G1767" s="32"/>
      <c r="H1767" s="32"/>
      <c r="I1767" s="32"/>
      <c r="J1767" s="28">
        <f t="shared" ref="J1767" si="1518">D1767*J$56</f>
        <v>0</v>
      </c>
      <c r="K1767" s="29"/>
      <c r="L1767" s="29"/>
      <c r="M1767" s="29"/>
      <c r="N1767" s="29"/>
      <c r="O1767" s="29"/>
      <c r="P1767" s="30">
        <f t="shared" si="1514"/>
        <v>0</v>
      </c>
      <c r="Q1767" s="31">
        <f t="shared" si="1512"/>
        <v>0</v>
      </c>
    </row>
    <row r="1768" spans="1:17" x14ac:dyDescent="0.2">
      <c r="A1768" s="10"/>
      <c r="B1768" s="26"/>
      <c r="C1768" s="11">
        <v>2005</v>
      </c>
      <c r="D1768" s="32">
        <f>SPFI_CLB14!$D$28</f>
        <v>0.37848700000000002</v>
      </c>
      <c r="E1768" s="32"/>
      <c r="F1768" s="32"/>
      <c r="G1768" s="32"/>
      <c r="H1768" s="32"/>
      <c r="I1768" s="32"/>
      <c r="J1768" s="28">
        <f t="shared" ref="J1768" si="1519">D1768*J$56</f>
        <v>0</v>
      </c>
      <c r="K1768" s="29"/>
      <c r="L1768" s="29"/>
      <c r="M1768" s="29"/>
      <c r="N1768" s="29"/>
      <c r="O1768" s="29"/>
      <c r="P1768" s="30">
        <f t="shared" si="1514"/>
        <v>0</v>
      </c>
      <c r="Q1768" s="31">
        <f t="shared" ref="Q1768:Q1773" si="1520">IF(C$56&gt;0,P1768/C$56,0)</f>
        <v>0</v>
      </c>
    </row>
    <row r="1769" spans="1:17" x14ac:dyDescent="0.2">
      <c r="A1769" s="10"/>
      <c r="B1769" s="26"/>
      <c r="C1769" s="11">
        <v>2006</v>
      </c>
      <c r="D1769" s="32">
        <f>SPFI_CLB14!$D$29</f>
        <v>0.381023</v>
      </c>
      <c r="E1769" s="32"/>
      <c r="F1769" s="32"/>
      <c r="G1769" s="32"/>
      <c r="H1769" s="32"/>
      <c r="I1769" s="32"/>
      <c r="J1769" s="28">
        <f t="shared" ref="J1769" si="1521">D1769*J$56</f>
        <v>0</v>
      </c>
      <c r="K1769" s="29"/>
      <c r="L1769" s="29"/>
      <c r="M1769" s="29"/>
      <c r="N1769" s="29"/>
      <c r="O1769" s="29"/>
      <c r="P1769" s="30">
        <f t="shared" ref="P1769:P1776" si="1522">SUM(J1769:O1769)</f>
        <v>0</v>
      </c>
      <c r="Q1769" s="31">
        <f t="shared" si="1520"/>
        <v>0</v>
      </c>
    </row>
    <row r="1770" spans="1:17" x14ac:dyDescent="0.2">
      <c r="A1770" s="10"/>
      <c r="B1770" s="26"/>
      <c r="C1770" s="11">
        <v>2007</v>
      </c>
      <c r="D1770" s="32">
        <f>SPFI_CLB14!$D$30</f>
        <v>0.356512</v>
      </c>
      <c r="E1770" s="32"/>
      <c r="F1770" s="32"/>
      <c r="G1770" s="32"/>
      <c r="H1770" s="32"/>
      <c r="I1770" s="32"/>
      <c r="J1770" s="28">
        <f t="shared" ref="J1770" si="1523">D1770*J$56</f>
        <v>0</v>
      </c>
      <c r="K1770" s="29"/>
      <c r="L1770" s="29"/>
      <c r="M1770" s="29"/>
      <c r="N1770" s="29"/>
      <c r="O1770" s="29"/>
      <c r="P1770" s="30">
        <f t="shared" si="1522"/>
        <v>0</v>
      </c>
      <c r="Q1770" s="31">
        <f t="shared" si="1520"/>
        <v>0</v>
      </c>
    </row>
    <row r="1771" spans="1:17" x14ac:dyDescent="0.2">
      <c r="A1771" s="10"/>
      <c r="B1771" s="26"/>
      <c r="C1771" s="11">
        <v>2008</v>
      </c>
      <c r="D1771" s="32">
        <f>SPFI_CLB14!$D$31</f>
        <v>0.25494499999999998</v>
      </c>
      <c r="E1771" s="32"/>
      <c r="F1771" s="32"/>
      <c r="G1771" s="32"/>
      <c r="H1771" s="32"/>
      <c r="I1771" s="32"/>
      <c r="J1771" s="28">
        <f t="shared" ref="J1771" si="1524">D1771*J$56</f>
        <v>0</v>
      </c>
      <c r="K1771" s="29"/>
      <c r="L1771" s="29"/>
      <c r="M1771" s="29"/>
      <c r="N1771" s="29"/>
      <c r="O1771" s="29"/>
      <c r="P1771" s="30">
        <f t="shared" si="1522"/>
        <v>0</v>
      </c>
      <c r="Q1771" s="31">
        <f t="shared" si="1520"/>
        <v>0</v>
      </c>
    </row>
    <row r="1772" spans="1:17" x14ac:dyDescent="0.2">
      <c r="A1772" s="10"/>
      <c r="B1772" s="26"/>
      <c r="C1772" s="11">
        <v>2009</v>
      </c>
      <c r="D1772" s="32">
        <f>SPFI_CLB14!$D$32</f>
        <v>0.52383000000000002</v>
      </c>
      <c r="E1772" s="32"/>
      <c r="F1772" s="32"/>
      <c r="G1772" s="32"/>
      <c r="H1772" s="32"/>
      <c r="I1772" s="32"/>
      <c r="J1772" s="28">
        <f t="shared" ref="J1772" si="1525">D1772*J$56</f>
        <v>0</v>
      </c>
      <c r="K1772" s="29"/>
      <c r="L1772" s="29"/>
      <c r="M1772" s="29"/>
      <c r="N1772" s="29"/>
      <c r="O1772" s="29"/>
      <c r="P1772" s="30">
        <f t="shared" si="1522"/>
        <v>0</v>
      </c>
      <c r="Q1772" s="31">
        <f t="shared" si="1520"/>
        <v>0</v>
      </c>
    </row>
    <row r="1773" spans="1:17" x14ac:dyDescent="0.2">
      <c r="A1773" s="10"/>
      <c r="B1773" s="26"/>
      <c r="C1773" s="11">
        <v>2010</v>
      </c>
      <c r="D1773" s="32">
        <f>SPFI_CLB14!$D$33</f>
        <v>0.31394</v>
      </c>
      <c r="E1773" s="32"/>
      <c r="F1773" s="32"/>
      <c r="G1773" s="32"/>
      <c r="H1773" s="32"/>
      <c r="I1773" s="32"/>
      <c r="J1773" s="28">
        <f t="shared" ref="J1773" si="1526">D1773*J$56</f>
        <v>0</v>
      </c>
      <c r="K1773" s="29"/>
      <c r="L1773" s="29"/>
      <c r="M1773" s="29"/>
      <c r="N1773" s="29"/>
      <c r="O1773" s="29"/>
      <c r="P1773" s="30">
        <f t="shared" si="1522"/>
        <v>0</v>
      </c>
      <c r="Q1773" s="31">
        <f t="shared" si="1520"/>
        <v>0</v>
      </c>
    </row>
    <row r="1774" spans="1:17" x14ac:dyDescent="0.2">
      <c r="A1774" s="10"/>
      <c r="B1774" s="26"/>
      <c r="C1774" s="11">
        <v>2011</v>
      </c>
      <c r="D1774" s="32">
        <f>SPFI_CLB14!$D$34</f>
        <v>0.294348</v>
      </c>
      <c r="E1774" s="32"/>
      <c r="F1774" s="32"/>
      <c r="G1774" s="32"/>
      <c r="H1774" s="32"/>
      <c r="I1774" s="32"/>
      <c r="J1774" s="28">
        <f t="shared" ref="J1774" si="1527">D1774*J$56</f>
        <v>0</v>
      </c>
      <c r="K1774" s="29"/>
      <c r="L1774" s="29"/>
      <c r="M1774" s="29"/>
      <c r="N1774" s="29"/>
      <c r="O1774" s="29"/>
      <c r="P1774" s="30">
        <f t="shared" ref="P1774" si="1528">SUM(J1774:O1774)</f>
        <v>0</v>
      </c>
      <c r="Q1774" s="31">
        <f t="shared" ref="Q1774" si="1529">IF(C$56&gt;0,P1774/C$56,0)</f>
        <v>0</v>
      </c>
    </row>
    <row r="1775" spans="1:17" x14ac:dyDescent="0.2">
      <c r="A1775" s="10"/>
      <c r="B1775" s="26"/>
      <c r="C1775" s="11">
        <v>2012</v>
      </c>
      <c r="D1775" s="32">
        <f>SPFI_CLB14!$D$35</f>
        <v>0.34784100000000001</v>
      </c>
      <c r="E1775" s="32"/>
      <c r="F1775" s="32"/>
      <c r="G1775" s="32"/>
      <c r="H1775" s="32"/>
      <c r="I1775" s="32"/>
      <c r="J1775" s="28">
        <f t="shared" ref="J1775" si="1530">D1775*J$56</f>
        <v>0</v>
      </c>
      <c r="K1775" s="29"/>
      <c r="L1775" s="29"/>
      <c r="M1775" s="29"/>
      <c r="N1775" s="29"/>
      <c r="O1775" s="29"/>
      <c r="P1775" s="30">
        <f t="shared" ref="P1775" si="1531">SUM(J1775:O1775)</f>
        <v>0</v>
      </c>
      <c r="Q1775" s="31">
        <f t="shared" ref="Q1775" si="1532">IF(C$56&gt;0,P1775/C$56,0)</f>
        <v>0</v>
      </c>
    </row>
    <row r="1776" spans="1:17" x14ac:dyDescent="0.2">
      <c r="A1776" s="5" t="s">
        <v>19</v>
      </c>
      <c r="B1776" s="21">
        <v>3</v>
      </c>
      <c r="C1776" s="6">
        <v>1982</v>
      </c>
      <c r="D1776" s="27">
        <f>SPFI_CLB14!$D$5</f>
        <v>0.98153299999999999</v>
      </c>
      <c r="E1776" s="27"/>
      <c r="F1776" s="27"/>
      <c r="G1776" s="27"/>
      <c r="H1776" s="27"/>
      <c r="I1776" s="27"/>
      <c r="J1776" s="33">
        <f t="shared" ref="J1776:J1788" si="1533">D1776*J$57</f>
        <v>0</v>
      </c>
      <c r="K1776" s="27"/>
      <c r="L1776" s="27"/>
      <c r="M1776" s="27"/>
      <c r="N1776" s="27"/>
      <c r="O1776" s="27"/>
      <c r="P1776" s="34">
        <f t="shared" si="1522"/>
        <v>0</v>
      </c>
      <c r="Q1776" s="35">
        <f t="shared" ref="Q1776:Q1792" si="1534">IF(C$57&gt;0,P1776/C$57,0)</f>
        <v>0</v>
      </c>
    </row>
    <row r="1777" spans="1:17" x14ac:dyDescent="0.2">
      <c r="A1777" s="10"/>
      <c r="B1777" s="26"/>
      <c r="C1777" s="11">
        <v>1983</v>
      </c>
      <c r="D1777" s="32">
        <f>SPFI_CLB14!$D$6</f>
        <v>0.93659899999999996</v>
      </c>
      <c r="E1777" s="32"/>
      <c r="F1777" s="32"/>
      <c r="G1777" s="32"/>
      <c r="H1777" s="32"/>
      <c r="I1777" s="32"/>
      <c r="J1777" s="28">
        <f t="shared" si="1533"/>
        <v>0</v>
      </c>
      <c r="K1777" s="29"/>
      <c r="L1777" s="29"/>
      <c r="M1777" s="29"/>
      <c r="N1777" s="29"/>
      <c r="O1777" s="29"/>
      <c r="P1777" s="30">
        <f t="shared" ref="P1777:P1788" si="1535">SUM(J1777:O1777)</f>
        <v>0</v>
      </c>
      <c r="Q1777" s="31">
        <f t="shared" si="1534"/>
        <v>0</v>
      </c>
    </row>
    <row r="1778" spans="1:17" x14ac:dyDescent="0.2">
      <c r="A1778" s="10"/>
      <c r="B1778" s="26"/>
      <c r="C1778" s="11">
        <v>1984</v>
      </c>
      <c r="D1778" s="32">
        <f>SPFI_CLB14!$D$7</f>
        <v>0.92793599999999998</v>
      </c>
      <c r="E1778" s="32"/>
      <c r="F1778" s="32"/>
      <c r="G1778" s="32"/>
      <c r="H1778" s="32"/>
      <c r="I1778" s="32"/>
      <c r="J1778" s="28">
        <f t="shared" si="1533"/>
        <v>0</v>
      </c>
      <c r="K1778" s="29"/>
      <c r="L1778" s="29"/>
      <c r="M1778" s="29"/>
      <c r="N1778" s="29"/>
      <c r="O1778" s="29"/>
      <c r="P1778" s="30">
        <f t="shared" si="1535"/>
        <v>0</v>
      </c>
      <c r="Q1778" s="31">
        <f t="shared" si="1534"/>
        <v>0</v>
      </c>
    </row>
    <row r="1779" spans="1:17" x14ac:dyDescent="0.2">
      <c r="A1779" s="10"/>
      <c r="B1779" s="26"/>
      <c r="C1779" s="11">
        <v>1985</v>
      </c>
      <c r="D1779" s="32">
        <f>SPFI_CLB14!$D$8</f>
        <v>0.90386500000000003</v>
      </c>
      <c r="E1779" s="32"/>
      <c r="F1779" s="32"/>
      <c r="G1779" s="32"/>
      <c r="H1779" s="32"/>
      <c r="I1779" s="32"/>
      <c r="J1779" s="28">
        <f t="shared" si="1533"/>
        <v>0</v>
      </c>
      <c r="K1779" s="29"/>
      <c r="L1779" s="29"/>
      <c r="M1779" s="29"/>
      <c r="N1779" s="29"/>
      <c r="O1779" s="29"/>
      <c r="P1779" s="30">
        <f t="shared" si="1535"/>
        <v>0</v>
      </c>
      <c r="Q1779" s="31">
        <f t="shared" si="1534"/>
        <v>0</v>
      </c>
    </row>
    <row r="1780" spans="1:17" x14ac:dyDescent="0.2">
      <c r="A1780" s="10"/>
      <c r="B1780" s="26"/>
      <c r="C1780" s="11">
        <v>1986</v>
      </c>
      <c r="D1780" s="32">
        <f>SPFI_CLB14!$D$9</f>
        <v>0.73087500000000005</v>
      </c>
      <c r="E1780" s="32"/>
      <c r="F1780" s="32"/>
      <c r="G1780" s="32"/>
      <c r="H1780" s="32"/>
      <c r="I1780" s="32"/>
      <c r="J1780" s="28">
        <f t="shared" si="1533"/>
        <v>0</v>
      </c>
      <c r="K1780" s="29"/>
      <c r="L1780" s="29"/>
      <c r="M1780" s="29"/>
      <c r="N1780" s="29"/>
      <c r="O1780" s="29"/>
      <c r="P1780" s="30">
        <f t="shared" si="1535"/>
        <v>0</v>
      </c>
      <c r="Q1780" s="31">
        <f t="shared" si="1534"/>
        <v>0</v>
      </c>
    </row>
    <row r="1781" spans="1:17" x14ac:dyDescent="0.2">
      <c r="A1781" s="10"/>
      <c r="B1781" s="26"/>
      <c r="C1781" s="11">
        <v>1987</v>
      </c>
      <c r="D1781" s="32">
        <f>SPFI_CLB14!$D$10</f>
        <v>0.71733499999999994</v>
      </c>
      <c r="E1781" s="32"/>
      <c r="F1781" s="32"/>
      <c r="G1781" s="32"/>
      <c r="H1781" s="32"/>
      <c r="I1781" s="32"/>
      <c r="J1781" s="28">
        <f t="shared" si="1533"/>
        <v>0</v>
      </c>
      <c r="K1781" s="29"/>
      <c r="L1781" s="29"/>
      <c r="M1781" s="29"/>
      <c r="N1781" s="29"/>
      <c r="O1781" s="29"/>
      <c r="P1781" s="30">
        <f t="shared" si="1535"/>
        <v>0</v>
      </c>
      <c r="Q1781" s="31">
        <f t="shared" si="1534"/>
        <v>0</v>
      </c>
    </row>
    <row r="1782" spans="1:17" x14ac:dyDescent="0.2">
      <c r="A1782" s="10"/>
      <c r="B1782" s="26"/>
      <c r="C1782" s="11">
        <v>1988</v>
      </c>
      <c r="D1782" s="32">
        <f>SPFI_CLB14!$D$11</f>
        <v>0.64558800000000005</v>
      </c>
      <c r="E1782" s="32"/>
      <c r="F1782" s="32"/>
      <c r="G1782" s="32"/>
      <c r="H1782" s="32"/>
      <c r="I1782" s="32"/>
      <c r="J1782" s="28">
        <f t="shared" si="1533"/>
        <v>0</v>
      </c>
      <c r="K1782" s="29"/>
      <c r="L1782" s="29"/>
      <c r="M1782" s="29"/>
      <c r="N1782" s="29"/>
      <c r="O1782" s="29"/>
      <c r="P1782" s="30">
        <f t="shared" si="1535"/>
        <v>0</v>
      </c>
      <c r="Q1782" s="31">
        <f t="shared" si="1534"/>
        <v>0</v>
      </c>
    </row>
    <row r="1783" spans="1:17" x14ac:dyDescent="0.2">
      <c r="A1783" s="10"/>
      <c r="B1783" s="26"/>
      <c r="C1783" s="11">
        <v>1989</v>
      </c>
      <c r="D1783" s="32">
        <f>SPFI_CLB14!$D$12</f>
        <v>0.65287700000000004</v>
      </c>
      <c r="E1783" s="32"/>
      <c r="F1783" s="32"/>
      <c r="G1783" s="32"/>
      <c r="H1783" s="32"/>
      <c r="I1783" s="32"/>
      <c r="J1783" s="28">
        <f t="shared" si="1533"/>
        <v>0</v>
      </c>
      <c r="K1783" s="29"/>
      <c r="L1783" s="29"/>
      <c r="M1783" s="29"/>
      <c r="N1783" s="29"/>
      <c r="O1783" s="29"/>
      <c r="P1783" s="30">
        <f t="shared" si="1535"/>
        <v>0</v>
      </c>
      <c r="Q1783" s="31">
        <f t="shared" si="1534"/>
        <v>0</v>
      </c>
    </row>
    <row r="1784" spans="1:17" x14ac:dyDescent="0.2">
      <c r="A1784" s="10"/>
      <c r="B1784" s="26"/>
      <c r="C1784" s="11">
        <v>1990</v>
      </c>
      <c r="D1784" s="32">
        <f>SPFI_CLB14!$D$13</f>
        <v>0.56965100000000002</v>
      </c>
      <c r="E1784" s="32"/>
      <c r="F1784" s="32"/>
      <c r="G1784" s="32"/>
      <c r="H1784" s="32"/>
      <c r="I1784" s="32"/>
      <c r="J1784" s="28">
        <f t="shared" si="1533"/>
        <v>0</v>
      </c>
      <c r="K1784" s="29"/>
      <c r="L1784" s="29"/>
      <c r="M1784" s="29"/>
      <c r="N1784" s="29"/>
      <c r="O1784" s="29"/>
      <c r="P1784" s="30">
        <f t="shared" si="1535"/>
        <v>0</v>
      </c>
      <c r="Q1784" s="31">
        <f t="shared" si="1534"/>
        <v>0</v>
      </c>
    </row>
    <row r="1785" spans="1:17" x14ac:dyDescent="0.2">
      <c r="A1785" s="10"/>
      <c r="B1785" s="26"/>
      <c r="C1785" s="11">
        <v>1991</v>
      </c>
      <c r="D1785" s="32">
        <f>SPFI_CLB14!$D$14</f>
        <v>0.62776900000000002</v>
      </c>
      <c r="E1785" s="32"/>
      <c r="F1785" s="32"/>
      <c r="G1785" s="32"/>
      <c r="H1785" s="32"/>
      <c r="I1785" s="32"/>
      <c r="J1785" s="28">
        <f t="shared" si="1533"/>
        <v>0</v>
      </c>
      <c r="K1785" s="29"/>
      <c r="L1785" s="29"/>
      <c r="M1785" s="29"/>
      <c r="N1785" s="29"/>
      <c r="O1785" s="29"/>
      <c r="P1785" s="30">
        <f t="shared" si="1535"/>
        <v>0</v>
      </c>
      <c r="Q1785" s="31">
        <f t="shared" si="1534"/>
        <v>0</v>
      </c>
    </row>
    <row r="1786" spans="1:17" x14ac:dyDescent="0.2">
      <c r="A1786" s="10"/>
      <c r="B1786" s="26"/>
      <c r="C1786" s="11">
        <v>1992</v>
      </c>
      <c r="D1786" s="32">
        <f>SPFI_CLB14!$D$15</f>
        <v>0.43504100000000001</v>
      </c>
      <c r="E1786" s="32"/>
      <c r="F1786" s="32"/>
      <c r="G1786" s="32"/>
      <c r="H1786" s="32"/>
      <c r="I1786" s="32"/>
      <c r="J1786" s="28">
        <f t="shared" si="1533"/>
        <v>0</v>
      </c>
      <c r="K1786" s="29"/>
      <c r="L1786" s="29"/>
      <c r="M1786" s="29"/>
      <c r="N1786" s="29"/>
      <c r="O1786" s="29"/>
      <c r="P1786" s="30">
        <f t="shared" si="1535"/>
        <v>0</v>
      </c>
      <c r="Q1786" s="31">
        <f t="shared" si="1534"/>
        <v>0</v>
      </c>
    </row>
    <row r="1787" spans="1:17" x14ac:dyDescent="0.2">
      <c r="A1787" s="10"/>
      <c r="B1787" s="26"/>
      <c r="C1787" s="11">
        <v>1993</v>
      </c>
      <c r="D1787" s="32">
        <f>SPFI_CLB14!$D$16</f>
        <v>0.499164</v>
      </c>
      <c r="E1787" s="32"/>
      <c r="F1787" s="32"/>
      <c r="G1787" s="32"/>
      <c r="H1787" s="32"/>
      <c r="I1787" s="32"/>
      <c r="J1787" s="28">
        <f t="shared" si="1533"/>
        <v>0</v>
      </c>
      <c r="K1787" s="29"/>
      <c r="L1787" s="29"/>
      <c r="M1787" s="29"/>
      <c r="N1787" s="29"/>
      <c r="O1787" s="29"/>
      <c r="P1787" s="30">
        <f t="shared" si="1535"/>
        <v>0</v>
      </c>
      <c r="Q1787" s="31">
        <f t="shared" si="1534"/>
        <v>0</v>
      </c>
    </row>
    <row r="1788" spans="1:17" x14ac:dyDescent="0.2">
      <c r="A1788" s="10"/>
      <c r="B1788" s="26"/>
      <c r="C1788" s="11">
        <v>1994</v>
      </c>
      <c r="D1788" s="32">
        <f>SPFI_CLB14!$D$17</f>
        <v>0.59591300000000003</v>
      </c>
      <c r="E1788" s="32"/>
      <c r="F1788" s="32"/>
      <c r="G1788" s="32"/>
      <c r="H1788" s="32"/>
      <c r="I1788" s="32"/>
      <c r="J1788" s="28">
        <f t="shared" si="1533"/>
        <v>0</v>
      </c>
      <c r="K1788" s="29"/>
      <c r="L1788" s="29"/>
      <c r="M1788" s="29"/>
      <c r="N1788" s="29"/>
      <c r="O1788" s="29"/>
      <c r="P1788" s="30">
        <f t="shared" si="1535"/>
        <v>0</v>
      </c>
      <c r="Q1788" s="31">
        <f t="shared" si="1534"/>
        <v>0</v>
      </c>
    </row>
    <row r="1789" spans="1:17" x14ac:dyDescent="0.2">
      <c r="A1789" s="10"/>
      <c r="B1789" s="26"/>
      <c r="C1789" s="11">
        <v>1995</v>
      </c>
      <c r="D1789" s="32">
        <f>SPFI_CLB14!$D$18</f>
        <v>0.25400800000000001</v>
      </c>
      <c r="E1789" s="32"/>
      <c r="F1789" s="32"/>
      <c r="G1789" s="32"/>
      <c r="H1789" s="32"/>
      <c r="I1789" s="32"/>
      <c r="J1789" s="28">
        <f t="shared" ref="J1789" si="1536">D1789*J$57</f>
        <v>0</v>
      </c>
      <c r="K1789" s="29"/>
      <c r="L1789" s="29"/>
      <c r="M1789" s="29"/>
      <c r="N1789" s="29"/>
      <c r="O1789" s="29"/>
      <c r="P1789" s="30">
        <f>SUM(J1789:O1789)</f>
        <v>0</v>
      </c>
      <c r="Q1789" s="31">
        <f t="shared" si="1534"/>
        <v>0</v>
      </c>
    </row>
    <row r="1790" spans="1:17" x14ac:dyDescent="0.2">
      <c r="A1790" s="10"/>
      <c r="B1790" s="26"/>
      <c r="C1790" s="11">
        <v>1996</v>
      </c>
      <c r="D1790" s="32">
        <f>SPFI_CLB14!$D$19</f>
        <v>0</v>
      </c>
      <c r="E1790" s="32"/>
      <c r="F1790" s="32"/>
      <c r="G1790" s="32"/>
      <c r="H1790" s="32"/>
      <c r="I1790" s="32"/>
      <c r="J1790" s="28">
        <f t="shared" ref="J1790" si="1537">D1790*J$57</f>
        <v>0</v>
      </c>
      <c r="K1790" s="29"/>
      <c r="L1790" s="29"/>
      <c r="M1790" s="29"/>
      <c r="N1790" s="29"/>
      <c r="O1790" s="29"/>
      <c r="P1790" s="30">
        <f>SUM(J1790:O1790)</f>
        <v>0</v>
      </c>
      <c r="Q1790" s="31">
        <f t="shared" si="1534"/>
        <v>0</v>
      </c>
    </row>
    <row r="1791" spans="1:17" x14ac:dyDescent="0.2">
      <c r="A1791" s="10"/>
      <c r="B1791" s="26"/>
      <c r="C1791" s="11">
        <v>1997</v>
      </c>
      <c r="D1791" s="32">
        <f>SPFI_CLB14!$D$20</f>
        <v>0.201487</v>
      </c>
      <c r="E1791" s="32"/>
      <c r="F1791" s="32"/>
      <c r="G1791" s="32"/>
      <c r="H1791" s="32"/>
      <c r="I1791" s="32"/>
      <c r="J1791" s="28">
        <f t="shared" ref="J1791" si="1538">D1791*J$57</f>
        <v>0</v>
      </c>
      <c r="K1791" s="29"/>
      <c r="L1791" s="29"/>
      <c r="M1791" s="29"/>
      <c r="N1791" s="29"/>
      <c r="O1791" s="29"/>
      <c r="P1791" s="30">
        <f>SUM(J1791:O1791)</f>
        <v>0</v>
      </c>
      <c r="Q1791" s="31">
        <f t="shared" si="1534"/>
        <v>0</v>
      </c>
    </row>
    <row r="1792" spans="1:17" x14ac:dyDescent="0.2">
      <c r="A1792" s="10"/>
      <c r="B1792" s="26"/>
      <c r="C1792" s="11">
        <v>1998</v>
      </c>
      <c r="D1792" s="32">
        <f>SPFI_CLB14!$D$21</f>
        <v>0.37506400000000001</v>
      </c>
      <c r="E1792" s="32"/>
      <c r="F1792" s="32"/>
      <c r="G1792" s="32"/>
      <c r="H1792" s="32"/>
      <c r="I1792" s="32"/>
      <c r="J1792" s="28">
        <f t="shared" ref="J1792" si="1539">D1792*J$57</f>
        <v>0</v>
      </c>
      <c r="K1792" s="29"/>
      <c r="L1792" s="29"/>
      <c r="M1792" s="29"/>
      <c r="N1792" s="29"/>
      <c r="O1792" s="29"/>
      <c r="P1792" s="30">
        <f>SUM(J1792:O1792)</f>
        <v>0</v>
      </c>
      <c r="Q1792" s="31">
        <f t="shared" si="1534"/>
        <v>0</v>
      </c>
    </row>
    <row r="1793" spans="1:17" x14ac:dyDescent="0.2">
      <c r="A1793" s="10"/>
      <c r="B1793" s="26"/>
      <c r="C1793" s="11">
        <v>1999</v>
      </c>
      <c r="D1793" s="32">
        <f>SPFI_CLB14!$D$22</f>
        <v>0.29823699999999997</v>
      </c>
      <c r="E1793" s="32"/>
      <c r="F1793" s="32"/>
      <c r="G1793" s="32"/>
      <c r="H1793" s="32"/>
      <c r="I1793" s="32"/>
      <c r="J1793" s="28">
        <f t="shared" ref="J1793" si="1540">D1793*J$57</f>
        <v>0</v>
      </c>
      <c r="K1793" s="29"/>
      <c r="L1793" s="29"/>
      <c r="M1793" s="29"/>
      <c r="N1793" s="29"/>
      <c r="O1793" s="29"/>
      <c r="P1793" s="30">
        <f>SUM(J1793:O1793)</f>
        <v>0</v>
      </c>
      <c r="Q1793" s="31">
        <f t="shared" ref="Q1793:Q1798" si="1541">IF(C$57&gt;0,P1793/C$57,0)</f>
        <v>0</v>
      </c>
    </row>
    <row r="1794" spans="1:17" x14ac:dyDescent="0.2">
      <c r="A1794" s="10"/>
      <c r="B1794" s="26"/>
      <c r="C1794" s="11">
        <v>2000</v>
      </c>
      <c r="D1794" s="32">
        <f>SPFI_CLB14!$D$23</f>
        <v>8.4414000000000003E-2</v>
      </c>
      <c r="E1794" s="32"/>
      <c r="F1794" s="32"/>
      <c r="G1794" s="32"/>
      <c r="H1794" s="32"/>
      <c r="I1794" s="32"/>
      <c r="J1794" s="28">
        <f t="shared" ref="J1794" si="1542">D1794*J$57</f>
        <v>0</v>
      </c>
      <c r="K1794" s="29"/>
      <c r="L1794" s="29"/>
      <c r="M1794" s="29"/>
      <c r="N1794" s="29"/>
      <c r="O1794" s="29"/>
      <c r="P1794" s="30">
        <f t="shared" ref="P1794:P1799" si="1543">SUM(J1794:O1794)</f>
        <v>0</v>
      </c>
      <c r="Q1794" s="31">
        <f t="shared" si="1541"/>
        <v>0</v>
      </c>
    </row>
    <row r="1795" spans="1:17" x14ac:dyDescent="0.2">
      <c r="A1795" s="10"/>
      <c r="B1795" s="26"/>
      <c r="C1795" s="11">
        <v>2001</v>
      </c>
      <c r="D1795" s="32">
        <f>SPFI_CLB14!$D$24</f>
        <v>7.8909000000000007E-2</v>
      </c>
      <c r="E1795" s="32"/>
      <c r="F1795" s="32"/>
      <c r="G1795" s="32"/>
      <c r="H1795" s="32"/>
      <c r="I1795" s="32"/>
      <c r="J1795" s="28">
        <f t="shared" ref="J1795" si="1544">D1795*J$57</f>
        <v>0</v>
      </c>
      <c r="K1795" s="29"/>
      <c r="L1795" s="29"/>
      <c r="M1795" s="29"/>
      <c r="N1795" s="29"/>
      <c r="O1795" s="29"/>
      <c r="P1795" s="30">
        <f t="shared" si="1543"/>
        <v>0</v>
      </c>
      <c r="Q1795" s="31">
        <f t="shared" si="1541"/>
        <v>0</v>
      </c>
    </row>
    <row r="1796" spans="1:17" x14ac:dyDescent="0.2">
      <c r="A1796" s="10"/>
      <c r="B1796" s="26"/>
      <c r="C1796" s="11">
        <v>2002</v>
      </c>
      <c r="D1796" s="32">
        <f>SPFI_CLB14!$D$25</f>
        <v>0.29974699999999999</v>
      </c>
      <c r="E1796" s="32"/>
      <c r="F1796" s="32"/>
      <c r="G1796" s="32"/>
      <c r="H1796" s="32"/>
      <c r="I1796" s="32"/>
      <c r="J1796" s="28">
        <f t="shared" ref="J1796" si="1545">D1796*J$57</f>
        <v>0</v>
      </c>
      <c r="K1796" s="29"/>
      <c r="L1796" s="29"/>
      <c r="M1796" s="29"/>
      <c r="N1796" s="29"/>
      <c r="O1796" s="29"/>
      <c r="P1796" s="30">
        <f t="shared" si="1543"/>
        <v>0</v>
      </c>
      <c r="Q1796" s="31">
        <f t="shared" si="1541"/>
        <v>0</v>
      </c>
    </row>
    <row r="1797" spans="1:17" x14ac:dyDescent="0.2">
      <c r="A1797" s="10"/>
      <c r="B1797" s="26"/>
      <c r="C1797" s="11">
        <v>2003</v>
      </c>
      <c r="D1797" s="32">
        <f>SPFI_CLB14!$D$26</f>
        <v>0.20691100000000001</v>
      </c>
      <c r="E1797" s="32"/>
      <c r="F1797" s="32"/>
      <c r="G1797" s="32"/>
      <c r="H1797" s="32"/>
      <c r="I1797" s="32"/>
      <c r="J1797" s="28">
        <f t="shared" ref="J1797" si="1546">D1797*J$57</f>
        <v>0</v>
      </c>
      <c r="K1797" s="29"/>
      <c r="L1797" s="29"/>
      <c r="M1797" s="29"/>
      <c r="N1797" s="29"/>
      <c r="O1797" s="29"/>
      <c r="P1797" s="30">
        <f t="shared" si="1543"/>
        <v>0</v>
      </c>
      <c r="Q1797" s="31">
        <f t="shared" si="1541"/>
        <v>0</v>
      </c>
    </row>
    <row r="1798" spans="1:17" x14ac:dyDescent="0.2">
      <c r="A1798" s="10"/>
      <c r="B1798" s="26"/>
      <c r="C1798" s="11">
        <v>2004</v>
      </c>
      <c r="D1798" s="32">
        <f>SPFI_CLB14!$D$27</f>
        <v>0.269237</v>
      </c>
      <c r="E1798" s="32"/>
      <c r="F1798" s="32"/>
      <c r="G1798" s="32"/>
      <c r="H1798" s="32"/>
      <c r="I1798" s="32"/>
      <c r="J1798" s="28">
        <f t="shared" ref="J1798" si="1547">D1798*J$57</f>
        <v>0</v>
      </c>
      <c r="K1798" s="29"/>
      <c r="L1798" s="29"/>
      <c r="M1798" s="29"/>
      <c r="N1798" s="29"/>
      <c r="O1798" s="29"/>
      <c r="P1798" s="30">
        <f t="shared" si="1543"/>
        <v>0</v>
      </c>
      <c r="Q1798" s="31">
        <f t="shared" si="1541"/>
        <v>0</v>
      </c>
    </row>
    <row r="1799" spans="1:17" x14ac:dyDescent="0.2">
      <c r="A1799" s="10"/>
      <c r="B1799" s="26"/>
      <c r="C1799" s="11">
        <v>2005</v>
      </c>
      <c r="D1799" s="32">
        <f>SPFI_CLB14!$D$28</f>
        <v>0.37848700000000002</v>
      </c>
      <c r="E1799" s="32"/>
      <c r="F1799" s="32"/>
      <c r="G1799" s="32"/>
      <c r="H1799" s="32"/>
      <c r="I1799" s="32"/>
      <c r="J1799" s="28">
        <f t="shared" ref="J1799" si="1548">D1799*J$57</f>
        <v>0</v>
      </c>
      <c r="K1799" s="29"/>
      <c r="L1799" s="29"/>
      <c r="M1799" s="29"/>
      <c r="N1799" s="29"/>
      <c r="O1799" s="29"/>
      <c r="P1799" s="30">
        <f t="shared" si="1543"/>
        <v>0</v>
      </c>
      <c r="Q1799" s="31">
        <f t="shared" ref="Q1799:Q1804" si="1549">IF(C$57&gt;0,P1799/C$57,0)</f>
        <v>0</v>
      </c>
    </row>
    <row r="1800" spans="1:17" x14ac:dyDescent="0.2">
      <c r="A1800" s="10"/>
      <c r="B1800" s="26"/>
      <c r="C1800" s="11">
        <v>2006</v>
      </c>
      <c r="D1800" s="32">
        <f>SPFI_CLB14!$D$29</f>
        <v>0.381023</v>
      </c>
      <c r="E1800" s="32"/>
      <c r="F1800" s="32"/>
      <c r="G1800" s="32"/>
      <c r="H1800" s="32"/>
      <c r="I1800" s="32"/>
      <c r="J1800" s="28">
        <f t="shared" ref="J1800" si="1550">D1800*J$57</f>
        <v>0</v>
      </c>
      <c r="K1800" s="29"/>
      <c r="L1800" s="29"/>
      <c r="M1800" s="29"/>
      <c r="N1800" s="29"/>
      <c r="O1800" s="29"/>
      <c r="P1800" s="30">
        <f t="shared" ref="P1800:P1807" si="1551">SUM(J1800:O1800)</f>
        <v>0</v>
      </c>
      <c r="Q1800" s="31">
        <f t="shared" si="1549"/>
        <v>0</v>
      </c>
    </row>
    <row r="1801" spans="1:17" x14ac:dyDescent="0.2">
      <c r="A1801" s="10"/>
      <c r="B1801" s="26"/>
      <c r="C1801" s="11">
        <v>2007</v>
      </c>
      <c r="D1801" s="32">
        <f>SPFI_CLB14!$D$30</f>
        <v>0.356512</v>
      </c>
      <c r="E1801" s="32"/>
      <c r="F1801" s="32"/>
      <c r="G1801" s="32"/>
      <c r="H1801" s="32"/>
      <c r="I1801" s="32"/>
      <c r="J1801" s="28">
        <f t="shared" ref="J1801" si="1552">D1801*J$57</f>
        <v>0</v>
      </c>
      <c r="K1801" s="29"/>
      <c r="L1801" s="29"/>
      <c r="M1801" s="29"/>
      <c r="N1801" s="29"/>
      <c r="O1801" s="29"/>
      <c r="P1801" s="30">
        <f t="shared" si="1551"/>
        <v>0</v>
      </c>
      <c r="Q1801" s="31">
        <f t="shared" si="1549"/>
        <v>0</v>
      </c>
    </row>
    <row r="1802" spans="1:17" x14ac:dyDescent="0.2">
      <c r="A1802" s="10"/>
      <c r="B1802" s="26"/>
      <c r="C1802" s="11">
        <v>2008</v>
      </c>
      <c r="D1802" s="32">
        <f>SPFI_CLB14!$D$31</f>
        <v>0.25494499999999998</v>
      </c>
      <c r="E1802" s="32"/>
      <c r="F1802" s="32"/>
      <c r="G1802" s="32"/>
      <c r="H1802" s="32"/>
      <c r="I1802" s="32"/>
      <c r="J1802" s="28">
        <f t="shared" ref="J1802" si="1553">D1802*J$57</f>
        <v>0</v>
      </c>
      <c r="K1802" s="29"/>
      <c r="L1802" s="29"/>
      <c r="M1802" s="29"/>
      <c r="N1802" s="29"/>
      <c r="O1802" s="29"/>
      <c r="P1802" s="30">
        <f t="shared" si="1551"/>
        <v>0</v>
      </c>
      <c r="Q1802" s="31">
        <f t="shared" si="1549"/>
        <v>0</v>
      </c>
    </row>
    <row r="1803" spans="1:17" x14ac:dyDescent="0.2">
      <c r="A1803" s="10"/>
      <c r="B1803" s="26"/>
      <c r="C1803" s="11">
        <v>2009</v>
      </c>
      <c r="D1803" s="32">
        <f>SPFI_CLB14!$D$32</f>
        <v>0.52383000000000002</v>
      </c>
      <c r="E1803" s="32"/>
      <c r="F1803" s="32"/>
      <c r="G1803" s="32"/>
      <c r="H1803" s="32"/>
      <c r="I1803" s="32"/>
      <c r="J1803" s="28">
        <f t="shared" ref="J1803" si="1554">D1803*J$57</f>
        <v>0</v>
      </c>
      <c r="K1803" s="29"/>
      <c r="L1803" s="29"/>
      <c r="M1803" s="29"/>
      <c r="N1803" s="29"/>
      <c r="O1803" s="29"/>
      <c r="P1803" s="30">
        <f t="shared" si="1551"/>
        <v>0</v>
      </c>
      <c r="Q1803" s="31">
        <f t="shared" si="1549"/>
        <v>0</v>
      </c>
    </row>
    <row r="1804" spans="1:17" x14ac:dyDescent="0.2">
      <c r="A1804" s="10"/>
      <c r="B1804" s="26"/>
      <c r="C1804" s="11">
        <v>2010</v>
      </c>
      <c r="D1804" s="32">
        <f>SPFI_CLB14!$D$33</f>
        <v>0.31394</v>
      </c>
      <c r="E1804" s="32"/>
      <c r="F1804" s="32"/>
      <c r="G1804" s="32"/>
      <c r="H1804" s="32"/>
      <c r="I1804" s="32"/>
      <c r="J1804" s="28">
        <f t="shared" ref="J1804" si="1555">D1804*J$57</f>
        <v>0</v>
      </c>
      <c r="K1804" s="29"/>
      <c r="L1804" s="29"/>
      <c r="M1804" s="29"/>
      <c r="N1804" s="29"/>
      <c r="O1804" s="29"/>
      <c r="P1804" s="30">
        <f t="shared" si="1551"/>
        <v>0</v>
      </c>
      <c r="Q1804" s="31">
        <f t="shared" si="1549"/>
        <v>0</v>
      </c>
    </row>
    <row r="1805" spans="1:17" x14ac:dyDescent="0.2">
      <c r="A1805" s="10"/>
      <c r="B1805" s="26"/>
      <c r="C1805" s="11">
        <v>2011</v>
      </c>
      <c r="D1805" s="32">
        <f>SPFI_CLB14!$D$34</f>
        <v>0.294348</v>
      </c>
      <c r="E1805" s="32"/>
      <c r="F1805" s="32"/>
      <c r="G1805" s="32"/>
      <c r="H1805" s="32"/>
      <c r="I1805" s="32"/>
      <c r="J1805" s="28">
        <f t="shared" ref="J1805" si="1556">D1805*J$57</f>
        <v>0</v>
      </c>
      <c r="K1805" s="29"/>
      <c r="L1805" s="29"/>
      <c r="M1805" s="29"/>
      <c r="N1805" s="29"/>
      <c r="O1805" s="29"/>
      <c r="P1805" s="30">
        <f t="shared" ref="P1805" si="1557">SUM(J1805:O1805)</f>
        <v>0</v>
      </c>
      <c r="Q1805" s="31">
        <f t="shared" ref="Q1805" si="1558">IF(C$57&gt;0,P1805/C$57,0)</f>
        <v>0</v>
      </c>
    </row>
    <row r="1806" spans="1:17" x14ac:dyDescent="0.2">
      <c r="A1806" s="10"/>
      <c r="B1806" s="26"/>
      <c r="C1806" s="11">
        <v>2012</v>
      </c>
      <c r="D1806" s="32">
        <f>SPFI_CLB14!$D$35</f>
        <v>0.34784100000000001</v>
      </c>
      <c r="E1806" s="32"/>
      <c r="F1806" s="32"/>
      <c r="G1806" s="32"/>
      <c r="H1806" s="32"/>
      <c r="I1806" s="32"/>
      <c r="J1806" s="28">
        <f t="shared" ref="J1806" si="1559">D1806*J$57</f>
        <v>0</v>
      </c>
      <c r="K1806" s="29"/>
      <c r="L1806" s="29"/>
      <c r="M1806" s="29"/>
      <c r="N1806" s="29"/>
      <c r="O1806" s="29"/>
      <c r="P1806" s="30">
        <f t="shared" ref="P1806" si="1560">SUM(J1806:O1806)</f>
        <v>0</v>
      </c>
      <c r="Q1806" s="31">
        <f t="shared" ref="Q1806" si="1561">IF(C$57&gt;0,P1806/C$57,0)</f>
        <v>0</v>
      </c>
    </row>
    <row r="1807" spans="1:17" x14ac:dyDescent="0.2">
      <c r="A1807" s="5" t="s">
        <v>19</v>
      </c>
      <c r="B1807" s="21">
        <v>4</v>
      </c>
      <c r="C1807" s="6">
        <v>1982</v>
      </c>
      <c r="D1807" s="27">
        <f>SPFI_CLB14!$D$5</f>
        <v>0.98153299999999999</v>
      </c>
      <c r="E1807" s="27"/>
      <c r="F1807" s="27"/>
      <c r="G1807" s="27"/>
      <c r="H1807" s="27"/>
      <c r="I1807" s="27"/>
      <c r="J1807" s="33">
        <f t="shared" ref="J1807:J1819" si="1562">D1807*J$58</f>
        <v>0</v>
      </c>
      <c r="K1807" s="27"/>
      <c r="L1807" s="27"/>
      <c r="M1807" s="27"/>
      <c r="N1807" s="27"/>
      <c r="O1807" s="27"/>
      <c r="P1807" s="34">
        <f t="shared" si="1551"/>
        <v>0</v>
      </c>
      <c r="Q1807" s="35">
        <f t="shared" ref="Q1807:Q1823" si="1563">IF(C$58&gt;0,P1807/C$58,0)</f>
        <v>0</v>
      </c>
    </row>
    <row r="1808" spans="1:17" x14ac:dyDescent="0.2">
      <c r="A1808" s="10"/>
      <c r="B1808" s="26"/>
      <c r="C1808" s="11">
        <v>1983</v>
      </c>
      <c r="D1808" s="32">
        <f>SPFI_CLB14!$D$6</f>
        <v>0.93659899999999996</v>
      </c>
      <c r="E1808" s="32"/>
      <c r="F1808" s="32"/>
      <c r="G1808" s="32"/>
      <c r="H1808" s="32"/>
      <c r="I1808" s="32"/>
      <c r="J1808" s="28">
        <f t="shared" si="1562"/>
        <v>0</v>
      </c>
      <c r="K1808" s="29"/>
      <c r="L1808" s="29"/>
      <c r="M1808" s="29"/>
      <c r="N1808" s="29"/>
      <c r="O1808" s="29"/>
      <c r="P1808" s="30">
        <f t="shared" ref="P1808:P1819" si="1564">SUM(J1808:O1808)</f>
        <v>0</v>
      </c>
      <c r="Q1808" s="31">
        <f t="shared" si="1563"/>
        <v>0</v>
      </c>
    </row>
    <row r="1809" spans="1:17" x14ac:dyDescent="0.2">
      <c r="A1809" s="10"/>
      <c r="B1809" s="26"/>
      <c r="C1809" s="11">
        <v>1984</v>
      </c>
      <c r="D1809" s="32">
        <f>SPFI_CLB14!$D$7</f>
        <v>0.92793599999999998</v>
      </c>
      <c r="E1809" s="32"/>
      <c r="F1809" s="32"/>
      <c r="G1809" s="32"/>
      <c r="H1809" s="32"/>
      <c r="I1809" s="32"/>
      <c r="J1809" s="28">
        <f t="shared" si="1562"/>
        <v>0</v>
      </c>
      <c r="K1809" s="29"/>
      <c r="L1809" s="29"/>
      <c r="M1809" s="29"/>
      <c r="N1809" s="29"/>
      <c r="O1809" s="29"/>
      <c r="P1809" s="30">
        <f t="shared" si="1564"/>
        <v>0</v>
      </c>
      <c r="Q1809" s="31">
        <f t="shared" si="1563"/>
        <v>0</v>
      </c>
    </row>
    <row r="1810" spans="1:17" x14ac:dyDescent="0.2">
      <c r="A1810" s="10"/>
      <c r="B1810" s="26"/>
      <c r="C1810" s="11">
        <v>1985</v>
      </c>
      <c r="D1810" s="32">
        <f>SPFI_CLB14!$D$8</f>
        <v>0.90386500000000003</v>
      </c>
      <c r="E1810" s="32"/>
      <c r="F1810" s="32"/>
      <c r="G1810" s="32"/>
      <c r="H1810" s="32"/>
      <c r="I1810" s="32"/>
      <c r="J1810" s="28">
        <f t="shared" si="1562"/>
        <v>0</v>
      </c>
      <c r="K1810" s="29"/>
      <c r="L1810" s="29"/>
      <c r="M1810" s="29"/>
      <c r="N1810" s="29"/>
      <c r="O1810" s="29"/>
      <c r="P1810" s="30">
        <f t="shared" si="1564"/>
        <v>0</v>
      </c>
      <c r="Q1810" s="31">
        <f t="shared" si="1563"/>
        <v>0</v>
      </c>
    </row>
    <row r="1811" spans="1:17" x14ac:dyDescent="0.2">
      <c r="A1811" s="10"/>
      <c r="B1811" s="26"/>
      <c r="C1811" s="11">
        <v>1986</v>
      </c>
      <c r="D1811" s="32">
        <f>SPFI_CLB14!$D$9</f>
        <v>0.73087500000000005</v>
      </c>
      <c r="E1811" s="32"/>
      <c r="F1811" s="32"/>
      <c r="G1811" s="32"/>
      <c r="H1811" s="32"/>
      <c r="I1811" s="32"/>
      <c r="J1811" s="28">
        <f t="shared" si="1562"/>
        <v>0</v>
      </c>
      <c r="K1811" s="29"/>
      <c r="L1811" s="29"/>
      <c r="M1811" s="29"/>
      <c r="N1811" s="29"/>
      <c r="O1811" s="29"/>
      <c r="P1811" s="30">
        <f t="shared" si="1564"/>
        <v>0</v>
      </c>
      <c r="Q1811" s="31">
        <f t="shared" si="1563"/>
        <v>0</v>
      </c>
    </row>
    <row r="1812" spans="1:17" x14ac:dyDescent="0.2">
      <c r="A1812" s="10"/>
      <c r="B1812" s="26"/>
      <c r="C1812" s="11">
        <v>1987</v>
      </c>
      <c r="D1812" s="32">
        <f>SPFI_CLB14!$D$10</f>
        <v>0.71733499999999994</v>
      </c>
      <c r="E1812" s="32"/>
      <c r="F1812" s="32"/>
      <c r="G1812" s="32"/>
      <c r="H1812" s="32"/>
      <c r="I1812" s="32"/>
      <c r="J1812" s="28">
        <f t="shared" si="1562"/>
        <v>0</v>
      </c>
      <c r="K1812" s="29"/>
      <c r="L1812" s="29"/>
      <c r="M1812" s="29"/>
      <c r="N1812" s="29"/>
      <c r="O1812" s="29"/>
      <c r="P1812" s="30">
        <f t="shared" si="1564"/>
        <v>0</v>
      </c>
      <c r="Q1812" s="31">
        <f t="shared" si="1563"/>
        <v>0</v>
      </c>
    </row>
    <row r="1813" spans="1:17" x14ac:dyDescent="0.2">
      <c r="A1813" s="10"/>
      <c r="B1813" s="26"/>
      <c r="C1813" s="11">
        <v>1988</v>
      </c>
      <c r="D1813" s="32">
        <f>SPFI_CLB14!$D$11</f>
        <v>0.64558800000000005</v>
      </c>
      <c r="E1813" s="32"/>
      <c r="F1813" s="32"/>
      <c r="G1813" s="32"/>
      <c r="H1813" s="32"/>
      <c r="I1813" s="32"/>
      <c r="J1813" s="28">
        <f t="shared" si="1562"/>
        <v>0</v>
      </c>
      <c r="K1813" s="29"/>
      <c r="L1813" s="29"/>
      <c r="M1813" s="29"/>
      <c r="N1813" s="29"/>
      <c r="O1813" s="29"/>
      <c r="P1813" s="30">
        <f t="shared" si="1564"/>
        <v>0</v>
      </c>
      <c r="Q1813" s="31">
        <f t="shared" si="1563"/>
        <v>0</v>
      </c>
    </row>
    <row r="1814" spans="1:17" x14ac:dyDescent="0.2">
      <c r="A1814" s="10"/>
      <c r="B1814" s="26"/>
      <c r="C1814" s="11">
        <v>1989</v>
      </c>
      <c r="D1814" s="32">
        <f>SPFI_CLB14!$D$12</f>
        <v>0.65287700000000004</v>
      </c>
      <c r="E1814" s="32"/>
      <c r="F1814" s="32"/>
      <c r="G1814" s="32"/>
      <c r="H1814" s="32"/>
      <c r="I1814" s="32"/>
      <c r="J1814" s="28">
        <f t="shared" si="1562"/>
        <v>0</v>
      </c>
      <c r="K1814" s="29"/>
      <c r="L1814" s="29"/>
      <c r="M1814" s="29"/>
      <c r="N1814" s="29"/>
      <c r="O1814" s="29"/>
      <c r="P1814" s="30">
        <f t="shared" si="1564"/>
        <v>0</v>
      </c>
      <c r="Q1814" s="31">
        <f t="shared" si="1563"/>
        <v>0</v>
      </c>
    </row>
    <row r="1815" spans="1:17" x14ac:dyDescent="0.2">
      <c r="A1815" s="10"/>
      <c r="B1815" s="26"/>
      <c r="C1815" s="11">
        <v>1990</v>
      </c>
      <c r="D1815" s="32">
        <f>SPFI_CLB14!$D$13</f>
        <v>0.56965100000000002</v>
      </c>
      <c r="E1815" s="32"/>
      <c r="F1815" s="32"/>
      <c r="G1815" s="32"/>
      <c r="H1815" s="32"/>
      <c r="I1815" s="32"/>
      <c r="J1815" s="28">
        <f t="shared" si="1562"/>
        <v>0</v>
      </c>
      <c r="K1815" s="29"/>
      <c r="L1815" s="29"/>
      <c r="M1815" s="29"/>
      <c r="N1815" s="29"/>
      <c r="O1815" s="29"/>
      <c r="P1815" s="30">
        <f t="shared" si="1564"/>
        <v>0</v>
      </c>
      <c r="Q1815" s="31">
        <f t="shared" si="1563"/>
        <v>0</v>
      </c>
    </row>
    <row r="1816" spans="1:17" x14ac:dyDescent="0.2">
      <c r="A1816" s="10"/>
      <c r="B1816" s="26"/>
      <c r="C1816" s="11">
        <v>1991</v>
      </c>
      <c r="D1816" s="32">
        <f>SPFI_CLB14!$D$14</f>
        <v>0.62776900000000002</v>
      </c>
      <c r="E1816" s="32"/>
      <c r="F1816" s="32"/>
      <c r="G1816" s="32"/>
      <c r="H1816" s="32"/>
      <c r="I1816" s="32"/>
      <c r="J1816" s="28">
        <f t="shared" si="1562"/>
        <v>0</v>
      </c>
      <c r="K1816" s="29"/>
      <c r="L1816" s="29"/>
      <c r="M1816" s="29"/>
      <c r="N1816" s="29"/>
      <c r="O1816" s="29"/>
      <c r="P1816" s="30">
        <f t="shared" si="1564"/>
        <v>0</v>
      </c>
      <c r="Q1816" s="31">
        <f t="shared" si="1563"/>
        <v>0</v>
      </c>
    </row>
    <row r="1817" spans="1:17" x14ac:dyDescent="0.2">
      <c r="A1817" s="10"/>
      <c r="B1817" s="26"/>
      <c r="C1817" s="11">
        <v>1992</v>
      </c>
      <c r="D1817" s="32">
        <f>SPFI_CLB14!$D$15</f>
        <v>0.43504100000000001</v>
      </c>
      <c r="E1817" s="32"/>
      <c r="F1817" s="32"/>
      <c r="G1817" s="32"/>
      <c r="H1817" s="32"/>
      <c r="I1817" s="32"/>
      <c r="J1817" s="28">
        <f t="shared" si="1562"/>
        <v>0</v>
      </c>
      <c r="K1817" s="29"/>
      <c r="L1817" s="29"/>
      <c r="M1817" s="29"/>
      <c r="N1817" s="29"/>
      <c r="O1817" s="29"/>
      <c r="P1817" s="30">
        <f t="shared" si="1564"/>
        <v>0</v>
      </c>
      <c r="Q1817" s="31">
        <f t="shared" si="1563"/>
        <v>0</v>
      </c>
    </row>
    <row r="1818" spans="1:17" x14ac:dyDescent="0.2">
      <c r="A1818" s="10"/>
      <c r="B1818" s="26"/>
      <c r="C1818" s="11">
        <v>1993</v>
      </c>
      <c r="D1818" s="32">
        <f>SPFI_CLB14!$D$16</f>
        <v>0.499164</v>
      </c>
      <c r="E1818" s="32"/>
      <c r="F1818" s="32"/>
      <c r="G1818" s="32"/>
      <c r="H1818" s="32"/>
      <c r="I1818" s="32"/>
      <c r="J1818" s="28">
        <f t="shared" si="1562"/>
        <v>0</v>
      </c>
      <c r="K1818" s="29"/>
      <c r="L1818" s="29"/>
      <c r="M1818" s="29"/>
      <c r="N1818" s="29"/>
      <c r="O1818" s="29"/>
      <c r="P1818" s="30">
        <f t="shared" si="1564"/>
        <v>0</v>
      </c>
      <c r="Q1818" s="31">
        <f t="shared" si="1563"/>
        <v>0</v>
      </c>
    </row>
    <row r="1819" spans="1:17" x14ac:dyDescent="0.2">
      <c r="A1819" s="10"/>
      <c r="B1819" s="26"/>
      <c r="C1819" s="11">
        <v>1994</v>
      </c>
      <c r="D1819" s="32">
        <f>SPFI_CLB14!$D$17</f>
        <v>0.59591300000000003</v>
      </c>
      <c r="E1819" s="32"/>
      <c r="F1819" s="32"/>
      <c r="G1819" s="32"/>
      <c r="H1819" s="32"/>
      <c r="I1819" s="32"/>
      <c r="J1819" s="28">
        <f t="shared" si="1562"/>
        <v>0</v>
      </c>
      <c r="K1819" s="29"/>
      <c r="L1819" s="29"/>
      <c r="M1819" s="29"/>
      <c r="N1819" s="29"/>
      <c r="O1819" s="29"/>
      <c r="P1819" s="30">
        <f t="shared" si="1564"/>
        <v>0</v>
      </c>
      <c r="Q1819" s="31">
        <f t="shared" si="1563"/>
        <v>0</v>
      </c>
    </row>
    <row r="1820" spans="1:17" x14ac:dyDescent="0.2">
      <c r="A1820" s="10"/>
      <c r="B1820" s="26"/>
      <c r="C1820" s="11">
        <v>1995</v>
      </c>
      <c r="D1820" s="32">
        <f>SPFI_CLB14!$D$18</f>
        <v>0.25400800000000001</v>
      </c>
      <c r="E1820" s="32"/>
      <c r="F1820" s="32"/>
      <c r="G1820" s="32"/>
      <c r="H1820" s="32"/>
      <c r="I1820" s="32"/>
      <c r="J1820" s="28">
        <f t="shared" ref="J1820" si="1565">D1820*J$58</f>
        <v>0</v>
      </c>
      <c r="K1820" s="29"/>
      <c r="L1820" s="29"/>
      <c r="M1820" s="29"/>
      <c r="N1820" s="29"/>
      <c r="O1820" s="29"/>
      <c r="P1820" s="30">
        <f>SUM(J1820:O1820)</f>
        <v>0</v>
      </c>
      <c r="Q1820" s="31">
        <f t="shared" si="1563"/>
        <v>0</v>
      </c>
    </row>
    <row r="1821" spans="1:17" x14ac:dyDescent="0.2">
      <c r="A1821" s="10"/>
      <c r="B1821" s="26"/>
      <c r="C1821" s="11">
        <v>1996</v>
      </c>
      <c r="D1821" s="32">
        <f>SPFI_CLB14!$D$19</f>
        <v>0</v>
      </c>
      <c r="E1821" s="32"/>
      <c r="F1821" s="32"/>
      <c r="G1821" s="32"/>
      <c r="H1821" s="32"/>
      <c r="I1821" s="32"/>
      <c r="J1821" s="28">
        <f t="shared" ref="J1821" si="1566">D1821*J$58</f>
        <v>0</v>
      </c>
      <c r="K1821" s="29"/>
      <c r="L1821" s="29"/>
      <c r="M1821" s="29"/>
      <c r="N1821" s="29"/>
      <c r="O1821" s="29"/>
      <c r="P1821" s="30">
        <f>SUM(J1821:O1821)</f>
        <v>0</v>
      </c>
      <c r="Q1821" s="31">
        <f t="shared" si="1563"/>
        <v>0</v>
      </c>
    </row>
    <row r="1822" spans="1:17" x14ac:dyDescent="0.2">
      <c r="A1822" s="10"/>
      <c r="B1822" s="26"/>
      <c r="C1822" s="11">
        <v>1997</v>
      </c>
      <c r="D1822" s="32">
        <f>SPFI_CLB14!$D$20</f>
        <v>0.201487</v>
      </c>
      <c r="E1822" s="32"/>
      <c r="F1822" s="32"/>
      <c r="G1822" s="32"/>
      <c r="H1822" s="32"/>
      <c r="I1822" s="32"/>
      <c r="J1822" s="28">
        <f t="shared" ref="J1822" si="1567">D1822*J$58</f>
        <v>0</v>
      </c>
      <c r="K1822" s="29"/>
      <c r="L1822" s="29"/>
      <c r="M1822" s="29"/>
      <c r="N1822" s="29"/>
      <c r="O1822" s="29"/>
      <c r="P1822" s="30">
        <f>SUM(J1822:O1822)</f>
        <v>0</v>
      </c>
      <c r="Q1822" s="31">
        <f t="shared" si="1563"/>
        <v>0</v>
      </c>
    </row>
    <row r="1823" spans="1:17" x14ac:dyDescent="0.2">
      <c r="A1823" s="10"/>
      <c r="B1823" s="26"/>
      <c r="C1823" s="11">
        <v>1998</v>
      </c>
      <c r="D1823" s="32">
        <f>SPFI_CLB14!$D$21</f>
        <v>0.37506400000000001</v>
      </c>
      <c r="E1823" s="32"/>
      <c r="F1823" s="32"/>
      <c r="G1823" s="32"/>
      <c r="H1823" s="32"/>
      <c r="I1823" s="32"/>
      <c r="J1823" s="28">
        <f t="shared" ref="J1823" si="1568">D1823*J$58</f>
        <v>0</v>
      </c>
      <c r="K1823" s="29"/>
      <c r="L1823" s="29"/>
      <c r="M1823" s="29"/>
      <c r="N1823" s="29"/>
      <c r="O1823" s="29"/>
      <c r="P1823" s="30">
        <f>SUM(J1823:O1823)</f>
        <v>0</v>
      </c>
      <c r="Q1823" s="31">
        <f t="shared" si="1563"/>
        <v>0</v>
      </c>
    </row>
    <row r="1824" spans="1:17" x14ac:dyDescent="0.2">
      <c r="A1824" s="10"/>
      <c r="B1824" s="26"/>
      <c r="C1824" s="11">
        <v>1999</v>
      </c>
      <c r="D1824" s="32">
        <f>SPFI_CLB14!$D$22</f>
        <v>0.29823699999999997</v>
      </c>
      <c r="E1824" s="32"/>
      <c r="F1824" s="32"/>
      <c r="G1824" s="32"/>
      <c r="H1824" s="32"/>
      <c r="I1824" s="32"/>
      <c r="J1824" s="28">
        <f t="shared" ref="J1824" si="1569">D1824*J$58</f>
        <v>0</v>
      </c>
      <c r="K1824" s="29"/>
      <c r="L1824" s="29"/>
      <c r="M1824" s="29"/>
      <c r="N1824" s="29"/>
      <c r="O1824" s="29"/>
      <c r="P1824" s="30">
        <f>SUM(J1824:O1824)</f>
        <v>0</v>
      </c>
      <c r="Q1824" s="31">
        <f t="shared" ref="Q1824:Q1829" si="1570">IF(C$58&gt;0,P1824/C$58,0)</f>
        <v>0</v>
      </c>
    </row>
    <row r="1825" spans="1:17" x14ac:dyDescent="0.2">
      <c r="A1825" s="10"/>
      <c r="B1825" s="26"/>
      <c r="C1825" s="11">
        <v>2000</v>
      </c>
      <c r="D1825" s="32">
        <f>SPFI_CLB14!$D$23</f>
        <v>8.4414000000000003E-2</v>
      </c>
      <c r="E1825" s="32"/>
      <c r="F1825" s="32"/>
      <c r="G1825" s="32"/>
      <c r="H1825" s="32"/>
      <c r="I1825" s="32"/>
      <c r="J1825" s="28">
        <f t="shared" ref="J1825" si="1571">D1825*J$58</f>
        <v>0</v>
      </c>
      <c r="K1825" s="29"/>
      <c r="L1825" s="29"/>
      <c r="M1825" s="29"/>
      <c r="N1825" s="29"/>
      <c r="O1825" s="29"/>
      <c r="P1825" s="30">
        <f t="shared" ref="P1825:P1830" si="1572">SUM(J1825:O1825)</f>
        <v>0</v>
      </c>
      <c r="Q1825" s="31">
        <f t="shared" si="1570"/>
        <v>0</v>
      </c>
    </row>
    <row r="1826" spans="1:17" x14ac:dyDescent="0.2">
      <c r="A1826" s="10"/>
      <c r="B1826" s="26"/>
      <c r="C1826" s="11">
        <v>2001</v>
      </c>
      <c r="D1826" s="32">
        <f>SPFI_CLB14!$D$24</f>
        <v>7.8909000000000007E-2</v>
      </c>
      <c r="E1826" s="32"/>
      <c r="F1826" s="32"/>
      <c r="G1826" s="32"/>
      <c r="H1826" s="32"/>
      <c r="I1826" s="32"/>
      <c r="J1826" s="28">
        <f t="shared" ref="J1826" si="1573">D1826*J$58</f>
        <v>0</v>
      </c>
      <c r="K1826" s="29"/>
      <c r="L1826" s="29"/>
      <c r="M1826" s="29"/>
      <c r="N1826" s="29"/>
      <c r="O1826" s="29"/>
      <c r="P1826" s="30">
        <f t="shared" si="1572"/>
        <v>0</v>
      </c>
      <c r="Q1826" s="31">
        <f t="shared" si="1570"/>
        <v>0</v>
      </c>
    </row>
    <row r="1827" spans="1:17" x14ac:dyDescent="0.2">
      <c r="A1827" s="10"/>
      <c r="B1827" s="26"/>
      <c r="C1827" s="11">
        <v>2002</v>
      </c>
      <c r="D1827" s="32">
        <f>SPFI_CLB14!$D$25</f>
        <v>0.29974699999999999</v>
      </c>
      <c r="E1827" s="32"/>
      <c r="F1827" s="32"/>
      <c r="G1827" s="32"/>
      <c r="H1827" s="32"/>
      <c r="I1827" s="32"/>
      <c r="J1827" s="28">
        <f t="shared" ref="J1827" si="1574">D1827*J$58</f>
        <v>0</v>
      </c>
      <c r="K1827" s="29"/>
      <c r="L1827" s="29"/>
      <c r="M1827" s="29"/>
      <c r="N1827" s="29"/>
      <c r="O1827" s="29"/>
      <c r="P1827" s="30">
        <f t="shared" si="1572"/>
        <v>0</v>
      </c>
      <c r="Q1827" s="31">
        <f t="shared" si="1570"/>
        <v>0</v>
      </c>
    </row>
    <row r="1828" spans="1:17" x14ac:dyDescent="0.2">
      <c r="A1828" s="10"/>
      <c r="B1828" s="26"/>
      <c r="C1828" s="11">
        <v>2003</v>
      </c>
      <c r="D1828" s="32">
        <f>SPFI_CLB14!$D$26</f>
        <v>0.20691100000000001</v>
      </c>
      <c r="E1828" s="32"/>
      <c r="F1828" s="32"/>
      <c r="G1828" s="32"/>
      <c r="H1828" s="32"/>
      <c r="I1828" s="32"/>
      <c r="J1828" s="28">
        <f t="shared" ref="J1828" si="1575">D1828*J$58</f>
        <v>0</v>
      </c>
      <c r="K1828" s="29"/>
      <c r="L1828" s="29"/>
      <c r="M1828" s="29"/>
      <c r="N1828" s="29"/>
      <c r="O1828" s="29"/>
      <c r="P1828" s="30">
        <f t="shared" si="1572"/>
        <v>0</v>
      </c>
      <c r="Q1828" s="31">
        <f t="shared" si="1570"/>
        <v>0</v>
      </c>
    </row>
    <row r="1829" spans="1:17" x14ac:dyDescent="0.2">
      <c r="A1829" s="10"/>
      <c r="B1829" s="26"/>
      <c r="C1829" s="11">
        <v>2004</v>
      </c>
      <c r="D1829" s="32">
        <f>SPFI_CLB14!$D$27</f>
        <v>0.269237</v>
      </c>
      <c r="E1829" s="32"/>
      <c r="F1829" s="32"/>
      <c r="G1829" s="32"/>
      <c r="H1829" s="32"/>
      <c r="I1829" s="32"/>
      <c r="J1829" s="28">
        <f t="shared" ref="J1829" si="1576">D1829*J$58</f>
        <v>0</v>
      </c>
      <c r="K1829" s="29"/>
      <c r="L1829" s="29"/>
      <c r="M1829" s="29"/>
      <c r="N1829" s="29"/>
      <c r="O1829" s="29"/>
      <c r="P1829" s="30">
        <f t="shared" si="1572"/>
        <v>0</v>
      </c>
      <c r="Q1829" s="31">
        <f t="shared" si="1570"/>
        <v>0</v>
      </c>
    </row>
    <row r="1830" spans="1:17" x14ac:dyDescent="0.2">
      <c r="A1830" s="10"/>
      <c r="B1830" s="26"/>
      <c r="C1830" s="11">
        <v>2005</v>
      </c>
      <c r="D1830" s="32">
        <f>SPFI_CLB14!$D$28</f>
        <v>0.37848700000000002</v>
      </c>
      <c r="E1830" s="32"/>
      <c r="F1830" s="32"/>
      <c r="G1830" s="32"/>
      <c r="H1830" s="32"/>
      <c r="I1830" s="32"/>
      <c r="J1830" s="28">
        <f t="shared" ref="J1830" si="1577">D1830*J$58</f>
        <v>0</v>
      </c>
      <c r="K1830" s="29"/>
      <c r="L1830" s="29"/>
      <c r="M1830" s="29"/>
      <c r="N1830" s="29"/>
      <c r="O1830" s="29"/>
      <c r="P1830" s="30">
        <f t="shared" si="1572"/>
        <v>0</v>
      </c>
      <c r="Q1830" s="31">
        <f t="shared" ref="Q1830:Q1835" si="1578">IF(C$58&gt;0,P1830/C$58,0)</f>
        <v>0</v>
      </c>
    </row>
    <row r="1831" spans="1:17" x14ac:dyDescent="0.2">
      <c r="A1831" s="10"/>
      <c r="B1831" s="26"/>
      <c r="C1831" s="11">
        <v>2006</v>
      </c>
      <c r="D1831" s="32">
        <f>SPFI_CLB14!$D$29</f>
        <v>0.381023</v>
      </c>
      <c r="E1831" s="32"/>
      <c r="F1831" s="32"/>
      <c r="G1831" s="32"/>
      <c r="H1831" s="32"/>
      <c r="I1831" s="32"/>
      <c r="J1831" s="28">
        <f t="shared" ref="J1831" si="1579">D1831*J$58</f>
        <v>0</v>
      </c>
      <c r="K1831" s="29"/>
      <c r="L1831" s="29"/>
      <c r="M1831" s="29"/>
      <c r="N1831" s="29"/>
      <c r="O1831" s="29"/>
      <c r="P1831" s="30">
        <f t="shared" ref="P1831:P1838" si="1580">SUM(J1831:O1831)</f>
        <v>0</v>
      </c>
      <c r="Q1831" s="31">
        <f t="shared" si="1578"/>
        <v>0</v>
      </c>
    </row>
    <row r="1832" spans="1:17" x14ac:dyDescent="0.2">
      <c r="A1832" s="10"/>
      <c r="B1832" s="26"/>
      <c r="C1832" s="11">
        <v>2007</v>
      </c>
      <c r="D1832" s="32">
        <f>SPFI_CLB14!$D$30</f>
        <v>0.356512</v>
      </c>
      <c r="E1832" s="32"/>
      <c r="F1832" s="32"/>
      <c r="G1832" s="32"/>
      <c r="H1832" s="32"/>
      <c r="I1832" s="32"/>
      <c r="J1832" s="28">
        <f t="shared" ref="J1832" si="1581">D1832*J$58</f>
        <v>0</v>
      </c>
      <c r="K1832" s="29"/>
      <c r="L1832" s="29"/>
      <c r="M1832" s="29"/>
      <c r="N1832" s="29"/>
      <c r="O1832" s="29"/>
      <c r="P1832" s="30">
        <f t="shared" si="1580"/>
        <v>0</v>
      </c>
      <c r="Q1832" s="31">
        <f t="shared" si="1578"/>
        <v>0</v>
      </c>
    </row>
    <row r="1833" spans="1:17" x14ac:dyDescent="0.2">
      <c r="A1833" s="10"/>
      <c r="B1833" s="26"/>
      <c r="C1833" s="11">
        <v>2008</v>
      </c>
      <c r="D1833" s="32">
        <f>SPFI_CLB14!$D$31</f>
        <v>0.25494499999999998</v>
      </c>
      <c r="E1833" s="32"/>
      <c r="F1833" s="32"/>
      <c r="G1833" s="32"/>
      <c r="H1833" s="32"/>
      <c r="I1833" s="32"/>
      <c r="J1833" s="28">
        <f t="shared" ref="J1833" si="1582">D1833*J$58</f>
        <v>0</v>
      </c>
      <c r="K1833" s="29"/>
      <c r="L1833" s="29"/>
      <c r="M1833" s="29"/>
      <c r="N1833" s="29"/>
      <c r="O1833" s="29"/>
      <c r="P1833" s="30">
        <f t="shared" si="1580"/>
        <v>0</v>
      </c>
      <c r="Q1833" s="31">
        <f t="shared" si="1578"/>
        <v>0</v>
      </c>
    </row>
    <row r="1834" spans="1:17" x14ac:dyDescent="0.2">
      <c r="A1834" s="10"/>
      <c r="B1834" s="26"/>
      <c r="C1834" s="11">
        <v>2009</v>
      </c>
      <c r="D1834" s="32">
        <f>SPFI_CLB14!$D$32</f>
        <v>0.52383000000000002</v>
      </c>
      <c r="E1834" s="32"/>
      <c r="F1834" s="32"/>
      <c r="G1834" s="32"/>
      <c r="H1834" s="32"/>
      <c r="I1834" s="32"/>
      <c r="J1834" s="28">
        <f t="shared" ref="J1834" si="1583">D1834*J$58</f>
        <v>0</v>
      </c>
      <c r="K1834" s="29"/>
      <c r="L1834" s="29"/>
      <c r="M1834" s="29"/>
      <c r="N1834" s="29"/>
      <c r="O1834" s="29"/>
      <c r="P1834" s="30">
        <f t="shared" si="1580"/>
        <v>0</v>
      </c>
      <c r="Q1834" s="31">
        <f t="shared" si="1578"/>
        <v>0</v>
      </c>
    </row>
    <row r="1835" spans="1:17" x14ac:dyDescent="0.2">
      <c r="A1835" s="10"/>
      <c r="B1835" s="26"/>
      <c r="C1835" s="11">
        <v>2010</v>
      </c>
      <c r="D1835" s="32">
        <f>SPFI_CLB14!$D$33</f>
        <v>0.31394</v>
      </c>
      <c r="E1835" s="32"/>
      <c r="F1835" s="32"/>
      <c r="G1835" s="32"/>
      <c r="H1835" s="32"/>
      <c r="I1835" s="32"/>
      <c r="J1835" s="28">
        <f t="shared" ref="J1835" si="1584">D1835*J$58</f>
        <v>0</v>
      </c>
      <c r="K1835" s="29"/>
      <c r="L1835" s="29"/>
      <c r="M1835" s="29"/>
      <c r="N1835" s="29"/>
      <c r="O1835" s="29"/>
      <c r="P1835" s="30">
        <f t="shared" si="1580"/>
        <v>0</v>
      </c>
      <c r="Q1835" s="31">
        <f t="shared" si="1578"/>
        <v>0</v>
      </c>
    </row>
    <row r="1836" spans="1:17" x14ac:dyDescent="0.2">
      <c r="A1836" s="10"/>
      <c r="B1836" s="26"/>
      <c r="C1836" s="11">
        <v>2011</v>
      </c>
      <c r="D1836" s="32">
        <f>SPFI_CLB14!$D$34</f>
        <v>0.294348</v>
      </c>
      <c r="E1836" s="32"/>
      <c r="F1836" s="32"/>
      <c r="G1836" s="32"/>
      <c r="H1836" s="32"/>
      <c r="I1836" s="32"/>
      <c r="J1836" s="28">
        <f t="shared" ref="J1836" si="1585">D1836*J$58</f>
        <v>0</v>
      </c>
      <c r="K1836" s="29"/>
      <c r="L1836" s="29"/>
      <c r="M1836" s="29"/>
      <c r="N1836" s="29"/>
      <c r="O1836" s="29"/>
      <c r="P1836" s="30">
        <f t="shared" ref="P1836" si="1586">SUM(J1836:O1836)</f>
        <v>0</v>
      </c>
      <c r="Q1836" s="31">
        <f t="shared" ref="Q1836" si="1587">IF(C$58&gt;0,P1836/C$58,0)</f>
        <v>0</v>
      </c>
    </row>
    <row r="1837" spans="1:17" x14ac:dyDescent="0.2">
      <c r="A1837" s="10"/>
      <c r="B1837" s="26"/>
      <c r="C1837" s="11">
        <v>2012</v>
      </c>
      <c r="D1837" s="32">
        <f>SPFI_CLB14!$D$35</f>
        <v>0.34784100000000001</v>
      </c>
      <c r="E1837" s="32"/>
      <c r="F1837" s="32"/>
      <c r="G1837" s="32"/>
      <c r="H1837" s="32"/>
      <c r="I1837" s="32"/>
      <c r="J1837" s="28">
        <f t="shared" ref="J1837" si="1588">D1837*J$58</f>
        <v>0</v>
      </c>
      <c r="K1837" s="29"/>
      <c r="L1837" s="29"/>
      <c r="M1837" s="29"/>
      <c r="N1837" s="29"/>
      <c r="O1837" s="29"/>
      <c r="P1837" s="30">
        <f t="shared" ref="P1837" si="1589">SUM(J1837:O1837)</f>
        <v>0</v>
      </c>
      <c r="Q1837" s="31">
        <f t="shared" ref="Q1837" si="1590">IF(C$58&gt;0,P1837/C$58,0)</f>
        <v>0</v>
      </c>
    </row>
    <row r="1838" spans="1:17" x14ac:dyDescent="0.2">
      <c r="A1838" s="5" t="s">
        <v>19</v>
      </c>
      <c r="B1838" s="21">
        <v>5</v>
      </c>
      <c r="C1838" s="6">
        <v>1982</v>
      </c>
      <c r="D1838" s="27">
        <f>SPFI_CLB14!$D$5</f>
        <v>0.98153299999999999</v>
      </c>
      <c r="E1838" s="27"/>
      <c r="F1838" s="27"/>
      <c r="G1838" s="27"/>
      <c r="H1838" s="27"/>
      <c r="I1838" s="27"/>
      <c r="J1838" s="33">
        <f t="shared" ref="J1838:J1850" si="1591">D1838*J$59</f>
        <v>0</v>
      </c>
      <c r="K1838" s="27"/>
      <c r="L1838" s="27"/>
      <c r="M1838" s="27"/>
      <c r="N1838" s="27"/>
      <c r="O1838" s="27"/>
      <c r="P1838" s="34">
        <f t="shared" si="1580"/>
        <v>0</v>
      </c>
      <c r="Q1838" s="35">
        <f t="shared" ref="Q1838:Q1854" si="1592">IF(C$59&gt;0,P1838/C$59,0)</f>
        <v>0</v>
      </c>
    </row>
    <row r="1839" spans="1:17" x14ac:dyDescent="0.2">
      <c r="A1839" s="10"/>
      <c r="B1839" s="26"/>
      <c r="C1839" s="11">
        <v>1983</v>
      </c>
      <c r="D1839" s="32">
        <f>SPFI_CLB14!$D$6</f>
        <v>0.93659899999999996</v>
      </c>
      <c r="E1839" s="32"/>
      <c r="F1839" s="32"/>
      <c r="G1839" s="32"/>
      <c r="H1839" s="32"/>
      <c r="I1839" s="32"/>
      <c r="J1839" s="28">
        <f t="shared" si="1591"/>
        <v>0</v>
      </c>
      <c r="K1839" s="29"/>
      <c r="L1839" s="29"/>
      <c r="M1839" s="29"/>
      <c r="N1839" s="29"/>
      <c r="O1839" s="29"/>
      <c r="P1839" s="30">
        <f t="shared" ref="P1839:P1850" si="1593">SUM(J1839:O1839)</f>
        <v>0</v>
      </c>
      <c r="Q1839" s="31">
        <f t="shared" si="1592"/>
        <v>0</v>
      </c>
    </row>
    <row r="1840" spans="1:17" x14ac:dyDescent="0.2">
      <c r="A1840" s="10"/>
      <c r="B1840" s="26"/>
      <c r="C1840" s="11">
        <v>1984</v>
      </c>
      <c r="D1840" s="32">
        <f>SPFI_CLB14!$D$7</f>
        <v>0.92793599999999998</v>
      </c>
      <c r="E1840" s="32"/>
      <c r="F1840" s="32"/>
      <c r="G1840" s="32"/>
      <c r="H1840" s="32"/>
      <c r="I1840" s="32"/>
      <c r="J1840" s="28">
        <f t="shared" si="1591"/>
        <v>0</v>
      </c>
      <c r="K1840" s="29"/>
      <c r="L1840" s="29"/>
      <c r="M1840" s="29"/>
      <c r="N1840" s="29"/>
      <c r="O1840" s="29"/>
      <c r="P1840" s="30">
        <f t="shared" si="1593"/>
        <v>0</v>
      </c>
      <c r="Q1840" s="31">
        <f t="shared" si="1592"/>
        <v>0</v>
      </c>
    </row>
    <row r="1841" spans="1:17" x14ac:dyDescent="0.2">
      <c r="A1841" s="10"/>
      <c r="B1841" s="26"/>
      <c r="C1841" s="11">
        <v>1985</v>
      </c>
      <c r="D1841" s="32">
        <f>SPFI_CLB14!$D$8</f>
        <v>0.90386500000000003</v>
      </c>
      <c r="E1841" s="32"/>
      <c r="F1841" s="32"/>
      <c r="G1841" s="32"/>
      <c r="H1841" s="32"/>
      <c r="I1841" s="32"/>
      <c r="J1841" s="28">
        <f t="shared" si="1591"/>
        <v>0</v>
      </c>
      <c r="K1841" s="29"/>
      <c r="L1841" s="29"/>
      <c r="M1841" s="29"/>
      <c r="N1841" s="29"/>
      <c r="O1841" s="29"/>
      <c r="P1841" s="30">
        <f t="shared" si="1593"/>
        <v>0</v>
      </c>
      <c r="Q1841" s="31">
        <f t="shared" si="1592"/>
        <v>0</v>
      </c>
    </row>
    <row r="1842" spans="1:17" x14ac:dyDescent="0.2">
      <c r="A1842" s="10"/>
      <c r="B1842" s="26"/>
      <c r="C1842" s="11">
        <v>1986</v>
      </c>
      <c r="D1842" s="32">
        <f>SPFI_CLB14!$D$9</f>
        <v>0.73087500000000005</v>
      </c>
      <c r="E1842" s="32"/>
      <c r="F1842" s="32"/>
      <c r="G1842" s="32"/>
      <c r="H1842" s="32"/>
      <c r="I1842" s="32"/>
      <c r="J1842" s="28">
        <f t="shared" si="1591"/>
        <v>0</v>
      </c>
      <c r="K1842" s="29"/>
      <c r="L1842" s="29"/>
      <c r="M1842" s="29"/>
      <c r="N1842" s="29"/>
      <c r="O1842" s="29"/>
      <c r="P1842" s="30">
        <f t="shared" si="1593"/>
        <v>0</v>
      </c>
      <c r="Q1842" s="31">
        <f t="shared" si="1592"/>
        <v>0</v>
      </c>
    </row>
    <row r="1843" spans="1:17" x14ac:dyDescent="0.2">
      <c r="A1843" s="10"/>
      <c r="B1843" s="26"/>
      <c r="C1843" s="11">
        <v>1987</v>
      </c>
      <c r="D1843" s="32">
        <f>SPFI_CLB14!$D$10</f>
        <v>0.71733499999999994</v>
      </c>
      <c r="E1843" s="32"/>
      <c r="F1843" s="32"/>
      <c r="G1843" s="32"/>
      <c r="H1843" s="32"/>
      <c r="I1843" s="32"/>
      <c r="J1843" s="28">
        <f t="shared" si="1591"/>
        <v>0</v>
      </c>
      <c r="K1843" s="29"/>
      <c r="L1843" s="29"/>
      <c r="M1843" s="29"/>
      <c r="N1843" s="29"/>
      <c r="O1843" s="29"/>
      <c r="P1843" s="30">
        <f t="shared" si="1593"/>
        <v>0</v>
      </c>
      <c r="Q1843" s="31">
        <f t="shared" si="1592"/>
        <v>0</v>
      </c>
    </row>
    <row r="1844" spans="1:17" x14ac:dyDescent="0.2">
      <c r="A1844" s="10"/>
      <c r="B1844" s="26"/>
      <c r="C1844" s="11">
        <v>1988</v>
      </c>
      <c r="D1844" s="32">
        <f>SPFI_CLB14!$D$11</f>
        <v>0.64558800000000005</v>
      </c>
      <c r="E1844" s="32"/>
      <c r="F1844" s="32"/>
      <c r="G1844" s="32"/>
      <c r="H1844" s="32"/>
      <c r="I1844" s="32"/>
      <c r="J1844" s="28">
        <f t="shared" si="1591"/>
        <v>0</v>
      </c>
      <c r="K1844" s="29"/>
      <c r="L1844" s="29"/>
      <c r="M1844" s="29"/>
      <c r="N1844" s="29"/>
      <c r="O1844" s="29"/>
      <c r="P1844" s="30">
        <f t="shared" si="1593"/>
        <v>0</v>
      </c>
      <c r="Q1844" s="31">
        <f t="shared" si="1592"/>
        <v>0</v>
      </c>
    </row>
    <row r="1845" spans="1:17" x14ac:dyDescent="0.2">
      <c r="A1845" s="10"/>
      <c r="B1845" s="26"/>
      <c r="C1845" s="11">
        <v>1989</v>
      </c>
      <c r="D1845" s="32">
        <f>SPFI_CLB14!$D$12</f>
        <v>0.65287700000000004</v>
      </c>
      <c r="E1845" s="32"/>
      <c r="F1845" s="32"/>
      <c r="G1845" s="32"/>
      <c r="H1845" s="32"/>
      <c r="I1845" s="32"/>
      <c r="J1845" s="28">
        <f t="shared" si="1591"/>
        <v>0</v>
      </c>
      <c r="K1845" s="29"/>
      <c r="L1845" s="29"/>
      <c r="M1845" s="29"/>
      <c r="N1845" s="29"/>
      <c r="O1845" s="29"/>
      <c r="P1845" s="30">
        <f t="shared" si="1593"/>
        <v>0</v>
      </c>
      <c r="Q1845" s="31">
        <f t="shared" si="1592"/>
        <v>0</v>
      </c>
    </row>
    <row r="1846" spans="1:17" x14ac:dyDescent="0.2">
      <c r="A1846" s="10"/>
      <c r="B1846" s="26"/>
      <c r="C1846" s="11">
        <v>1990</v>
      </c>
      <c r="D1846" s="32">
        <f>SPFI_CLB14!$D$13</f>
        <v>0.56965100000000002</v>
      </c>
      <c r="E1846" s="32"/>
      <c r="F1846" s="32"/>
      <c r="G1846" s="32"/>
      <c r="H1846" s="32"/>
      <c r="I1846" s="32"/>
      <c r="J1846" s="28">
        <f t="shared" si="1591"/>
        <v>0</v>
      </c>
      <c r="K1846" s="29"/>
      <c r="L1846" s="29"/>
      <c r="M1846" s="29"/>
      <c r="N1846" s="29"/>
      <c r="O1846" s="29"/>
      <c r="P1846" s="30">
        <f t="shared" si="1593"/>
        <v>0</v>
      </c>
      <c r="Q1846" s="31">
        <f t="shared" si="1592"/>
        <v>0</v>
      </c>
    </row>
    <row r="1847" spans="1:17" x14ac:dyDescent="0.2">
      <c r="A1847" s="10"/>
      <c r="B1847" s="26"/>
      <c r="C1847" s="11">
        <v>1991</v>
      </c>
      <c r="D1847" s="32">
        <f>SPFI_CLB14!$D$14</f>
        <v>0.62776900000000002</v>
      </c>
      <c r="E1847" s="32"/>
      <c r="F1847" s="32"/>
      <c r="G1847" s="32"/>
      <c r="H1847" s="32"/>
      <c r="I1847" s="32"/>
      <c r="J1847" s="28">
        <f t="shared" si="1591"/>
        <v>0</v>
      </c>
      <c r="K1847" s="29"/>
      <c r="L1847" s="29"/>
      <c r="M1847" s="29"/>
      <c r="N1847" s="29"/>
      <c r="O1847" s="29"/>
      <c r="P1847" s="30">
        <f t="shared" si="1593"/>
        <v>0</v>
      </c>
      <c r="Q1847" s="31">
        <f t="shared" si="1592"/>
        <v>0</v>
      </c>
    </row>
    <row r="1848" spans="1:17" x14ac:dyDescent="0.2">
      <c r="A1848" s="10"/>
      <c r="B1848" s="26"/>
      <c r="C1848" s="11">
        <v>1992</v>
      </c>
      <c r="D1848" s="32">
        <f>SPFI_CLB14!$D$15</f>
        <v>0.43504100000000001</v>
      </c>
      <c r="E1848" s="32"/>
      <c r="F1848" s="32"/>
      <c r="G1848" s="32"/>
      <c r="H1848" s="32"/>
      <c r="I1848" s="32"/>
      <c r="J1848" s="28">
        <f t="shared" si="1591"/>
        <v>0</v>
      </c>
      <c r="K1848" s="29"/>
      <c r="L1848" s="29"/>
      <c r="M1848" s="29"/>
      <c r="N1848" s="29"/>
      <c r="O1848" s="29"/>
      <c r="P1848" s="30">
        <f t="shared" si="1593"/>
        <v>0</v>
      </c>
      <c r="Q1848" s="31">
        <f t="shared" si="1592"/>
        <v>0</v>
      </c>
    </row>
    <row r="1849" spans="1:17" x14ac:dyDescent="0.2">
      <c r="A1849" s="10"/>
      <c r="B1849" s="26"/>
      <c r="C1849" s="11">
        <v>1993</v>
      </c>
      <c r="D1849" s="32">
        <f>SPFI_CLB14!$D$16</f>
        <v>0.499164</v>
      </c>
      <c r="E1849" s="32"/>
      <c r="F1849" s="32"/>
      <c r="G1849" s="32"/>
      <c r="H1849" s="32"/>
      <c r="I1849" s="32"/>
      <c r="J1849" s="28">
        <f t="shared" si="1591"/>
        <v>0</v>
      </c>
      <c r="K1849" s="29"/>
      <c r="L1849" s="29"/>
      <c r="M1849" s="29"/>
      <c r="N1849" s="29"/>
      <c r="O1849" s="29"/>
      <c r="P1849" s="30">
        <f t="shared" si="1593"/>
        <v>0</v>
      </c>
      <c r="Q1849" s="31">
        <f t="shared" si="1592"/>
        <v>0</v>
      </c>
    </row>
    <row r="1850" spans="1:17" x14ac:dyDescent="0.2">
      <c r="A1850" s="10"/>
      <c r="B1850" s="26" t="s">
        <v>48</v>
      </c>
      <c r="C1850" s="11">
        <v>1994</v>
      </c>
      <c r="D1850" s="32">
        <f>SPFI_CLB14!$D$17</f>
        <v>0.59591300000000003</v>
      </c>
      <c r="E1850" s="32"/>
      <c r="F1850" s="32"/>
      <c r="G1850" s="32"/>
      <c r="H1850" s="32"/>
      <c r="I1850" s="32"/>
      <c r="J1850" s="28">
        <f t="shared" si="1591"/>
        <v>0</v>
      </c>
      <c r="K1850" s="29"/>
      <c r="L1850" s="29"/>
      <c r="M1850" s="29"/>
      <c r="N1850" s="29"/>
      <c r="O1850" s="29"/>
      <c r="P1850" s="30">
        <f t="shared" si="1593"/>
        <v>0</v>
      </c>
      <c r="Q1850" s="31">
        <f t="shared" si="1592"/>
        <v>0</v>
      </c>
    </row>
    <row r="1851" spans="1:17" x14ac:dyDescent="0.2">
      <c r="A1851" s="10"/>
      <c r="B1851" s="26"/>
      <c r="C1851" s="11">
        <v>1995</v>
      </c>
      <c r="D1851" s="32">
        <f>SPFI_CLB14!$D$18</f>
        <v>0.25400800000000001</v>
      </c>
      <c r="E1851" s="32"/>
      <c r="F1851" s="32"/>
      <c r="G1851" s="32"/>
      <c r="H1851" s="32"/>
      <c r="I1851" s="32"/>
      <c r="J1851" s="28">
        <f t="shared" ref="J1851" si="1594">D1851*J$59</f>
        <v>0</v>
      </c>
      <c r="K1851" s="29"/>
      <c r="L1851" s="29"/>
      <c r="M1851" s="29"/>
      <c r="N1851" s="29"/>
      <c r="O1851" s="29"/>
      <c r="P1851" s="30">
        <f>SUM(J1851:O1851)</f>
        <v>0</v>
      </c>
      <c r="Q1851" s="31">
        <f t="shared" si="1592"/>
        <v>0</v>
      </c>
    </row>
    <row r="1852" spans="1:17" x14ac:dyDescent="0.2">
      <c r="A1852" s="10"/>
      <c r="B1852" s="26"/>
      <c r="C1852" s="11">
        <v>1996</v>
      </c>
      <c r="D1852" s="32">
        <f>SPFI_CLB14!$D$19</f>
        <v>0</v>
      </c>
      <c r="E1852" s="32"/>
      <c r="F1852" s="32"/>
      <c r="G1852" s="32"/>
      <c r="H1852" s="32"/>
      <c r="I1852" s="32"/>
      <c r="J1852" s="28">
        <f t="shared" ref="J1852" si="1595">D1852*J$59</f>
        <v>0</v>
      </c>
      <c r="K1852" s="29"/>
      <c r="L1852" s="29"/>
      <c r="M1852" s="29"/>
      <c r="N1852" s="29"/>
      <c r="O1852" s="29"/>
      <c r="P1852" s="30">
        <f>SUM(J1852:O1852)</f>
        <v>0</v>
      </c>
      <c r="Q1852" s="31">
        <f t="shared" si="1592"/>
        <v>0</v>
      </c>
    </row>
    <row r="1853" spans="1:17" x14ac:dyDescent="0.2">
      <c r="A1853" s="10"/>
      <c r="B1853" s="26"/>
      <c r="C1853" s="11">
        <v>1997</v>
      </c>
      <c r="D1853" s="32">
        <f>SPFI_CLB14!$D$20</f>
        <v>0.201487</v>
      </c>
      <c r="E1853" s="32"/>
      <c r="F1853" s="32"/>
      <c r="G1853" s="32"/>
      <c r="H1853" s="32"/>
      <c r="I1853" s="32"/>
      <c r="J1853" s="28">
        <f t="shared" ref="J1853" si="1596">D1853*J$59</f>
        <v>0</v>
      </c>
      <c r="K1853" s="29"/>
      <c r="L1853" s="29"/>
      <c r="M1853" s="29"/>
      <c r="N1853" s="29"/>
      <c r="O1853" s="29"/>
      <c r="P1853" s="30">
        <f>SUM(J1853:O1853)</f>
        <v>0</v>
      </c>
      <c r="Q1853" s="31">
        <f t="shared" si="1592"/>
        <v>0</v>
      </c>
    </row>
    <row r="1854" spans="1:17" x14ac:dyDescent="0.2">
      <c r="A1854" s="10"/>
      <c r="B1854" s="26"/>
      <c r="C1854" s="11">
        <v>1998</v>
      </c>
      <c r="D1854" s="32">
        <f>SPFI_CLB14!$D$21</f>
        <v>0.37506400000000001</v>
      </c>
      <c r="E1854" s="32"/>
      <c r="F1854" s="32"/>
      <c r="G1854" s="32"/>
      <c r="H1854" s="32"/>
      <c r="I1854" s="32"/>
      <c r="J1854" s="28">
        <f t="shared" ref="J1854" si="1597">D1854*J$59</f>
        <v>0</v>
      </c>
      <c r="K1854" s="29"/>
      <c r="L1854" s="29"/>
      <c r="M1854" s="29"/>
      <c r="N1854" s="29"/>
      <c r="O1854" s="29"/>
      <c r="P1854" s="30">
        <f>SUM(J1854:O1854)</f>
        <v>0</v>
      </c>
      <c r="Q1854" s="31">
        <f t="shared" si="1592"/>
        <v>0</v>
      </c>
    </row>
    <row r="1855" spans="1:17" x14ac:dyDescent="0.2">
      <c r="A1855" s="10"/>
      <c r="B1855" s="26"/>
      <c r="C1855" s="11">
        <v>1999</v>
      </c>
      <c r="D1855" s="32">
        <f>SPFI_CLB14!$D$22</f>
        <v>0.29823699999999997</v>
      </c>
      <c r="E1855" s="32"/>
      <c r="F1855" s="32"/>
      <c r="G1855" s="32"/>
      <c r="H1855" s="32"/>
      <c r="I1855" s="32"/>
      <c r="J1855" s="28">
        <f t="shared" ref="J1855" si="1598">D1855*J$59</f>
        <v>0</v>
      </c>
      <c r="K1855" s="29"/>
      <c r="L1855" s="29"/>
      <c r="M1855" s="29"/>
      <c r="N1855" s="29"/>
      <c r="O1855" s="29"/>
      <c r="P1855" s="30">
        <f>SUM(J1855:O1855)</f>
        <v>0</v>
      </c>
      <c r="Q1855" s="31">
        <f t="shared" ref="Q1855:Q1860" si="1599">IF(C$59&gt;0,P1855/C$59,0)</f>
        <v>0</v>
      </c>
    </row>
    <row r="1856" spans="1:17" x14ac:dyDescent="0.2">
      <c r="A1856" s="10"/>
      <c r="B1856" s="26"/>
      <c r="C1856" s="11">
        <v>2000</v>
      </c>
      <c r="D1856" s="32">
        <f>SPFI_CLB14!$D$23</f>
        <v>8.4414000000000003E-2</v>
      </c>
      <c r="E1856" s="32"/>
      <c r="F1856" s="32"/>
      <c r="G1856" s="32"/>
      <c r="H1856" s="32"/>
      <c r="I1856" s="32"/>
      <c r="J1856" s="28">
        <f t="shared" ref="J1856" si="1600">D1856*J$59</f>
        <v>0</v>
      </c>
      <c r="K1856" s="29"/>
      <c r="L1856" s="29"/>
      <c r="M1856" s="29"/>
      <c r="N1856" s="29"/>
      <c r="O1856" s="29"/>
      <c r="P1856" s="30">
        <f t="shared" ref="P1856:P1861" si="1601">SUM(J1856:O1856)</f>
        <v>0</v>
      </c>
      <c r="Q1856" s="31">
        <f t="shared" si="1599"/>
        <v>0</v>
      </c>
    </row>
    <row r="1857" spans="1:17" x14ac:dyDescent="0.2">
      <c r="A1857" s="10"/>
      <c r="B1857" s="26"/>
      <c r="C1857" s="11">
        <v>2001</v>
      </c>
      <c r="D1857" s="32">
        <f>SPFI_CLB14!$D$24</f>
        <v>7.8909000000000007E-2</v>
      </c>
      <c r="E1857" s="32"/>
      <c r="F1857" s="32"/>
      <c r="G1857" s="32"/>
      <c r="H1857" s="32"/>
      <c r="I1857" s="32"/>
      <c r="J1857" s="28">
        <f t="shared" ref="J1857" si="1602">D1857*J$59</f>
        <v>0</v>
      </c>
      <c r="K1857" s="29"/>
      <c r="L1857" s="29"/>
      <c r="M1857" s="29"/>
      <c r="N1857" s="29"/>
      <c r="O1857" s="29"/>
      <c r="P1857" s="30">
        <f t="shared" si="1601"/>
        <v>0</v>
      </c>
      <c r="Q1857" s="31">
        <f t="shared" si="1599"/>
        <v>0</v>
      </c>
    </row>
    <row r="1858" spans="1:17" x14ac:dyDescent="0.2">
      <c r="A1858" s="10"/>
      <c r="B1858" s="26"/>
      <c r="C1858" s="11">
        <v>2002</v>
      </c>
      <c r="D1858" s="32">
        <f>SPFI_CLB14!$D$25</f>
        <v>0.29974699999999999</v>
      </c>
      <c r="E1858" s="32"/>
      <c r="F1858" s="32"/>
      <c r="G1858" s="32"/>
      <c r="H1858" s="32"/>
      <c r="I1858" s="32"/>
      <c r="J1858" s="28">
        <f t="shared" ref="J1858" si="1603">D1858*J$59</f>
        <v>0</v>
      </c>
      <c r="K1858" s="29"/>
      <c r="L1858" s="29"/>
      <c r="M1858" s="29"/>
      <c r="N1858" s="29"/>
      <c r="O1858" s="29"/>
      <c r="P1858" s="30">
        <f t="shared" si="1601"/>
        <v>0</v>
      </c>
      <c r="Q1858" s="31">
        <f t="shared" si="1599"/>
        <v>0</v>
      </c>
    </row>
    <row r="1859" spans="1:17" x14ac:dyDescent="0.2">
      <c r="A1859" s="10"/>
      <c r="B1859" s="26"/>
      <c r="C1859" s="11">
        <v>2003</v>
      </c>
      <c r="D1859" s="32">
        <f>SPFI_CLB14!$D$26</f>
        <v>0.20691100000000001</v>
      </c>
      <c r="E1859" s="32"/>
      <c r="F1859" s="32"/>
      <c r="G1859" s="32"/>
      <c r="H1859" s="32"/>
      <c r="I1859" s="32"/>
      <c r="J1859" s="28">
        <f t="shared" ref="J1859" si="1604">D1859*J$59</f>
        <v>0</v>
      </c>
      <c r="K1859" s="29"/>
      <c r="L1859" s="29"/>
      <c r="M1859" s="29"/>
      <c r="N1859" s="29"/>
      <c r="O1859" s="29"/>
      <c r="P1859" s="30">
        <f t="shared" si="1601"/>
        <v>0</v>
      </c>
      <c r="Q1859" s="31">
        <f t="shared" si="1599"/>
        <v>0</v>
      </c>
    </row>
    <row r="1860" spans="1:17" x14ac:dyDescent="0.2">
      <c r="A1860" s="10"/>
      <c r="B1860" s="26"/>
      <c r="C1860" s="11">
        <v>2004</v>
      </c>
      <c r="D1860" s="32">
        <f>SPFI_CLB14!$D$27</f>
        <v>0.269237</v>
      </c>
      <c r="E1860" s="32"/>
      <c r="F1860" s="32"/>
      <c r="G1860" s="32"/>
      <c r="H1860" s="32"/>
      <c r="I1860" s="32"/>
      <c r="J1860" s="28">
        <f t="shared" ref="J1860" si="1605">D1860*J$59</f>
        <v>0</v>
      </c>
      <c r="K1860" s="29"/>
      <c r="L1860" s="29"/>
      <c r="M1860" s="29"/>
      <c r="N1860" s="29"/>
      <c r="O1860" s="29"/>
      <c r="P1860" s="30">
        <f t="shared" si="1601"/>
        <v>0</v>
      </c>
      <c r="Q1860" s="31">
        <f t="shared" si="1599"/>
        <v>0</v>
      </c>
    </row>
    <row r="1861" spans="1:17" x14ac:dyDescent="0.2">
      <c r="A1861" s="10"/>
      <c r="B1861" s="26"/>
      <c r="C1861" s="11">
        <v>2005</v>
      </c>
      <c r="D1861" s="32">
        <f>SPFI_CLB14!$D$28</f>
        <v>0.37848700000000002</v>
      </c>
      <c r="E1861" s="32"/>
      <c r="F1861" s="32"/>
      <c r="G1861" s="32"/>
      <c r="H1861" s="32"/>
      <c r="I1861" s="32"/>
      <c r="J1861" s="28">
        <f t="shared" ref="J1861" si="1606">D1861*J$59</f>
        <v>0</v>
      </c>
      <c r="K1861" s="29"/>
      <c r="L1861" s="29"/>
      <c r="M1861" s="29"/>
      <c r="N1861" s="29"/>
      <c r="O1861" s="29"/>
      <c r="P1861" s="30">
        <f t="shared" si="1601"/>
        <v>0</v>
      </c>
      <c r="Q1861" s="31">
        <f t="shared" ref="Q1861:Q1866" si="1607">IF(C$59&gt;0,P1861/C$59,0)</f>
        <v>0</v>
      </c>
    </row>
    <row r="1862" spans="1:17" x14ac:dyDescent="0.2">
      <c r="A1862" s="10"/>
      <c r="B1862" s="26"/>
      <c r="C1862" s="11">
        <v>2006</v>
      </c>
      <c r="D1862" s="32">
        <f>SPFI_CLB14!$D$29</f>
        <v>0.381023</v>
      </c>
      <c r="E1862" s="32"/>
      <c r="F1862" s="32"/>
      <c r="G1862" s="32"/>
      <c r="H1862" s="32"/>
      <c r="I1862" s="32"/>
      <c r="J1862" s="28">
        <f t="shared" ref="J1862" si="1608">D1862*J$59</f>
        <v>0</v>
      </c>
      <c r="K1862" s="29"/>
      <c r="L1862" s="29"/>
      <c r="M1862" s="29"/>
      <c r="N1862" s="29"/>
      <c r="O1862" s="29"/>
      <c r="P1862" s="30">
        <f t="shared" ref="P1862:P1869" si="1609">SUM(J1862:O1862)</f>
        <v>0</v>
      </c>
      <c r="Q1862" s="31">
        <f t="shared" si="1607"/>
        <v>0</v>
      </c>
    </row>
    <row r="1863" spans="1:17" x14ac:dyDescent="0.2">
      <c r="A1863" s="10"/>
      <c r="B1863" s="26"/>
      <c r="C1863" s="11">
        <v>2007</v>
      </c>
      <c r="D1863" s="32">
        <f>SPFI_CLB14!$D$30</f>
        <v>0.356512</v>
      </c>
      <c r="E1863" s="32"/>
      <c r="F1863" s="32"/>
      <c r="G1863" s="32"/>
      <c r="H1863" s="32"/>
      <c r="I1863" s="32"/>
      <c r="J1863" s="28">
        <f t="shared" ref="J1863" si="1610">D1863*J$59</f>
        <v>0</v>
      </c>
      <c r="K1863" s="29"/>
      <c r="L1863" s="29"/>
      <c r="M1863" s="29"/>
      <c r="N1863" s="29"/>
      <c r="O1863" s="29"/>
      <c r="P1863" s="30">
        <f t="shared" si="1609"/>
        <v>0</v>
      </c>
      <c r="Q1863" s="31">
        <f t="shared" si="1607"/>
        <v>0</v>
      </c>
    </row>
    <row r="1864" spans="1:17" x14ac:dyDescent="0.2">
      <c r="A1864" s="10"/>
      <c r="B1864" s="26"/>
      <c r="C1864" s="11">
        <v>2008</v>
      </c>
      <c r="D1864" s="32">
        <f>SPFI_CLB14!$D$31</f>
        <v>0.25494499999999998</v>
      </c>
      <c r="E1864" s="32"/>
      <c r="F1864" s="32"/>
      <c r="G1864" s="32"/>
      <c r="H1864" s="32"/>
      <c r="I1864" s="32"/>
      <c r="J1864" s="28">
        <f t="shared" ref="J1864" si="1611">D1864*J$59</f>
        <v>0</v>
      </c>
      <c r="K1864" s="29"/>
      <c r="L1864" s="29"/>
      <c r="M1864" s="29"/>
      <c r="N1864" s="29"/>
      <c r="O1864" s="29"/>
      <c r="P1864" s="30">
        <f t="shared" si="1609"/>
        <v>0</v>
      </c>
      <c r="Q1864" s="31">
        <f t="shared" si="1607"/>
        <v>0</v>
      </c>
    </row>
    <row r="1865" spans="1:17" x14ac:dyDescent="0.2">
      <c r="A1865" s="10"/>
      <c r="B1865" s="26"/>
      <c r="C1865" s="11">
        <v>2009</v>
      </c>
      <c r="D1865" s="32">
        <f>SPFI_CLB14!$D$32</f>
        <v>0.52383000000000002</v>
      </c>
      <c r="E1865" s="32"/>
      <c r="F1865" s="32"/>
      <c r="G1865" s="32"/>
      <c r="H1865" s="32"/>
      <c r="I1865" s="32"/>
      <c r="J1865" s="28">
        <f t="shared" ref="J1865" si="1612">D1865*J$59</f>
        <v>0</v>
      </c>
      <c r="K1865" s="29"/>
      <c r="L1865" s="29"/>
      <c r="M1865" s="29"/>
      <c r="N1865" s="29"/>
      <c r="O1865" s="29"/>
      <c r="P1865" s="30">
        <f t="shared" si="1609"/>
        <v>0</v>
      </c>
      <c r="Q1865" s="31">
        <f t="shared" si="1607"/>
        <v>0</v>
      </c>
    </row>
    <row r="1866" spans="1:17" x14ac:dyDescent="0.2">
      <c r="A1866" s="10"/>
      <c r="B1866" s="26"/>
      <c r="C1866" s="11">
        <v>2010</v>
      </c>
      <c r="D1866" s="32">
        <f>SPFI_CLB14!$D$33</f>
        <v>0.31394</v>
      </c>
      <c r="E1866" s="32"/>
      <c r="F1866" s="32"/>
      <c r="G1866" s="32"/>
      <c r="H1866" s="32"/>
      <c r="I1866" s="32"/>
      <c r="J1866" s="28">
        <f t="shared" ref="J1866" si="1613">D1866*J$59</f>
        <v>0</v>
      </c>
      <c r="K1866" s="29"/>
      <c r="L1866" s="29"/>
      <c r="M1866" s="29"/>
      <c r="N1866" s="29"/>
      <c r="O1866" s="29"/>
      <c r="P1866" s="30">
        <f t="shared" si="1609"/>
        <v>0</v>
      </c>
      <c r="Q1866" s="31">
        <f t="shared" si="1607"/>
        <v>0</v>
      </c>
    </row>
    <row r="1867" spans="1:17" x14ac:dyDescent="0.2">
      <c r="A1867" s="10"/>
      <c r="B1867" s="26"/>
      <c r="C1867" s="11">
        <v>2011</v>
      </c>
      <c r="D1867" s="32">
        <f>SPFI_CLB14!$D$34</f>
        <v>0.294348</v>
      </c>
      <c r="E1867" s="32"/>
      <c r="F1867" s="32"/>
      <c r="G1867" s="32"/>
      <c r="H1867" s="32"/>
      <c r="I1867" s="32"/>
      <c r="J1867" s="28">
        <f t="shared" ref="J1867" si="1614">D1867*J$59</f>
        <v>0</v>
      </c>
      <c r="K1867" s="29"/>
      <c r="L1867" s="29"/>
      <c r="M1867" s="29"/>
      <c r="N1867" s="29"/>
      <c r="O1867" s="29"/>
      <c r="P1867" s="30">
        <f t="shared" ref="P1867" si="1615">SUM(J1867:O1867)</f>
        <v>0</v>
      </c>
      <c r="Q1867" s="31">
        <f t="shared" ref="Q1867" si="1616">IF(C$59&gt;0,P1867/C$59,0)</f>
        <v>0</v>
      </c>
    </row>
    <row r="1868" spans="1:17" x14ac:dyDescent="0.2">
      <c r="A1868" s="10"/>
      <c r="B1868" s="26"/>
      <c r="C1868" s="11">
        <v>2012</v>
      </c>
      <c r="D1868" s="32">
        <f>SPFI_CLB14!$D$35</f>
        <v>0.34784100000000001</v>
      </c>
      <c r="E1868" s="32"/>
      <c r="F1868" s="32"/>
      <c r="G1868" s="32"/>
      <c r="H1868" s="32"/>
      <c r="I1868" s="32"/>
      <c r="J1868" s="28">
        <f t="shared" ref="J1868" si="1617">D1868*J$59</f>
        <v>0</v>
      </c>
      <c r="K1868" s="29"/>
      <c r="L1868" s="29"/>
      <c r="M1868" s="29"/>
      <c r="N1868" s="29"/>
      <c r="O1868" s="29"/>
      <c r="P1868" s="30">
        <f t="shared" ref="P1868" si="1618">SUM(J1868:O1868)</f>
        <v>0</v>
      </c>
      <c r="Q1868" s="31">
        <f t="shared" ref="Q1868" si="1619">IF(C$59&gt;0,P1868/C$59,0)</f>
        <v>0</v>
      </c>
    </row>
    <row r="1869" spans="1:17" x14ac:dyDescent="0.2">
      <c r="A1869" s="5" t="s">
        <v>20</v>
      </c>
      <c r="B1869" s="21">
        <v>2</v>
      </c>
      <c r="C1869" s="6">
        <v>1982</v>
      </c>
      <c r="D1869" s="27">
        <f>SPFI_CLB14!$D$5</f>
        <v>0.98153299999999999</v>
      </c>
      <c r="E1869" s="27"/>
      <c r="F1869" s="27"/>
      <c r="G1869" s="27"/>
      <c r="H1869" s="27"/>
      <c r="I1869" s="27"/>
      <c r="J1869" s="33">
        <f t="shared" ref="J1869:J1881" si="1620">D1869*J$60</f>
        <v>0</v>
      </c>
      <c r="K1869" s="27"/>
      <c r="L1869" s="27"/>
      <c r="M1869" s="27"/>
      <c r="N1869" s="27"/>
      <c r="O1869" s="27"/>
      <c r="P1869" s="34">
        <f t="shared" si="1609"/>
        <v>0</v>
      </c>
      <c r="Q1869" s="35">
        <f t="shared" ref="Q1869:Q1885" si="1621">IF(C$60&gt;0,P1869/C$60,0)</f>
        <v>0</v>
      </c>
    </row>
    <row r="1870" spans="1:17" x14ac:dyDescent="0.2">
      <c r="A1870" s="10"/>
      <c r="B1870" s="26"/>
      <c r="C1870" s="11">
        <v>1983</v>
      </c>
      <c r="D1870" s="32">
        <f>SPFI_CLB14!$D$6</f>
        <v>0.93659899999999996</v>
      </c>
      <c r="E1870" s="32"/>
      <c r="F1870" s="32"/>
      <c r="G1870" s="32"/>
      <c r="H1870" s="32"/>
      <c r="I1870" s="32"/>
      <c r="J1870" s="28">
        <f t="shared" si="1620"/>
        <v>0</v>
      </c>
      <c r="K1870" s="29"/>
      <c r="L1870" s="29"/>
      <c r="M1870" s="29"/>
      <c r="N1870" s="29"/>
      <c r="O1870" s="29"/>
      <c r="P1870" s="30">
        <f t="shared" ref="P1870:P1881" si="1622">SUM(J1870:O1870)</f>
        <v>0</v>
      </c>
      <c r="Q1870" s="31">
        <f t="shared" si="1621"/>
        <v>0</v>
      </c>
    </row>
    <row r="1871" spans="1:17" x14ac:dyDescent="0.2">
      <c r="A1871" s="10"/>
      <c r="B1871" s="26"/>
      <c r="C1871" s="11">
        <v>1984</v>
      </c>
      <c r="D1871" s="32">
        <f>SPFI_CLB14!$D$7</f>
        <v>0.92793599999999998</v>
      </c>
      <c r="E1871" s="32"/>
      <c r="F1871" s="32"/>
      <c r="G1871" s="32"/>
      <c r="H1871" s="32"/>
      <c r="I1871" s="32"/>
      <c r="J1871" s="28">
        <f t="shared" si="1620"/>
        <v>0</v>
      </c>
      <c r="K1871" s="29"/>
      <c r="L1871" s="29"/>
      <c r="M1871" s="29"/>
      <c r="N1871" s="29"/>
      <c r="O1871" s="29"/>
      <c r="P1871" s="30">
        <f t="shared" si="1622"/>
        <v>0</v>
      </c>
      <c r="Q1871" s="31">
        <f t="shared" si="1621"/>
        <v>0</v>
      </c>
    </row>
    <row r="1872" spans="1:17" x14ac:dyDescent="0.2">
      <c r="A1872" s="10"/>
      <c r="B1872" s="26"/>
      <c r="C1872" s="11">
        <v>1985</v>
      </c>
      <c r="D1872" s="32">
        <f>SPFI_CLB14!$D$8</f>
        <v>0.90386500000000003</v>
      </c>
      <c r="E1872" s="32"/>
      <c r="F1872" s="32"/>
      <c r="G1872" s="32"/>
      <c r="H1872" s="32"/>
      <c r="I1872" s="32"/>
      <c r="J1872" s="28">
        <f t="shared" si="1620"/>
        <v>0</v>
      </c>
      <c r="K1872" s="29"/>
      <c r="L1872" s="29"/>
      <c r="M1872" s="29"/>
      <c r="N1872" s="29"/>
      <c r="O1872" s="29"/>
      <c r="P1872" s="30">
        <f t="shared" si="1622"/>
        <v>0</v>
      </c>
      <c r="Q1872" s="31">
        <f t="shared" si="1621"/>
        <v>0</v>
      </c>
    </row>
    <row r="1873" spans="1:17" x14ac:dyDescent="0.2">
      <c r="A1873" s="10"/>
      <c r="B1873" s="26"/>
      <c r="C1873" s="11">
        <v>1986</v>
      </c>
      <c r="D1873" s="32">
        <f>SPFI_CLB14!$D$9</f>
        <v>0.73087500000000005</v>
      </c>
      <c r="E1873" s="32"/>
      <c r="F1873" s="32"/>
      <c r="G1873" s="32"/>
      <c r="H1873" s="32"/>
      <c r="I1873" s="32"/>
      <c r="J1873" s="28">
        <f t="shared" si="1620"/>
        <v>0</v>
      </c>
      <c r="K1873" s="29"/>
      <c r="L1873" s="29"/>
      <c r="M1873" s="29"/>
      <c r="N1873" s="29"/>
      <c r="O1873" s="29"/>
      <c r="P1873" s="30">
        <f t="shared" si="1622"/>
        <v>0</v>
      </c>
      <c r="Q1873" s="31">
        <f t="shared" si="1621"/>
        <v>0</v>
      </c>
    </row>
    <row r="1874" spans="1:17" x14ac:dyDescent="0.2">
      <c r="A1874" s="10"/>
      <c r="B1874" s="26"/>
      <c r="C1874" s="11">
        <v>1987</v>
      </c>
      <c r="D1874" s="32">
        <f>SPFI_CLB14!$D$10</f>
        <v>0.71733499999999994</v>
      </c>
      <c r="E1874" s="32"/>
      <c r="F1874" s="32"/>
      <c r="G1874" s="32"/>
      <c r="H1874" s="32"/>
      <c r="I1874" s="32"/>
      <c r="J1874" s="28">
        <f t="shared" si="1620"/>
        <v>0</v>
      </c>
      <c r="K1874" s="29"/>
      <c r="L1874" s="29"/>
      <c r="M1874" s="29"/>
      <c r="N1874" s="29"/>
      <c r="O1874" s="29"/>
      <c r="P1874" s="30">
        <f t="shared" si="1622"/>
        <v>0</v>
      </c>
      <c r="Q1874" s="31">
        <f t="shared" si="1621"/>
        <v>0</v>
      </c>
    </row>
    <row r="1875" spans="1:17" x14ac:dyDescent="0.2">
      <c r="A1875" s="10"/>
      <c r="B1875" s="26"/>
      <c r="C1875" s="11">
        <v>1988</v>
      </c>
      <c r="D1875" s="32">
        <f>SPFI_CLB14!$D$11</f>
        <v>0.64558800000000005</v>
      </c>
      <c r="E1875" s="32"/>
      <c r="F1875" s="32"/>
      <c r="G1875" s="32"/>
      <c r="H1875" s="32"/>
      <c r="I1875" s="32"/>
      <c r="J1875" s="28">
        <f t="shared" si="1620"/>
        <v>0</v>
      </c>
      <c r="K1875" s="29"/>
      <c r="L1875" s="29"/>
      <c r="M1875" s="29"/>
      <c r="N1875" s="29"/>
      <c r="O1875" s="29"/>
      <c r="P1875" s="30">
        <f t="shared" si="1622"/>
        <v>0</v>
      </c>
      <c r="Q1875" s="31">
        <f t="shared" si="1621"/>
        <v>0</v>
      </c>
    </row>
    <row r="1876" spans="1:17" x14ac:dyDescent="0.2">
      <c r="A1876" s="10"/>
      <c r="B1876" s="26"/>
      <c r="C1876" s="11">
        <v>1989</v>
      </c>
      <c r="D1876" s="32">
        <f>SPFI_CLB14!$D$12</f>
        <v>0.65287700000000004</v>
      </c>
      <c r="E1876" s="32"/>
      <c r="F1876" s="32"/>
      <c r="G1876" s="32"/>
      <c r="H1876" s="32"/>
      <c r="I1876" s="32"/>
      <c r="J1876" s="28">
        <f t="shared" si="1620"/>
        <v>0</v>
      </c>
      <c r="K1876" s="29"/>
      <c r="L1876" s="29"/>
      <c r="M1876" s="29"/>
      <c r="N1876" s="29"/>
      <c r="O1876" s="29"/>
      <c r="P1876" s="30">
        <f t="shared" si="1622"/>
        <v>0</v>
      </c>
      <c r="Q1876" s="31">
        <f t="shared" si="1621"/>
        <v>0</v>
      </c>
    </row>
    <row r="1877" spans="1:17" x14ac:dyDescent="0.2">
      <c r="A1877" s="10"/>
      <c r="B1877" s="26"/>
      <c r="C1877" s="11">
        <v>1990</v>
      </c>
      <c r="D1877" s="32">
        <f>SPFI_CLB14!$D$13</f>
        <v>0.56965100000000002</v>
      </c>
      <c r="E1877" s="32"/>
      <c r="F1877" s="32"/>
      <c r="G1877" s="32"/>
      <c r="H1877" s="32"/>
      <c r="I1877" s="32"/>
      <c r="J1877" s="28">
        <f t="shared" si="1620"/>
        <v>0</v>
      </c>
      <c r="K1877" s="29"/>
      <c r="L1877" s="29"/>
      <c r="M1877" s="29"/>
      <c r="N1877" s="29"/>
      <c r="O1877" s="29"/>
      <c r="P1877" s="30">
        <f t="shared" si="1622"/>
        <v>0</v>
      </c>
      <c r="Q1877" s="31">
        <f t="shared" si="1621"/>
        <v>0</v>
      </c>
    </row>
    <row r="1878" spans="1:17" x14ac:dyDescent="0.2">
      <c r="A1878" s="10"/>
      <c r="B1878" s="26"/>
      <c r="C1878" s="11">
        <v>1991</v>
      </c>
      <c r="D1878" s="32">
        <f>SPFI_CLB14!$D$14</f>
        <v>0.62776900000000002</v>
      </c>
      <c r="E1878" s="32"/>
      <c r="F1878" s="32"/>
      <c r="G1878" s="32"/>
      <c r="H1878" s="32"/>
      <c r="I1878" s="32"/>
      <c r="J1878" s="28">
        <f t="shared" si="1620"/>
        <v>0</v>
      </c>
      <c r="K1878" s="29"/>
      <c r="L1878" s="29"/>
      <c r="M1878" s="29"/>
      <c r="N1878" s="29"/>
      <c r="O1878" s="29"/>
      <c r="P1878" s="30">
        <f t="shared" si="1622"/>
        <v>0</v>
      </c>
      <c r="Q1878" s="31">
        <f t="shared" si="1621"/>
        <v>0</v>
      </c>
    </row>
    <row r="1879" spans="1:17" x14ac:dyDescent="0.2">
      <c r="A1879" s="10"/>
      <c r="B1879" s="26"/>
      <c r="C1879" s="11">
        <v>1992</v>
      </c>
      <c r="D1879" s="32">
        <f>SPFI_CLB14!$D$15</f>
        <v>0.43504100000000001</v>
      </c>
      <c r="E1879" s="32"/>
      <c r="F1879" s="32"/>
      <c r="G1879" s="32"/>
      <c r="H1879" s="32"/>
      <c r="I1879" s="32"/>
      <c r="J1879" s="28">
        <f t="shared" si="1620"/>
        <v>0</v>
      </c>
      <c r="K1879" s="29"/>
      <c r="L1879" s="29"/>
      <c r="M1879" s="29"/>
      <c r="N1879" s="29"/>
      <c r="O1879" s="29"/>
      <c r="P1879" s="30">
        <f t="shared" si="1622"/>
        <v>0</v>
      </c>
      <c r="Q1879" s="31">
        <f t="shared" si="1621"/>
        <v>0</v>
      </c>
    </row>
    <row r="1880" spans="1:17" x14ac:dyDescent="0.2">
      <c r="A1880" s="10"/>
      <c r="B1880" s="26"/>
      <c r="C1880" s="11">
        <v>1993</v>
      </c>
      <c r="D1880" s="32">
        <f>SPFI_CLB14!$D$16</f>
        <v>0.499164</v>
      </c>
      <c r="E1880" s="32"/>
      <c r="F1880" s="32"/>
      <c r="G1880" s="32"/>
      <c r="H1880" s="32"/>
      <c r="I1880" s="32"/>
      <c r="J1880" s="28">
        <f t="shared" si="1620"/>
        <v>0</v>
      </c>
      <c r="K1880" s="29"/>
      <c r="L1880" s="29"/>
      <c r="M1880" s="29"/>
      <c r="N1880" s="29"/>
      <c r="O1880" s="29"/>
      <c r="P1880" s="30">
        <f t="shared" si="1622"/>
        <v>0</v>
      </c>
      <c r="Q1880" s="31">
        <f t="shared" si="1621"/>
        <v>0</v>
      </c>
    </row>
    <row r="1881" spans="1:17" x14ac:dyDescent="0.2">
      <c r="A1881" s="10"/>
      <c r="B1881" s="26"/>
      <c r="C1881" s="11">
        <v>1994</v>
      </c>
      <c r="D1881" s="32">
        <f>SPFI_CLB14!$D$17</f>
        <v>0.59591300000000003</v>
      </c>
      <c r="E1881" s="32"/>
      <c r="F1881" s="32"/>
      <c r="G1881" s="32"/>
      <c r="H1881" s="32"/>
      <c r="I1881" s="32"/>
      <c r="J1881" s="28">
        <f t="shared" si="1620"/>
        <v>0</v>
      </c>
      <c r="K1881" s="29"/>
      <c r="L1881" s="29"/>
      <c r="M1881" s="29"/>
      <c r="N1881" s="29"/>
      <c r="O1881" s="29"/>
      <c r="P1881" s="30">
        <f t="shared" si="1622"/>
        <v>0</v>
      </c>
      <c r="Q1881" s="31">
        <f t="shared" si="1621"/>
        <v>0</v>
      </c>
    </row>
    <row r="1882" spans="1:17" x14ac:dyDescent="0.2">
      <c r="A1882" s="10"/>
      <c r="B1882" s="26"/>
      <c r="C1882" s="11">
        <v>1995</v>
      </c>
      <c r="D1882" s="32">
        <f>SPFI_CLB14!$D$18</f>
        <v>0.25400800000000001</v>
      </c>
      <c r="E1882" s="32"/>
      <c r="F1882" s="32"/>
      <c r="G1882" s="32"/>
      <c r="H1882" s="32"/>
      <c r="I1882" s="32"/>
      <c r="J1882" s="28">
        <f t="shared" ref="J1882" si="1623">D1882*J$60</f>
        <v>0</v>
      </c>
      <c r="K1882" s="29"/>
      <c r="L1882" s="29"/>
      <c r="M1882" s="29"/>
      <c r="N1882" s="29"/>
      <c r="O1882" s="29"/>
      <c r="P1882" s="30">
        <f>SUM(J1882:O1882)</f>
        <v>0</v>
      </c>
      <c r="Q1882" s="31">
        <f t="shared" si="1621"/>
        <v>0</v>
      </c>
    </row>
    <row r="1883" spans="1:17" x14ac:dyDescent="0.2">
      <c r="A1883" s="10"/>
      <c r="B1883" s="26"/>
      <c r="C1883" s="11">
        <v>1996</v>
      </c>
      <c r="D1883" s="32">
        <f>SPFI_CLB14!$D$19</f>
        <v>0</v>
      </c>
      <c r="E1883" s="32"/>
      <c r="F1883" s="32"/>
      <c r="G1883" s="32"/>
      <c r="H1883" s="32"/>
      <c r="I1883" s="32"/>
      <c r="J1883" s="28">
        <f t="shared" ref="J1883" si="1624">D1883*J$60</f>
        <v>0</v>
      </c>
      <c r="K1883" s="29"/>
      <c r="L1883" s="29"/>
      <c r="M1883" s="29"/>
      <c r="N1883" s="29"/>
      <c r="O1883" s="29"/>
      <c r="P1883" s="30">
        <f>SUM(J1883:O1883)</f>
        <v>0</v>
      </c>
      <c r="Q1883" s="31">
        <f t="shared" si="1621"/>
        <v>0</v>
      </c>
    </row>
    <row r="1884" spans="1:17" x14ac:dyDescent="0.2">
      <c r="A1884" s="10"/>
      <c r="B1884" s="26"/>
      <c r="C1884" s="11">
        <v>1997</v>
      </c>
      <c r="D1884" s="32">
        <f>SPFI_CLB14!$D$20</f>
        <v>0.201487</v>
      </c>
      <c r="E1884" s="32"/>
      <c r="F1884" s="32"/>
      <c r="G1884" s="32"/>
      <c r="H1884" s="32"/>
      <c r="I1884" s="32"/>
      <c r="J1884" s="28">
        <f t="shared" ref="J1884" si="1625">D1884*J$60</f>
        <v>0</v>
      </c>
      <c r="K1884" s="29"/>
      <c r="L1884" s="29"/>
      <c r="M1884" s="29"/>
      <c r="N1884" s="29"/>
      <c r="O1884" s="29"/>
      <c r="P1884" s="30">
        <f>SUM(J1884:O1884)</f>
        <v>0</v>
      </c>
      <c r="Q1884" s="31">
        <f t="shared" si="1621"/>
        <v>0</v>
      </c>
    </row>
    <row r="1885" spans="1:17" x14ac:dyDescent="0.2">
      <c r="A1885" s="10"/>
      <c r="B1885" s="26"/>
      <c r="C1885" s="11">
        <v>1998</v>
      </c>
      <c r="D1885" s="32">
        <f>SPFI_CLB14!$D$21</f>
        <v>0.37506400000000001</v>
      </c>
      <c r="E1885" s="32"/>
      <c r="F1885" s="32"/>
      <c r="G1885" s="32"/>
      <c r="H1885" s="32"/>
      <c r="I1885" s="32"/>
      <c r="J1885" s="28">
        <f t="shared" ref="J1885" si="1626">D1885*J$60</f>
        <v>0</v>
      </c>
      <c r="K1885" s="29"/>
      <c r="L1885" s="29"/>
      <c r="M1885" s="29"/>
      <c r="N1885" s="29"/>
      <c r="O1885" s="29"/>
      <c r="P1885" s="30">
        <f>SUM(J1885:O1885)</f>
        <v>0</v>
      </c>
      <c r="Q1885" s="31">
        <f t="shared" si="1621"/>
        <v>0</v>
      </c>
    </row>
    <row r="1886" spans="1:17" x14ac:dyDescent="0.2">
      <c r="A1886" s="10"/>
      <c r="B1886" s="26"/>
      <c r="C1886" s="11">
        <v>1999</v>
      </c>
      <c r="D1886" s="32">
        <f>SPFI_CLB14!$D$22</f>
        <v>0.29823699999999997</v>
      </c>
      <c r="E1886" s="32"/>
      <c r="F1886" s="32"/>
      <c r="G1886" s="32"/>
      <c r="H1886" s="32"/>
      <c r="I1886" s="32"/>
      <c r="J1886" s="28">
        <f t="shared" ref="J1886" si="1627">D1886*J$60</f>
        <v>0</v>
      </c>
      <c r="K1886" s="29"/>
      <c r="L1886" s="29"/>
      <c r="M1886" s="29"/>
      <c r="N1886" s="29"/>
      <c r="O1886" s="29"/>
      <c r="P1886" s="30">
        <f>SUM(J1886:O1886)</f>
        <v>0</v>
      </c>
      <c r="Q1886" s="31">
        <f t="shared" ref="Q1886:Q1891" si="1628">IF(C$60&gt;0,P1886/C$60,0)</f>
        <v>0</v>
      </c>
    </row>
    <row r="1887" spans="1:17" x14ac:dyDescent="0.2">
      <c r="A1887" s="10"/>
      <c r="B1887" s="26"/>
      <c r="C1887" s="11">
        <v>2000</v>
      </c>
      <c r="D1887" s="32">
        <f>SPFI_CLB14!$D$23</f>
        <v>8.4414000000000003E-2</v>
      </c>
      <c r="E1887" s="32"/>
      <c r="F1887" s="32"/>
      <c r="G1887" s="32"/>
      <c r="H1887" s="32"/>
      <c r="I1887" s="32"/>
      <c r="J1887" s="28">
        <f t="shared" ref="J1887" si="1629">D1887*J$60</f>
        <v>0</v>
      </c>
      <c r="K1887" s="29"/>
      <c r="L1887" s="29"/>
      <c r="M1887" s="29"/>
      <c r="N1887" s="29"/>
      <c r="O1887" s="29"/>
      <c r="P1887" s="30">
        <f t="shared" ref="P1887:P1892" si="1630">SUM(J1887:O1887)</f>
        <v>0</v>
      </c>
      <c r="Q1887" s="31">
        <f t="shared" si="1628"/>
        <v>0</v>
      </c>
    </row>
    <row r="1888" spans="1:17" x14ac:dyDescent="0.2">
      <c r="A1888" s="10"/>
      <c r="B1888" s="26"/>
      <c r="C1888" s="11">
        <v>2001</v>
      </c>
      <c r="D1888" s="32">
        <f>SPFI_CLB14!$D$24</f>
        <v>7.8909000000000007E-2</v>
      </c>
      <c r="E1888" s="32"/>
      <c r="F1888" s="32"/>
      <c r="G1888" s="32"/>
      <c r="H1888" s="32"/>
      <c r="I1888" s="32"/>
      <c r="J1888" s="28">
        <f t="shared" ref="J1888" si="1631">D1888*J$60</f>
        <v>0</v>
      </c>
      <c r="K1888" s="29"/>
      <c r="L1888" s="29"/>
      <c r="M1888" s="29"/>
      <c r="N1888" s="29"/>
      <c r="O1888" s="29"/>
      <c r="P1888" s="30">
        <f t="shared" si="1630"/>
        <v>0</v>
      </c>
      <c r="Q1888" s="31">
        <f t="shared" si="1628"/>
        <v>0</v>
      </c>
    </row>
    <row r="1889" spans="1:17" x14ac:dyDescent="0.2">
      <c r="A1889" s="10"/>
      <c r="B1889" s="26"/>
      <c r="C1889" s="11">
        <v>2002</v>
      </c>
      <c r="D1889" s="32">
        <f>SPFI_CLB14!$D$25</f>
        <v>0.29974699999999999</v>
      </c>
      <c r="E1889" s="32"/>
      <c r="F1889" s="32"/>
      <c r="G1889" s="32"/>
      <c r="H1889" s="32"/>
      <c r="I1889" s="32"/>
      <c r="J1889" s="28">
        <f t="shared" ref="J1889" si="1632">D1889*J$60</f>
        <v>0</v>
      </c>
      <c r="K1889" s="29"/>
      <c r="L1889" s="29"/>
      <c r="M1889" s="29"/>
      <c r="N1889" s="29"/>
      <c r="O1889" s="29"/>
      <c r="P1889" s="30">
        <f t="shared" si="1630"/>
        <v>0</v>
      </c>
      <c r="Q1889" s="31">
        <f t="shared" si="1628"/>
        <v>0</v>
      </c>
    </row>
    <row r="1890" spans="1:17" x14ac:dyDescent="0.2">
      <c r="A1890" s="10"/>
      <c r="B1890" s="26"/>
      <c r="C1890" s="11">
        <v>2003</v>
      </c>
      <c r="D1890" s="32">
        <f>SPFI_CLB14!$D$26</f>
        <v>0.20691100000000001</v>
      </c>
      <c r="E1890" s="32"/>
      <c r="F1890" s="32"/>
      <c r="G1890" s="32"/>
      <c r="H1890" s="32"/>
      <c r="I1890" s="32"/>
      <c r="J1890" s="28">
        <f t="shared" ref="J1890" si="1633">D1890*J$60</f>
        <v>0</v>
      </c>
      <c r="K1890" s="29"/>
      <c r="L1890" s="29"/>
      <c r="M1890" s="29"/>
      <c r="N1890" s="29"/>
      <c r="O1890" s="29"/>
      <c r="P1890" s="30">
        <f t="shared" si="1630"/>
        <v>0</v>
      </c>
      <c r="Q1890" s="31">
        <f t="shared" si="1628"/>
        <v>0</v>
      </c>
    </row>
    <row r="1891" spans="1:17" x14ac:dyDescent="0.2">
      <c r="A1891" s="10"/>
      <c r="B1891" s="26"/>
      <c r="C1891" s="11">
        <v>2004</v>
      </c>
      <c r="D1891" s="32">
        <f>SPFI_CLB14!$D$27</f>
        <v>0.269237</v>
      </c>
      <c r="E1891" s="32"/>
      <c r="F1891" s="32"/>
      <c r="G1891" s="32"/>
      <c r="H1891" s="32"/>
      <c r="I1891" s="32"/>
      <c r="J1891" s="28">
        <f t="shared" ref="J1891" si="1634">D1891*J$60</f>
        <v>0</v>
      </c>
      <c r="K1891" s="29"/>
      <c r="L1891" s="29"/>
      <c r="M1891" s="29"/>
      <c r="N1891" s="29"/>
      <c r="O1891" s="29"/>
      <c r="P1891" s="30">
        <f t="shared" si="1630"/>
        <v>0</v>
      </c>
      <c r="Q1891" s="31">
        <f t="shared" si="1628"/>
        <v>0</v>
      </c>
    </row>
    <row r="1892" spans="1:17" x14ac:dyDescent="0.2">
      <c r="A1892" s="10"/>
      <c r="B1892" s="26"/>
      <c r="C1892" s="11">
        <v>2005</v>
      </c>
      <c r="D1892" s="32">
        <f>SPFI_CLB14!$D$28</f>
        <v>0.37848700000000002</v>
      </c>
      <c r="E1892" s="32"/>
      <c r="F1892" s="32"/>
      <c r="G1892" s="32"/>
      <c r="H1892" s="32"/>
      <c r="I1892" s="32"/>
      <c r="J1892" s="28">
        <f t="shared" ref="J1892" si="1635">D1892*J$60</f>
        <v>0</v>
      </c>
      <c r="K1892" s="29"/>
      <c r="L1892" s="29"/>
      <c r="M1892" s="29"/>
      <c r="N1892" s="29"/>
      <c r="O1892" s="29"/>
      <c r="P1892" s="30">
        <f t="shared" si="1630"/>
        <v>0</v>
      </c>
      <c r="Q1892" s="31">
        <f t="shared" ref="Q1892:Q1897" si="1636">IF(C$60&gt;0,P1892/C$60,0)</f>
        <v>0</v>
      </c>
    </row>
    <row r="1893" spans="1:17" x14ac:dyDescent="0.2">
      <c r="A1893" s="10"/>
      <c r="B1893" s="26"/>
      <c r="C1893" s="11">
        <v>2006</v>
      </c>
      <c r="D1893" s="32">
        <f>SPFI_CLB14!$D$29</f>
        <v>0.381023</v>
      </c>
      <c r="E1893" s="32"/>
      <c r="F1893" s="32"/>
      <c r="G1893" s="32"/>
      <c r="H1893" s="32"/>
      <c r="I1893" s="32"/>
      <c r="J1893" s="28">
        <f t="shared" ref="J1893" si="1637">D1893*J$60</f>
        <v>0</v>
      </c>
      <c r="K1893" s="29"/>
      <c r="L1893" s="29"/>
      <c r="M1893" s="29"/>
      <c r="N1893" s="29"/>
      <c r="O1893" s="29"/>
      <c r="P1893" s="30">
        <f t="shared" ref="P1893:P1900" si="1638">SUM(J1893:O1893)</f>
        <v>0</v>
      </c>
      <c r="Q1893" s="31">
        <f t="shared" si="1636"/>
        <v>0</v>
      </c>
    </row>
    <row r="1894" spans="1:17" x14ac:dyDescent="0.2">
      <c r="A1894" s="10"/>
      <c r="B1894" s="26"/>
      <c r="C1894" s="11">
        <v>2007</v>
      </c>
      <c r="D1894" s="32">
        <f>SPFI_CLB14!$D$30</f>
        <v>0.356512</v>
      </c>
      <c r="E1894" s="32"/>
      <c r="F1894" s="32"/>
      <c r="G1894" s="32"/>
      <c r="H1894" s="32"/>
      <c r="I1894" s="32"/>
      <c r="J1894" s="28">
        <f t="shared" ref="J1894" si="1639">D1894*J$60</f>
        <v>0</v>
      </c>
      <c r="K1894" s="29"/>
      <c r="L1894" s="29"/>
      <c r="M1894" s="29"/>
      <c r="N1894" s="29"/>
      <c r="O1894" s="29"/>
      <c r="P1894" s="30">
        <f t="shared" si="1638"/>
        <v>0</v>
      </c>
      <c r="Q1894" s="31">
        <f t="shared" si="1636"/>
        <v>0</v>
      </c>
    </row>
    <row r="1895" spans="1:17" x14ac:dyDescent="0.2">
      <c r="A1895" s="10"/>
      <c r="B1895" s="26"/>
      <c r="C1895" s="11">
        <v>2008</v>
      </c>
      <c r="D1895" s="32">
        <f>SPFI_CLB14!$D$31</f>
        <v>0.25494499999999998</v>
      </c>
      <c r="E1895" s="32"/>
      <c r="F1895" s="32"/>
      <c r="G1895" s="32"/>
      <c r="H1895" s="32"/>
      <c r="I1895" s="32"/>
      <c r="J1895" s="28">
        <f t="shared" ref="J1895" si="1640">D1895*J$60</f>
        <v>0</v>
      </c>
      <c r="K1895" s="29"/>
      <c r="L1895" s="29"/>
      <c r="M1895" s="29"/>
      <c r="N1895" s="29"/>
      <c r="O1895" s="29"/>
      <c r="P1895" s="30">
        <f t="shared" si="1638"/>
        <v>0</v>
      </c>
      <c r="Q1895" s="31">
        <f t="shared" si="1636"/>
        <v>0</v>
      </c>
    </row>
    <row r="1896" spans="1:17" x14ac:dyDescent="0.2">
      <c r="A1896" s="10"/>
      <c r="B1896" s="26"/>
      <c r="C1896" s="11">
        <v>2009</v>
      </c>
      <c r="D1896" s="32">
        <f>SPFI_CLB14!$D$32</f>
        <v>0.52383000000000002</v>
      </c>
      <c r="E1896" s="32"/>
      <c r="F1896" s="32"/>
      <c r="G1896" s="32"/>
      <c r="H1896" s="32"/>
      <c r="I1896" s="32"/>
      <c r="J1896" s="28">
        <f t="shared" ref="J1896" si="1641">D1896*J$60</f>
        <v>0</v>
      </c>
      <c r="K1896" s="29"/>
      <c r="L1896" s="29"/>
      <c r="M1896" s="29"/>
      <c r="N1896" s="29"/>
      <c r="O1896" s="29"/>
      <c r="P1896" s="30">
        <f t="shared" si="1638"/>
        <v>0</v>
      </c>
      <c r="Q1896" s="31">
        <f t="shared" si="1636"/>
        <v>0</v>
      </c>
    </row>
    <row r="1897" spans="1:17" x14ac:dyDescent="0.2">
      <c r="A1897" s="10"/>
      <c r="B1897" s="26"/>
      <c r="C1897" s="11">
        <v>2010</v>
      </c>
      <c r="D1897" s="32">
        <f>SPFI_CLB14!$D$33</f>
        <v>0.31394</v>
      </c>
      <c r="E1897" s="32"/>
      <c r="F1897" s="32"/>
      <c r="G1897" s="32"/>
      <c r="H1897" s="32"/>
      <c r="I1897" s="32"/>
      <c r="J1897" s="28">
        <f t="shared" ref="J1897" si="1642">D1897*J$60</f>
        <v>0</v>
      </c>
      <c r="K1897" s="29"/>
      <c r="L1897" s="29"/>
      <c r="M1897" s="29"/>
      <c r="N1897" s="29"/>
      <c r="O1897" s="29"/>
      <c r="P1897" s="30">
        <f t="shared" si="1638"/>
        <v>0</v>
      </c>
      <c r="Q1897" s="31">
        <f t="shared" si="1636"/>
        <v>0</v>
      </c>
    </row>
    <row r="1898" spans="1:17" x14ac:dyDescent="0.2">
      <c r="A1898" s="10"/>
      <c r="B1898" s="26"/>
      <c r="C1898" s="11">
        <v>2011</v>
      </c>
      <c r="D1898" s="32">
        <f>SPFI_CLB14!$D$34</f>
        <v>0.294348</v>
      </c>
      <c r="E1898" s="32"/>
      <c r="F1898" s="32"/>
      <c r="G1898" s="32"/>
      <c r="H1898" s="32"/>
      <c r="I1898" s="32"/>
      <c r="J1898" s="28">
        <f t="shared" ref="J1898" si="1643">D1898*J$60</f>
        <v>0</v>
      </c>
      <c r="K1898" s="29"/>
      <c r="L1898" s="29"/>
      <c r="M1898" s="29"/>
      <c r="N1898" s="29"/>
      <c r="O1898" s="29"/>
      <c r="P1898" s="30">
        <f t="shared" ref="P1898" si="1644">SUM(J1898:O1898)</f>
        <v>0</v>
      </c>
      <c r="Q1898" s="31">
        <f t="shared" ref="Q1898" si="1645">IF(C$60&gt;0,P1898/C$60,0)</f>
        <v>0</v>
      </c>
    </row>
    <row r="1899" spans="1:17" x14ac:dyDescent="0.2">
      <c r="A1899" s="10"/>
      <c r="B1899" s="26"/>
      <c r="C1899" s="11">
        <v>2012</v>
      </c>
      <c r="D1899" s="32">
        <f>SPFI_CLB14!$D$35</f>
        <v>0.34784100000000001</v>
      </c>
      <c r="E1899" s="32"/>
      <c r="F1899" s="32"/>
      <c r="G1899" s="32"/>
      <c r="H1899" s="32"/>
      <c r="I1899" s="32"/>
      <c r="J1899" s="28">
        <f t="shared" ref="J1899" si="1646">D1899*J$60</f>
        <v>0</v>
      </c>
      <c r="K1899" s="29"/>
      <c r="L1899" s="29"/>
      <c r="M1899" s="29"/>
      <c r="N1899" s="29"/>
      <c r="O1899" s="29"/>
      <c r="P1899" s="30">
        <f t="shared" ref="P1899" si="1647">SUM(J1899:O1899)</f>
        <v>0</v>
      </c>
      <c r="Q1899" s="31">
        <f t="shared" ref="Q1899" si="1648">IF(C$60&gt;0,P1899/C$60,0)</f>
        <v>0</v>
      </c>
    </row>
    <row r="1900" spans="1:17" x14ac:dyDescent="0.2">
      <c r="A1900" s="5" t="s">
        <v>20</v>
      </c>
      <c r="B1900" s="21">
        <v>3</v>
      </c>
      <c r="C1900" s="6">
        <v>1982</v>
      </c>
      <c r="D1900" s="27">
        <f>SPFI_CLB14!$D$5</f>
        <v>0.98153299999999999</v>
      </c>
      <c r="E1900" s="27"/>
      <c r="F1900" s="27"/>
      <c r="G1900" s="27"/>
      <c r="H1900" s="27"/>
      <c r="I1900" s="27"/>
      <c r="J1900" s="33">
        <f t="shared" ref="J1900:J1912" si="1649">D1900*J$61</f>
        <v>0</v>
      </c>
      <c r="K1900" s="27"/>
      <c r="L1900" s="27"/>
      <c r="M1900" s="27"/>
      <c r="N1900" s="27"/>
      <c r="O1900" s="27"/>
      <c r="P1900" s="34">
        <f t="shared" si="1638"/>
        <v>0</v>
      </c>
      <c r="Q1900" s="35">
        <f t="shared" ref="Q1900:Q1916" si="1650">IF(C$61&gt;0,P1900/C$61,0)</f>
        <v>0</v>
      </c>
    </row>
    <row r="1901" spans="1:17" x14ac:dyDescent="0.2">
      <c r="A1901" s="10"/>
      <c r="B1901" s="26"/>
      <c r="C1901" s="11">
        <v>1983</v>
      </c>
      <c r="D1901" s="32">
        <f>SPFI_CLB14!$D$6</f>
        <v>0.93659899999999996</v>
      </c>
      <c r="E1901" s="32"/>
      <c r="F1901" s="32"/>
      <c r="G1901" s="32"/>
      <c r="H1901" s="32"/>
      <c r="I1901" s="32"/>
      <c r="J1901" s="28">
        <f t="shared" si="1649"/>
        <v>0</v>
      </c>
      <c r="K1901" s="29"/>
      <c r="L1901" s="29"/>
      <c r="M1901" s="29"/>
      <c r="N1901" s="29"/>
      <c r="O1901" s="29"/>
      <c r="P1901" s="30">
        <f t="shared" ref="P1901:P1912" si="1651">SUM(J1901:O1901)</f>
        <v>0</v>
      </c>
      <c r="Q1901" s="31">
        <f t="shared" si="1650"/>
        <v>0</v>
      </c>
    </row>
    <row r="1902" spans="1:17" x14ac:dyDescent="0.2">
      <c r="A1902" s="10"/>
      <c r="B1902" s="26"/>
      <c r="C1902" s="11">
        <v>1984</v>
      </c>
      <c r="D1902" s="32">
        <f>SPFI_CLB14!$D$7</f>
        <v>0.92793599999999998</v>
      </c>
      <c r="E1902" s="32"/>
      <c r="F1902" s="32"/>
      <c r="G1902" s="32"/>
      <c r="H1902" s="32"/>
      <c r="I1902" s="32"/>
      <c r="J1902" s="28">
        <f t="shared" si="1649"/>
        <v>0</v>
      </c>
      <c r="K1902" s="29"/>
      <c r="L1902" s="29"/>
      <c r="M1902" s="29"/>
      <c r="N1902" s="29"/>
      <c r="O1902" s="29"/>
      <c r="P1902" s="30">
        <f t="shared" si="1651"/>
        <v>0</v>
      </c>
      <c r="Q1902" s="31">
        <f t="shared" si="1650"/>
        <v>0</v>
      </c>
    </row>
    <row r="1903" spans="1:17" x14ac:dyDescent="0.2">
      <c r="A1903" s="10"/>
      <c r="B1903" s="26"/>
      <c r="C1903" s="11">
        <v>1985</v>
      </c>
      <c r="D1903" s="32">
        <f>SPFI_CLB14!$D$8</f>
        <v>0.90386500000000003</v>
      </c>
      <c r="E1903" s="32"/>
      <c r="F1903" s="32"/>
      <c r="G1903" s="32"/>
      <c r="H1903" s="32"/>
      <c r="I1903" s="32"/>
      <c r="J1903" s="28">
        <f t="shared" si="1649"/>
        <v>0</v>
      </c>
      <c r="K1903" s="29"/>
      <c r="L1903" s="29"/>
      <c r="M1903" s="29"/>
      <c r="N1903" s="29"/>
      <c r="O1903" s="29"/>
      <c r="P1903" s="30">
        <f t="shared" si="1651"/>
        <v>0</v>
      </c>
      <c r="Q1903" s="31">
        <f t="shared" si="1650"/>
        <v>0</v>
      </c>
    </row>
    <row r="1904" spans="1:17" x14ac:dyDescent="0.2">
      <c r="A1904" s="10"/>
      <c r="B1904" s="26"/>
      <c r="C1904" s="11">
        <v>1986</v>
      </c>
      <c r="D1904" s="32">
        <f>SPFI_CLB14!$D$9</f>
        <v>0.73087500000000005</v>
      </c>
      <c r="E1904" s="32"/>
      <c r="F1904" s="32"/>
      <c r="G1904" s="32"/>
      <c r="H1904" s="32"/>
      <c r="I1904" s="32"/>
      <c r="J1904" s="28">
        <f t="shared" si="1649"/>
        <v>0</v>
      </c>
      <c r="K1904" s="29"/>
      <c r="L1904" s="29"/>
      <c r="M1904" s="29"/>
      <c r="N1904" s="29"/>
      <c r="O1904" s="29"/>
      <c r="P1904" s="30">
        <f t="shared" si="1651"/>
        <v>0</v>
      </c>
      <c r="Q1904" s="31">
        <f t="shared" si="1650"/>
        <v>0</v>
      </c>
    </row>
    <row r="1905" spans="1:17" x14ac:dyDescent="0.2">
      <c r="A1905" s="10"/>
      <c r="B1905" s="26"/>
      <c r="C1905" s="11">
        <v>1987</v>
      </c>
      <c r="D1905" s="32">
        <f>SPFI_CLB14!$D$10</f>
        <v>0.71733499999999994</v>
      </c>
      <c r="E1905" s="32"/>
      <c r="F1905" s="32"/>
      <c r="G1905" s="32"/>
      <c r="H1905" s="32"/>
      <c r="I1905" s="32"/>
      <c r="J1905" s="28">
        <f t="shared" si="1649"/>
        <v>0</v>
      </c>
      <c r="K1905" s="29"/>
      <c r="L1905" s="29"/>
      <c r="M1905" s="29"/>
      <c r="N1905" s="29"/>
      <c r="O1905" s="29"/>
      <c r="P1905" s="30">
        <f t="shared" si="1651"/>
        <v>0</v>
      </c>
      <c r="Q1905" s="31">
        <f t="shared" si="1650"/>
        <v>0</v>
      </c>
    </row>
    <row r="1906" spans="1:17" x14ac:dyDescent="0.2">
      <c r="A1906" s="10"/>
      <c r="B1906" s="26"/>
      <c r="C1906" s="11">
        <v>1988</v>
      </c>
      <c r="D1906" s="32">
        <f>SPFI_CLB14!$D$11</f>
        <v>0.64558800000000005</v>
      </c>
      <c r="E1906" s="32"/>
      <c r="F1906" s="32"/>
      <c r="G1906" s="32"/>
      <c r="H1906" s="32"/>
      <c r="I1906" s="32"/>
      <c r="J1906" s="28">
        <f t="shared" si="1649"/>
        <v>0</v>
      </c>
      <c r="K1906" s="29"/>
      <c r="L1906" s="29"/>
      <c r="M1906" s="29"/>
      <c r="N1906" s="29"/>
      <c r="O1906" s="29"/>
      <c r="P1906" s="30">
        <f t="shared" si="1651"/>
        <v>0</v>
      </c>
      <c r="Q1906" s="31">
        <f t="shared" si="1650"/>
        <v>0</v>
      </c>
    </row>
    <row r="1907" spans="1:17" x14ac:dyDescent="0.2">
      <c r="A1907" s="10"/>
      <c r="B1907" s="26"/>
      <c r="C1907" s="11">
        <v>1989</v>
      </c>
      <c r="D1907" s="32">
        <f>SPFI_CLB14!$D$12</f>
        <v>0.65287700000000004</v>
      </c>
      <c r="E1907" s="32"/>
      <c r="F1907" s="32"/>
      <c r="G1907" s="32"/>
      <c r="H1907" s="32"/>
      <c r="I1907" s="32"/>
      <c r="J1907" s="28">
        <f t="shared" si="1649"/>
        <v>0</v>
      </c>
      <c r="K1907" s="29"/>
      <c r="L1907" s="29"/>
      <c r="M1907" s="29"/>
      <c r="N1907" s="29"/>
      <c r="O1907" s="29"/>
      <c r="P1907" s="30">
        <f t="shared" si="1651"/>
        <v>0</v>
      </c>
      <c r="Q1907" s="31">
        <f t="shared" si="1650"/>
        <v>0</v>
      </c>
    </row>
    <row r="1908" spans="1:17" x14ac:dyDescent="0.2">
      <c r="A1908" s="10"/>
      <c r="B1908" s="26"/>
      <c r="C1908" s="11">
        <v>1990</v>
      </c>
      <c r="D1908" s="32">
        <f>SPFI_CLB14!$D$13</f>
        <v>0.56965100000000002</v>
      </c>
      <c r="E1908" s="32"/>
      <c r="F1908" s="32"/>
      <c r="G1908" s="32"/>
      <c r="H1908" s="32"/>
      <c r="I1908" s="32"/>
      <c r="J1908" s="28">
        <f t="shared" si="1649"/>
        <v>0</v>
      </c>
      <c r="K1908" s="29"/>
      <c r="L1908" s="29"/>
      <c r="M1908" s="29"/>
      <c r="N1908" s="29"/>
      <c r="O1908" s="29"/>
      <c r="P1908" s="30">
        <f t="shared" si="1651"/>
        <v>0</v>
      </c>
      <c r="Q1908" s="31">
        <f t="shared" si="1650"/>
        <v>0</v>
      </c>
    </row>
    <row r="1909" spans="1:17" x14ac:dyDescent="0.2">
      <c r="A1909" s="10"/>
      <c r="B1909" s="26"/>
      <c r="C1909" s="11">
        <v>1991</v>
      </c>
      <c r="D1909" s="32">
        <f>SPFI_CLB14!$D$14</f>
        <v>0.62776900000000002</v>
      </c>
      <c r="E1909" s="32"/>
      <c r="F1909" s="32"/>
      <c r="G1909" s="32"/>
      <c r="H1909" s="32"/>
      <c r="I1909" s="32"/>
      <c r="J1909" s="28">
        <f t="shared" si="1649"/>
        <v>0</v>
      </c>
      <c r="K1909" s="29"/>
      <c r="L1909" s="29"/>
      <c r="M1909" s="29"/>
      <c r="N1909" s="29"/>
      <c r="O1909" s="29"/>
      <c r="P1909" s="30">
        <f t="shared" si="1651"/>
        <v>0</v>
      </c>
      <c r="Q1909" s="31">
        <f t="shared" si="1650"/>
        <v>0</v>
      </c>
    </row>
    <row r="1910" spans="1:17" x14ac:dyDescent="0.2">
      <c r="A1910" s="10"/>
      <c r="B1910" s="26"/>
      <c r="C1910" s="11">
        <v>1992</v>
      </c>
      <c r="D1910" s="32">
        <f>SPFI_CLB14!$D$15</f>
        <v>0.43504100000000001</v>
      </c>
      <c r="E1910" s="32"/>
      <c r="F1910" s="32"/>
      <c r="G1910" s="32"/>
      <c r="H1910" s="32"/>
      <c r="I1910" s="32"/>
      <c r="J1910" s="28">
        <f t="shared" si="1649"/>
        <v>0</v>
      </c>
      <c r="K1910" s="29"/>
      <c r="L1910" s="29"/>
      <c r="M1910" s="29"/>
      <c r="N1910" s="29"/>
      <c r="O1910" s="29"/>
      <c r="P1910" s="30">
        <f t="shared" si="1651"/>
        <v>0</v>
      </c>
      <c r="Q1910" s="31">
        <f t="shared" si="1650"/>
        <v>0</v>
      </c>
    </row>
    <row r="1911" spans="1:17" x14ac:dyDescent="0.2">
      <c r="A1911" s="10"/>
      <c r="B1911" s="26"/>
      <c r="C1911" s="11">
        <v>1993</v>
      </c>
      <c r="D1911" s="32">
        <f>SPFI_CLB14!$D$16</f>
        <v>0.499164</v>
      </c>
      <c r="E1911" s="32"/>
      <c r="F1911" s="32"/>
      <c r="G1911" s="32"/>
      <c r="H1911" s="32"/>
      <c r="I1911" s="32"/>
      <c r="J1911" s="28">
        <f t="shared" si="1649"/>
        <v>0</v>
      </c>
      <c r="K1911" s="29"/>
      <c r="L1911" s="29"/>
      <c r="M1911" s="29"/>
      <c r="N1911" s="29"/>
      <c r="O1911" s="29"/>
      <c r="P1911" s="30">
        <f t="shared" si="1651"/>
        <v>0</v>
      </c>
      <c r="Q1911" s="31">
        <f t="shared" si="1650"/>
        <v>0</v>
      </c>
    </row>
    <row r="1912" spans="1:17" x14ac:dyDescent="0.2">
      <c r="A1912" s="10"/>
      <c r="B1912" s="26"/>
      <c r="C1912" s="11">
        <v>1994</v>
      </c>
      <c r="D1912" s="32">
        <f>SPFI_CLB14!$D$17</f>
        <v>0.59591300000000003</v>
      </c>
      <c r="E1912" s="32"/>
      <c r="F1912" s="32"/>
      <c r="G1912" s="32"/>
      <c r="H1912" s="32"/>
      <c r="I1912" s="32"/>
      <c r="J1912" s="28">
        <f t="shared" si="1649"/>
        <v>0</v>
      </c>
      <c r="K1912" s="29"/>
      <c r="L1912" s="29"/>
      <c r="M1912" s="29"/>
      <c r="N1912" s="29"/>
      <c r="O1912" s="29"/>
      <c r="P1912" s="30">
        <f t="shared" si="1651"/>
        <v>0</v>
      </c>
      <c r="Q1912" s="31">
        <f t="shared" si="1650"/>
        <v>0</v>
      </c>
    </row>
    <row r="1913" spans="1:17" x14ac:dyDescent="0.2">
      <c r="A1913" s="10"/>
      <c r="B1913" s="26"/>
      <c r="C1913" s="11">
        <v>1995</v>
      </c>
      <c r="D1913" s="32">
        <f>SPFI_CLB14!$D$18</f>
        <v>0.25400800000000001</v>
      </c>
      <c r="E1913" s="32"/>
      <c r="F1913" s="32"/>
      <c r="G1913" s="32"/>
      <c r="H1913" s="32"/>
      <c r="I1913" s="32"/>
      <c r="J1913" s="28">
        <f t="shared" ref="J1913" si="1652">D1913*J$61</f>
        <v>0</v>
      </c>
      <c r="K1913" s="29"/>
      <c r="L1913" s="29"/>
      <c r="M1913" s="29"/>
      <c r="N1913" s="29"/>
      <c r="O1913" s="29"/>
      <c r="P1913" s="30">
        <f>SUM(J1913:O1913)</f>
        <v>0</v>
      </c>
      <c r="Q1913" s="31">
        <f t="shared" si="1650"/>
        <v>0</v>
      </c>
    </row>
    <row r="1914" spans="1:17" x14ac:dyDescent="0.2">
      <c r="A1914" s="10"/>
      <c r="B1914" s="26"/>
      <c r="C1914" s="11">
        <v>1996</v>
      </c>
      <c r="D1914" s="32">
        <f>SPFI_CLB14!$D$19</f>
        <v>0</v>
      </c>
      <c r="E1914" s="32"/>
      <c r="F1914" s="32"/>
      <c r="G1914" s="32"/>
      <c r="H1914" s="32"/>
      <c r="I1914" s="32"/>
      <c r="J1914" s="28">
        <f t="shared" ref="J1914" si="1653">D1914*J$61</f>
        <v>0</v>
      </c>
      <c r="K1914" s="29"/>
      <c r="L1914" s="29"/>
      <c r="M1914" s="29"/>
      <c r="N1914" s="29"/>
      <c r="O1914" s="29"/>
      <c r="P1914" s="30">
        <f>SUM(J1914:O1914)</f>
        <v>0</v>
      </c>
      <c r="Q1914" s="31">
        <f t="shared" si="1650"/>
        <v>0</v>
      </c>
    </row>
    <row r="1915" spans="1:17" x14ac:dyDescent="0.2">
      <c r="A1915" s="10"/>
      <c r="B1915" s="26"/>
      <c r="C1915" s="11">
        <v>1997</v>
      </c>
      <c r="D1915" s="32">
        <f>SPFI_CLB14!$D$20</f>
        <v>0.201487</v>
      </c>
      <c r="E1915" s="32"/>
      <c r="F1915" s="32"/>
      <c r="G1915" s="32"/>
      <c r="H1915" s="32"/>
      <c r="I1915" s="32"/>
      <c r="J1915" s="28">
        <f t="shared" ref="J1915" si="1654">D1915*J$61</f>
        <v>0</v>
      </c>
      <c r="K1915" s="29"/>
      <c r="L1915" s="29"/>
      <c r="M1915" s="29"/>
      <c r="N1915" s="29"/>
      <c r="O1915" s="29"/>
      <c r="P1915" s="30">
        <f>SUM(J1915:O1915)</f>
        <v>0</v>
      </c>
      <c r="Q1915" s="31">
        <f t="shared" si="1650"/>
        <v>0</v>
      </c>
    </row>
    <row r="1916" spans="1:17" x14ac:dyDescent="0.2">
      <c r="A1916" s="10"/>
      <c r="B1916" s="26"/>
      <c r="C1916" s="11">
        <v>1998</v>
      </c>
      <c r="D1916" s="32">
        <f>SPFI_CLB14!$D$21</f>
        <v>0.37506400000000001</v>
      </c>
      <c r="E1916" s="32"/>
      <c r="F1916" s="32"/>
      <c r="G1916" s="32"/>
      <c r="H1916" s="32"/>
      <c r="I1916" s="32"/>
      <c r="J1916" s="28">
        <f t="shared" ref="J1916" si="1655">D1916*J$61</f>
        <v>0</v>
      </c>
      <c r="K1916" s="29"/>
      <c r="L1916" s="29"/>
      <c r="M1916" s="29"/>
      <c r="N1916" s="29"/>
      <c r="O1916" s="29"/>
      <c r="P1916" s="30">
        <f>SUM(J1916:O1916)</f>
        <v>0</v>
      </c>
      <c r="Q1916" s="31">
        <f t="shared" si="1650"/>
        <v>0</v>
      </c>
    </row>
    <row r="1917" spans="1:17" x14ac:dyDescent="0.2">
      <c r="A1917" s="10"/>
      <c r="B1917" s="26"/>
      <c r="C1917" s="11">
        <v>1999</v>
      </c>
      <c r="D1917" s="32">
        <f>SPFI_CLB14!$D$22</f>
        <v>0.29823699999999997</v>
      </c>
      <c r="E1917" s="32"/>
      <c r="F1917" s="32"/>
      <c r="G1917" s="32"/>
      <c r="H1917" s="32"/>
      <c r="I1917" s="32"/>
      <c r="J1917" s="28">
        <f t="shared" ref="J1917" si="1656">D1917*J$61</f>
        <v>0</v>
      </c>
      <c r="K1917" s="29"/>
      <c r="L1917" s="29"/>
      <c r="M1917" s="29"/>
      <c r="N1917" s="29"/>
      <c r="O1917" s="29"/>
      <c r="P1917" s="30">
        <f>SUM(J1917:O1917)</f>
        <v>0</v>
      </c>
      <c r="Q1917" s="31">
        <f t="shared" ref="Q1917:Q1922" si="1657">IF(C$61&gt;0,P1917/C$61,0)</f>
        <v>0</v>
      </c>
    </row>
    <row r="1918" spans="1:17" x14ac:dyDescent="0.2">
      <c r="A1918" s="10"/>
      <c r="B1918" s="26"/>
      <c r="C1918" s="11">
        <v>2000</v>
      </c>
      <c r="D1918" s="32">
        <f>SPFI_CLB14!$D$23</f>
        <v>8.4414000000000003E-2</v>
      </c>
      <c r="E1918" s="32"/>
      <c r="F1918" s="32"/>
      <c r="G1918" s="32"/>
      <c r="H1918" s="32"/>
      <c r="I1918" s="32"/>
      <c r="J1918" s="28">
        <f t="shared" ref="J1918" si="1658">D1918*J$61</f>
        <v>0</v>
      </c>
      <c r="K1918" s="29"/>
      <c r="L1918" s="29"/>
      <c r="M1918" s="29"/>
      <c r="N1918" s="29"/>
      <c r="O1918" s="29"/>
      <c r="P1918" s="30">
        <f t="shared" ref="P1918:P1923" si="1659">SUM(J1918:O1918)</f>
        <v>0</v>
      </c>
      <c r="Q1918" s="31">
        <f t="shared" si="1657"/>
        <v>0</v>
      </c>
    </row>
    <row r="1919" spans="1:17" x14ac:dyDescent="0.2">
      <c r="A1919" s="10"/>
      <c r="B1919" s="26"/>
      <c r="C1919" s="11">
        <v>2001</v>
      </c>
      <c r="D1919" s="32">
        <f>SPFI_CLB14!$D$24</f>
        <v>7.8909000000000007E-2</v>
      </c>
      <c r="E1919" s="32"/>
      <c r="F1919" s="32"/>
      <c r="G1919" s="32"/>
      <c r="H1919" s="32"/>
      <c r="I1919" s="32"/>
      <c r="J1919" s="28">
        <f t="shared" ref="J1919" si="1660">D1919*J$61</f>
        <v>0</v>
      </c>
      <c r="K1919" s="29"/>
      <c r="L1919" s="29"/>
      <c r="M1919" s="29"/>
      <c r="N1919" s="29"/>
      <c r="O1919" s="29"/>
      <c r="P1919" s="30">
        <f t="shared" si="1659"/>
        <v>0</v>
      </c>
      <c r="Q1919" s="31">
        <f t="shared" si="1657"/>
        <v>0</v>
      </c>
    </row>
    <row r="1920" spans="1:17" x14ac:dyDescent="0.2">
      <c r="A1920" s="10"/>
      <c r="B1920" s="26"/>
      <c r="C1920" s="11">
        <v>2002</v>
      </c>
      <c r="D1920" s="32">
        <f>SPFI_CLB14!$D$25</f>
        <v>0.29974699999999999</v>
      </c>
      <c r="E1920" s="32"/>
      <c r="F1920" s="32"/>
      <c r="G1920" s="32"/>
      <c r="H1920" s="32"/>
      <c r="I1920" s="32"/>
      <c r="J1920" s="28">
        <f t="shared" ref="J1920" si="1661">D1920*J$61</f>
        <v>0</v>
      </c>
      <c r="K1920" s="29"/>
      <c r="L1920" s="29"/>
      <c r="M1920" s="29"/>
      <c r="N1920" s="29"/>
      <c r="O1920" s="29"/>
      <c r="P1920" s="30">
        <f t="shared" si="1659"/>
        <v>0</v>
      </c>
      <c r="Q1920" s="31">
        <f t="shared" si="1657"/>
        <v>0</v>
      </c>
    </row>
    <row r="1921" spans="1:17" x14ac:dyDescent="0.2">
      <c r="A1921" s="10"/>
      <c r="B1921" s="26"/>
      <c r="C1921" s="11">
        <v>2003</v>
      </c>
      <c r="D1921" s="32">
        <f>SPFI_CLB14!$D$26</f>
        <v>0.20691100000000001</v>
      </c>
      <c r="E1921" s="32"/>
      <c r="F1921" s="32"/>
      <c r="G1921" s="32"/>
      <c r="H1921" s="32"/>
      <c r="I1921" s="32"/>
      <c r="J1921" s="28">
        <f t="shared" ref="J1921" si="1662">D1921*J$61</f>
        <v>0</v>
      </c>
      <c r="K1921" s="29"/>
      <c r="L1921" s="29"/>
      <c r="M1921" s="29"/>
      <c r="N1921" s="29"/>
      <c r="O1921" s="29"/>
      <c r="P1921" s="30">
        <f t="shared" si="1659"/>
        <v>0</v>
      </c>
      <c r="Q1921" s="31">
        <f t="shared" si="1657"/>
        <v>0</v>
      </c>
    </row>
    <row r="1922" spans="1:17" x14ac:dyDescent="0.2">
      <c r="A1922" s="10"/>
      <c r="B1922" s="26"/>
      <c r="C1922" s="11">
        <v>2004</v>
      </c>
      <c r="D1922" s="32">
        <f>SPFI_CLB14!$D$27</f>
        <v>0.269237</v>
      </c>
      <c r="E1922" s="32"/>
      <c r="F1922" s="32"/>
      <c r="G1922" s="32"/>
      <c r="H1922" s="32"/>
      <c r="I1922" s="32"/>
      <c r="J1922" s="28">
        <f t="shared" ref="J1922" si="1663">D1922*J$61</f>
        <v>0</v>
      </c>
      <c r="K1922" s="29"/>
      <c r="L1922" s="29"/>
      <c r="M1922" s="29"/>
      <c r="N1922" s="29"/>
      <c r="O1922" s="29"/>
      <c r="P1922" s="30">
        <f t="shared" si="1659"/>
        <v>0</v>
      </c>
      <c r="Q1922" s="31">
        <f t="shared" si="1657"/>
        <v>0</v>
      </c>
    </row>
    <row r="1923" spans="1:17" x14ac:dyDescent="0.2">
      <c r="A1923" s="10"/>
      <c r="B1923" s="26"/>
      <c r="C1923" s="11">
        <v>2005</v>
      </c>
      <c r="D1923" s="32">
        <f>SPFI_CLB14!$D$28</f>
        <v>0.37848700000000002</v>
      </c>
      <c r="E1923" s="32"/>
      <c r="F1923" s="32"/>
      <c r="G1923" s="32"/>
      <c r="H1923" s="32"/>
      <c r="I1923" s="32"/>
      <c r="J1923" s="28">
        <f t="shared" ref="J1923" si="1664">D1923*J$61</f>
        <v>0</v>
      </c>
      <c r="K1923" s="29"/>
      <c r="L1923" s="29"/>
      <c r="M1923" s="29"/>
      <c r="N1923" s="29"/>
      <c r="O1923" s="29"/>
      <c r="P1923" s="30">
        <f t="shared" si="1659"/>
        <v>0</v>
      </c>
      <c r="Q1923" s="31">
        <f t="shared" ref="Q1923:Q1928" si="1665">IF(C$61&gt;0,P1923/C$61,0)</f>
        <v>0</v>
      </c>
    </row>
    <row r="1924" spans="1:17" x14ac:dyDescent="0.2">
      <c r="A1924" s="10"/>
      <c r="B1924" s="26"/>
      <c r="C1924" s="11">
        <v>2006</v>
      </c>
      <c r="D1924" s="32">
        <f>SPFI_CLB14!$D$29</f>
        <v>0.381023</v>
      </c>
      <c r="E1924" s="32"/>
      <c r="F1924" s="32"/>
      <c r="G1924" s="32"/>
      <c r="H1924" s="32"/>
      <c r="I1924" s="32"/>
      <c r="J1924" s="28">
        <f t="shared" ref="J1924" si="1666">D1924*J$61</f>
        <v>0</v>
      </c>
      <c r="K1924" s="29"/>
      <c r="L1924" s="29"/>
      <c r="M1924" s="29"/>
      <c r="N1924" s="29"/>
      <c r="O1924" s="29"/>
      <c r="P1924" s="30">
        <f t="shared" ref="P1924:P1931" si="1667">SUM(J1924:O1924)</f>
        <v>0</v>
      </c>
      <c r="Q1924" s="31">
        <f t="shared" si="1665"/>
        <v>0</v>
      </c>
    </row>
    <row r="1925" spans="1:17" x14ac:dyDescent="0.2">
      <c r="A1925" s="10"/>
      <c r="B1925" s="26"/>
      <c r="C1925" s="11">
        <v>2007</v>
      </c>
      <c r="D1925" s="32">
        <f>SPFI_CLB14!$D$30</f>
        <v>0.356512</v>
      </c>
      <c r="E1925" s="32"/>
      <c r="F1925" s="32"/>
      <c r="G1925" s="32"/>
      <c r="H1925" s="32"/>
      <c r="I1925" s="32"/>
      <c r="J1925" s="28">
        <f t="shared" ref="J1925" si="1668">D1925*J$61</f>
        <v>0</v>
      </c>
      <c r="K1925" s="29"/>
      <c r="L1925" s="29"/>
      <c r="M1925" s="29"/>
      <c r="N1925" s="29"/>
      <c r="O1925" s="29"/>
      <c r="P1925" s="30">
        <f t="shared" si="1667"/>
        <v>0</v>
      </c>
      <c r="Q1925" s="31">
        <f t="shared" si="1665"/>
        <v>0</v>
      </c>
    </row>
    <row r="1926" spans="1:17" x14ac:dyDescent="0.2">
      <c r="A1926" s="10"/>
      <c r="B1926" s="26"/>
      <c r="C1926" s="11">
        <v>2008</v>
      </c>
      <c r="D1926" s="32">
        <f>SPFI_CLB14!$D$31</f>
        <v>0.25494499999999998</v>
      </c>
      <c r="E1926" s="32"/>
      <c r="F1926" s="32"/>
      <c r="G1926" s="32"/>
      <c r="H1926" s="32"/>
      <c r="I1926" s="32"/>
      <c r="J1926" s="28">
        <f t="shared" ref="J1926" si="1669">D1926*J$61</f>
        <v>0</v>
      </c>
      <c r="K1926" s="29"/>
      <c r="L1926" s="29"/>
      <c r="M1926" s="29"/>
      <c r="N1926" s="29"/>
      <c r="O1926" s="29"/>
      <c r="P1926" s="30">
        <f t="shared" si="1667"/>
        <v>0</v>
      </c>
      <c r="Q1926" s="31">
        <f t="shared" si="1665"/>
        <v>0</v>
      </c>
    </row>
    <row r="1927" spans="1:17" x14ac:dyDescent="0.2">
      <c r="A1927" s="10"/>
      <c r="B1927" s="26"/>
      <c r="C1927" s="11">
        <v>2009</v>
      </c>
      <c r="D1927" s="32">
        <f>SPFI_CLB14!$D$32</f>
        <v>0.52383000000000002</v>
      </c>
      <c r="E1927" s="32"/>
      <c r="F1927" s="32"/>
      <c r="G1927" s="32"/>
      <c r="H1927" s="32"/>
      <c r="I1927" s="32"/>
      <c r="J1927" s="28">
        <f t="shared" ref="J1927" si="1670">D1927*J$61</f>
        <v>0</v>
      </c>
      <c r="K1927" s="29"/>
      <c r="L1927" s="29"/>
      <c r="M1927" s="29"/>
      <c r="N1927" s="29"/>
      <c r="O1927" s="29"/>
      <c r="P1927" s="30">
        <f t="shared" si="1667"/>
        <v>0</v>
      </c>
      <c r="Q1927" s="31">
        <f t="shared" si="1665"/>
        <v>0</v>
      </c>
    </row>
    <row r="1928" spans="1:17" x14ac:dyDescent="0.2">
      <c r="A1928" s="10"/>
      <c r="B1928" s="26"/>
      <c r="C1928" s="11">
        <v>2010</v>
      </c>
      <c r="D1928" s="32">
        <f>SPFI_CLB14!$D$33</f>
        <v>0.31394</v>
      </c>
      <c r="E1928" s="32"/>
      <c r="F1928" s="32"/>
      <c r="G1928" s="32"/>
      <c r="H1928" s="32"/>
      <c r="I1928" s="32"/>
      <c r="J1928" s="28">
        <f t="shared" ref="J1928" si="1671">D1928*J$61</f>
        <v>0</v>
      </c>
      <c r="K1928" s="29"/>
      <c r="L1928" s="29"/>
      <c r="M1928" s="29"/>
      <c r="N1928" s="29"/>
      <c r="O1928" s="29"/>
      <c r="P1928" s="30">
        <f t="shared" si="1667"/>
        <v>0</v>
      </c>
      <c r="Q1928" s="31">
        <f t="shared" si="1665"/>
        <v>0</v>
      </c>
    </row>
    <row r="1929" spans="1:17" x14ac:dyDescent="0.2">
      <c r="A1929" s="10"/>
      <c r="B1929" s="26"/>
      <c r="C1929" s="11">
        <v>2011</v>
      </c>
      <c r="D1929" s="32">
        <f>SPFI_CLB14!$D$34</f>
        <v>0.294348</v>
      </c>
      <c r="E1929" s="32"/>
      <c r="F1929" s="32"/>
      <c r="G1929" s="32"/>
      <c r="H1929" s="32"/>
      <c r="I1929" s="32"/>
      <c r="J1929" s="28">
        <f t="shared" ref="J1929" si="1672">D1929*J$61</f>
        <v>0</v>
      </c>
      <c r="K1929" s="29"/>
      <c r="L1929" s="29"/>
      <c r="M1929" s="29"/>
      <c r="N1929" s="29"/>
      <c r="O1929" s="29"/>
      <c r="P1929" s="30">
        <f t="shared" ref="P1929" si="1673">SUM(J1929:O1929)</f>
        <v>0</v>
      </c>
      <c r="Q1929" s="31">
        <f t="shared" ref="Q1929" si="1674">IF(C$61&gt;0,P1929/C$61,0)</f>
        <v>0</v>
      </c>
    </row>
    <row r="1930" spans="1:17" x14ac:dyDescent="0.2">
      <c r="A1930" s="10"/>
      <c r="B1930" s="26"/>
      <c r="C1930" s="11">
        <v>2012</v>
      </c>
      <c r="D1930" s="32">
        <f>SPFI_CLB14!$D$35</f>
        <v>0.34784100000000001</v>
      </c>
      <c r="E1930" s="32"/>
      <c r="F1930" s="32"/>
      <c r="G1930" s="32"/>
      <c r="H1930" s="32"/>
      <c r="I1930" s="32"/>
      <c r="J1930" s="28">
        <f t="shared" ref="J1930" si="1675">D1930*J$61</f>
        <v>0</v>
      </c>
      <c r="K1930" s="29"/>
      <c r="L1930" s="29"/>
      <c r="M1930" s="29"/>
      <c r="N1930" s="29"/>
      <c r="O1930" s="29"/>
      <c r="P1930" s="30">
        <f t="shared" ref="P1930" si="1676">SUM(J1930:O1930)</f>
        <v>0</v>
      </c>
      <c r="Q1930" s="31">
        <f t="shared" ref="Q1930" si="1677">IF(C$61&gt;0,P1930/C$61,0)</f>
        <v>0</v>
      </c>
    </row>
    <row r="1931" spans="1:17" x14ac:dyDescent="0.2">
      <c r="A1931" s="5" t="s">
        <v>20</v>
      </c>
      <c r="B1931" s="21">
        <v>4</v>
      </c>
      <c r="C1931" s="6">
        <v>1982</v>
      </c>
      <c r="D1931" s="27">
        <f>SPFI_CLB14!$D$5</f>
        <v>0.98153299999999999</v>
      </c>
      <c r="E1931" s="27"/>
      <c r="F1931" s="27"/>
      <c r="G1931" s="27"/>
      <c r="H1931" s="27"/>
      <c r="I1931" s="27"/>
      <c r="J1931" s="33">
        <f t="shared" ref="J1931:J1943" si="1678">D1931*J$62</f>
        <v>0</v>
      </c>
      <c r="K1931" s="27"/>
      <c r="L1931" s="27"/>
      <c r="M1931" s="27"/>
      <c r="N1931" s="27"/>
      <c r="O1931" s="27"/>
      <c r="P1931" s="34">
        <f t="shared" si="1667"/>
        <v>0</v>
      </c>
      <c r="Q1931" s="35">
        <f t="shared" ref="Q1931:Q1947" si="1679">IF(C$62&gt;0,P1931/C$62,0)</f>
        <v>0</v>
      </c>
    </row>
    <row r="1932" spans="1:17" x14ac:dyDescent="0.2">
      <c r="A1932" s="10"/>
      <c r="B1932" s="26"/>
      <c r="C1932" s="11">
        <v>1983</v>
      </c>
      <c r="D1932" s="32">
        <f>SPFI_CLB14!$D$6</f>
        <v>0.93659899999999996</v>
      </c>
      <c r="E1932" s="32"/>
      <c r="F1932" s="32"/>
      <c r="G1932" s="32"/>
      <c r="H1932" s="32"/>
      <c r="I1932" s="32"/>
      <c r="J1932" s="28">
        <f t="shared" si="1678"/>
        <v>0</v>
      </c>
      <c r="K1932" s="29"/>
      <c r="L1932" s="29"/>
      <c r="M1932" s="29"/>
      <c r="N1932" s="29"/>
      <c r="O1932" s="29"/>
      <c r="P1932" s="30">
        <f t="shared" ref="P1932:P1943" si="1680">SUM(J1932:O1932)</f>
        <v>0</v>
      </c>
      <c r="Q1932" s="31">
        <f t="shared" si="1679"/>
        <v>0</v>
      </c>
    </row>
    <row r="1933" spans="1:17" x14ac:dyDescent="0.2">
      <c r="A1933" s="10"/>
      <c r="B1933" s="26"/>
      <c r="C1933" s="11">
        <v>1984</v>
      </c>
      <c r="D1933" s="32">
        <f>SPFI_CLB14!$D$7</f>
        <v>0.92793599999999998</v>
      </c>
      <c r="E1933" s="32"/>
      <c r="F1933" s="32"/>
      <c r="G1933" s="32"/>
      <c r="H1933" s="32"/>
      <c r="I1933" s="32"/>
      <c r="J1933" s="28">
        <f t="shared" si="1678"/>
        <v>0</v>
      </c>
      <c r="K1933" s="29"/>
      <c r="L1933" s="29"/>
      <c r="M1933" s="29"/>
      <c r="N1933" s="29"/>
      <c r="O1933" s="29"/>
      <c r="P1933" s="30">
        <f t="shared" si="1680"/>
        <v>0</v>
      </c>
      <c r="Q1933" s="31">
        <f t="shared" si="1679"/>
        <v>0</v>
      </c>
    </row>
    <row r="1934" spans="1:17" x14ac:dyDescent="0.2">
      <c r="A1934" s="10"/>
      <c r="B1934" s="26"/>
      <c r="C1934" s="11">
        <v>1985</v>
      </c>
      <c r="D1934" s="32">
        <f>SPFI_CLB14!$D$8</f>
        <v>0.90386500000000003</v>
      </c>
      <c r="E1934" s="32"/>
      <c r="F1934" s="32"/>
      <c r="G1934" s="32"/>
      <c r="H1934" s="32"/>
      <c r="I1934" s="32"/>
      <c r="J1934" s="28">
        <f t="shared" si="1678"/>
        <v>0</v>
      </c>
      <c r="K1934" s="29"/>
      <c r="L1934" s="29"/>
      <c r="M1934" s="29"/>
      <c r="N1934" s="29"/>
      <c r="O1934" s="29"/>
      <c r="P1934" s="30">
        <f t="shared" si="1680"/>
        <v>0</v>
      </c>
      <c r="Q1934" s="31">
        <f t="shared" si="1679"/>
        <v>0</v>
      </c>
    </row>
    <row r="1935" spans="1:17" x14ac:dyDescent="0.2">
      <c r="A1935" s="10"/>
      <c r="B1935" s="26"/>
      <c r="C1935" s="11">
        <v>1986</v>
      </c>
      <c r="D1935" s="32">
        <f>SPFI_CLB14!$D$9</f>
        <v>0.73087500000000005</v>
      </c>
      <c r="E1935" s="32"/>
      <c r="F1935" s="32"/>
      <c r="G1935" s="32"/>
      <c r="H1935" s="32"/>
      <c r="I1935" s="32"/>
      <c r="J1935" s="28">
        <f t="shared" si="1678"/>
        <v>0</v>
      </c>
      <c r="K1935" s="29"/>
      <c r="L1935" s="29"/>
      <c r="M1935" s="29"/>
      <c r="N1935" s="29"/>
      <c r="O1935" s="29"/>
      <c r="P1935" s="30">
        <f t="shared" si="1680"/>
        <v>0</v>
      </c>
      <c r="Q1935" s="31">
        <f t="shared" si="1679"/>
        <v>0</v>
      </c>
    </row>
    <row r="1936" spans="1:17" x14ac:dyDescent="0.2">
      <c r="A1936" s="10"/>
      <c r="B1936" s="26"/>
      <c r="C1936" s="11">
        <v>1987</v>
      </c>
      <c r="D1936" s="32">
        <f>SPFI_CLB14!$D$10</f>
        <v>0.71733499999999994</v>
      </c>
      <c r="E1936" s="32"/>
      <c r="F1936" s="32"/>
      <c r="G1936" s="32"/>
      <c r="H1936" s="32"/>
      <c r="I1936" s="32"/>
      <c r="J1936" s="28">
        <f t="shared" si="1678"/>
        <v>0</v>
      </c>
      <c r="K1936" s="29"/>
      <c r="L1936" s="29"/>
      <c r="M1936" s="29"/>
      <c r="N1936" s="29"/>
      <c r="O1936" s="29"/>
      <c r="P1936" s="30">
        <f t="shared" si="1680"/>
        <v>0</v>
      </c>
      <c r="Q1936" s="31">
        <f t="shared" si="1679"/>
        <v>0</v>
      </c>
    </row>
    <row r="1937" spans="1:17" x14ac:dyDescent="0.2">
      <c r="A1937" s="10"/>
      <c r="B1937" s="26"/>
      <c r="C1937" s="11">
        <v>1988</v>
      </c>
      <c r="D1937" s="32">
        <f>SPFI_CLB14!$D$11</f>
        <v>0.64558800000000005</v>
      </c>
      <c r="E1937" s="32"/>
      <c r="F1937" s="32"/>
      <c r="G1937" s="32"/>
      <c r="H1937" s="32"/>
      <c r="I1937" s="32"/>
      <c r="J1937" s="28">
        <f t="shared" si="1678"/>
        <v>0</v>
      </c>
      <c r="K1937" s="29"/>
      <c r="L1937" s="29"/>
      <c r="M1937" s="29"/>
      <c r="N1937" s="29"/>
      <c r="O1937" s="29"/>
      <c r="P1937" s="30">
        <f t="shared" si="1680"/>
        <v>0</v>
      </c>
      <c r="Q1937" s="31">
        <f t="shared" si="1679"/>
        <v>0</v>
      </c>
    </row>
    <row r="1938" spans="1:17" x14ac:dyDescent="0.2">
      <c r="A1938" s="10"/>
      <c r="B1938" s="26"/>
      <c r="C1938" s="11">
        <v>1989</v>
      </c>
      <c r="D1938" s="32">
        <f>SPFI_CLB14!$D$12</f>
        <v>0.65287700000000004</v>
      </c>
      <c r="E1938" s="32"/>
      <c r="F1938" s="32"/>
      <c r="G1938" s="32"/>
      <c r="H1938" s="32"/>
      <c r="I1938" s="32"/>
      <c r="J1938" s="28">
        <f t="shared" si="1678"/>
        <v>0</v>
      </c>
      <c r="K1938" s="29"/>
      <c r="L1938" s="29"/>
      <c r="M1938" s="29"/>
      <c r="N1938" s="29"/>
      <c r="O1938" s="29"/>
      <c r="P1938" s="30">
        <f t="shared" si="1680"/>
        <v>0</v>
      </c>
      <c r="Q1938" s="31">
        <f t="shared" si="1679"/>
        <v>0</v>
      </c>
    </row>
    <row r="1939" spans="1:17" x14ac:dyDescent="0.2">
      <c r="A1939" s="10"/>
      <c r="B1939" s="26"/>
      <c r="C1939" s="11">
        <v>1990</v>
      </c>
      <c r="D1939" s="32">
        <f>SPFI_CLB14!$D$13</f>
        <v>0.56965100000000002</v>
      </c>
      <c r="E1939" s="32"/>
      <c r="F1939" s="32"/>
      <c r="G1939" s="32"/>
      <c r="H1939" s="32"/>
      <c r="I1939" s="32"/>
      <c r="J1939" s="28">
        <f t="shared" si="1678"/>
        <v>0</v>
      </c>
      <c r="K1939" s="29"/>
      <c r="L1939" s="29"/>
      <c r="M1939" s="29"/>
      <c r="N1939" s="29"/>
      <c r="O1939" s="29"/>
      <c r="P1939" s="30">
        <f t="shared" si="1680"/>
        <v>0</v>
      </c>
      <c r="Q1939" s="31">
        <f t="shared" si="1679"/>
        <v>0</v>
      </c>
    </row>
    <row r="1940" spans="1:17" x14ac:dyDescent="0.2">
      <c r="A1940" s="10"/>
      <c r="B1940" s="26"/>
      <c r="C1940" s="11">
        <v>1991</v>
      </c>
      <c r="D1940" s="32">
        <f>SPFI_CLB14!$D$14</f>
        <v>0.62776900000000002</v>
      </c>
      <c r="E1940" s="32"/>
      <c r="F1940" s="32"/>
      <c r="G1940" s="32"/>
      <c r="H1940" s="32"/>
      <c r="I1940" s="32"/>
      <c r="J1940" s="28">
        <f t="shared" si="1678"/>
        <v>0</v>
      </c>
      <c r="K1940" s="29"/>
      <c r="L1940" s="29"/>
      <c r="M1940" s="29"/>
      <c r="N1940" s="29"/>
      <c r="O1940" s="29"/>
      <c r="P1940" s="30">
        <f t="shared" si="1680"/>
        <v>0</v>
      </c>
      <c r="Q1940" s="31">
        <f t="shared" si="1679"/>
        <v>0</v>
      </c>
    </row>
    <row r="1941" spans="1:17" x14ac:dyDescent="0.2">
      <c r="A1941" s="10"/>
      <c r="B1941" s="26"/>
      <c r="C1941" s="11">
        <v>1992</v>
      </c>
      <c r="D1941" s="32">
        <f>SPFI_CLB14!$D$15</f>
        <v>0.43504100000000001</v>
      </c>
      <c r="E1941" s="32"/>
      <c r="F1941" s="32"/>
      <c r="G1941" s="32"/>
      <c r="H1941" s="32"/>
      <c r="I1941" s="32"/>
      <c r="J1941" s="28">
        <f t="shared" si="1678"/>
        <v>0</v>
      </c>
      <c r="K1941" s="29"/>
      <c r="L1941" s="29"/>
      <c r="M1941" s="29"/>
      <c r="N1941" s="29"/>
      <c r="O1941" s="29"/>
      <c r="P1941" s="30">
        <f t="shared" si="1680"/>
        <v>0</v>
      </c>
      <c r="Q1941" s="31">
        <f t="shared" si="1679"/>
        <v>0</v>
      </c>
    </row>
    <row r="1942" spans="1:17" x14ac:dyDescent="0.2">
      <c r="A1942" s="10"/>
      <c r="B1942" s="26"/>
      <c r="C1942" s="11">
        <v>1993</v>
      </c>
      <c r="D1942" s="32">
        <f>SPFI_CLB14!$D$16</f>
        <v>0.499164</v>
      </c>
      <c r="E1942" s="32"/>
      <c r="F1942" s="32"/>
      <c r="G1942" s="32"/>
      <c r="H1942" s="32"/>
      <c r="I1942" s="32"/>
      <c r="J1942" s="28">
        <f t="shared" si="1678"/>
        <v>0</v>
      </c>
      <c r="K1942" s="29"/>
      <c r="L1942" s="29"/>
      <c r="M1942" s="29"/>
      <c r="N1942" s="29"/>
      <c r="O1942" s="29"/>
      <c r="P1942" s="30">
        <f t="shared" si="1680"/>
        <v>0</v>
      </c>
      <c r="Q1942" s="31">
        <f t="shared" si="1679"/>
        <v>0</v>
      </c>
    </row>
    <row r="1943" spans="1:17" x14ac:dyDescent="0.2">
      <c r="A1943" s="10"/>
      <c r="B1943" s="26"/>
      <c r="C1943" s="11">
        <v>1994</v>
      </c>
      <c r="D1943" s="32">
        <f>SPFI_CLB14!$D$17</f>
        <v>0.59591300000000003</v>
      </c>
      <c r="E1943" s="32"/>
      <c r="F1943" s="32"/>
      <c r="G1943" s="32"/>
      <c r="H1943" s="32"/>
      <c r="I1943" s="32"/>
      <c r="J1943" s="28">
        <f t="shared" si="1678"/>
        <v>0</v>
      </c>
      <c r="K1943" s="29"/>
      <c r="L1943" s="29"/>
      <c r="M1943" s="29"/>
      <c r="N1943" s="29"/>
      <c r="O1943" s="29"/>
      <c r="P1943" s="30">
        <f t="shared" si="1680"/>
        <v>0</v>
      </c>
      <c r="Q1943" s="31">
        <f t="shared" si="1679"/>
        <v>0</v>
      </c>
    </row>
    <row r="1944" spans="1:17" x14ac:dyDescent="0.2">
      <c r="A1944" s="10"/>
      <c r="B1944" s="26"/>
      <c r="C1944" s="11">
        <v>1995</v>
      </c>
      <c r="D1944" s="32">
        <f>SPFI_CLB14!$D$18</f>
        <v>0.25400800000000001</v>
      </c>
      <c r="E1944" s="32"/>
      <c r="F1944" s="32"/>
      <c r="G1944" s="32"/>
      <c r="H1944" s="32"/>
      <c r="I1944" s="32"/>
      <c r="J1944" s="28">
        <f t="shared" ref="J1944" si="1681">D1944*J$62</f>
        <v>0</v>
      </c>
      <c r="K1944" s="29"/>
      <c r="L1944" s="29"/>
      <c r="M1944" s="29"/>
      <c r="N1944" s="29"/>
      <c r="O1944" s="29"/>
      <c r="P1944" s="30">
        <f>SUM(J1944:O1944)</f>
        <v>0</v>
      </c>
      <c r="Q1944" s="31">
        <f t="shared" si="1679"/>
        <v>0</v>
      </c>
    </row>
    <row r="1945" spans="1:17" x14ac:dyDescent="0.2">
      <c r="A1945" s="10"/>
      <c r="B1945" s="26"/>
      <c r="C1945" s="11">
        <v>1996</v>
      </c>
      <c r="D1945" s="32">
        <f>SPFI_CLB14!$D$19</f>
        <v>0</v>
      </c>
      <c r="E1945" s="32"/>
      <c r="F1945" s="32"/>
      <c r="G1945" s="32"/>
      <c r="H1945" s="32"/>
      <c r="I1945" s="32"/>
      <c r="J1945" s="28">
        <f t="shared" ref="J1945" si="1682">D1945*J$62</f>
        <v>0</v>
      </c>
      <c r="K1945" s="29"/>
      <c r="L1945" s="29"/>
      <c r="M1945" s="29"/>
      <c r="N1945" s="29"/>
      <c r="O1945" s="29"/>
      <c r="P1945" s="30">
        <f>SUM(J1945:O1945)</f>
        <v>0</v>
      </c>
      <c r="Q1945" s="31">
        <f t="shared" si="1679"/>
        <v>0</v>
      </c>
    </row>
    <row r="1946" spans="1:17" x14ac:dyDescent="0.2">
      <c r="A1946" s="10"/>
      <c r="B1946" s="26"/>
      <c r="C1946" s="11">
        <v>1997</v>
      </c>
      <c r="D1946" s="32">
        <f>SPFI_CLB14!$D$20</f>
        <v>0.201487</v>
      </c>
      <c r="E1946" s="32"/>
      <c r="F1946" s="32"/>
      <c r="G1946" s="32"/>
      <c r="H1946" s="32"/>
      <c r="I1946" s="32"/>
      <c r="J1946" s="28">
        <f t="shared" ref="J1946" si="1683">D1946*J$62</f>
        <v>0</v>
      </c>
      <c r="K1946" s="29"/>
      <c r="L1946" s="29"/>
      <c r="M1946" s="29"/>
      <c r="N1946" s="29"/>
      <c r="O1946" s="29"/>
      <c r="P1946" s="30">
        <f>SUM(J1946:O1946)</f>
        <v>0</v>
      </c>
      <c r="Q1946" s="31">
        <f t="shared" si="1679"/>
        <v>0</v>
      </c>
    </row>
    <row r="1947" spans="1:17" x14ac:dyDescent="0.2">
      <c r="A1947" s="10"/>
      <c r="B1947" s="26"/>
      <c r="C1947" s="11">
        <v>1998</v>
      </c>
      <c r="D1947" s="32">
        <f>SPFI_CLB14!$D$21</f>
        <v>0.37506400000000001</v>
      </c>
      <c r="E1947" s="32"/>
      <c r="F1947" s="32"/>
      <c r="G1947" s="32"/>
      <c r="H1947" s="32"/>
      <c r="I1947" s="32"/>
      <c r="J1947" s="28">
        <f t="shared" ref="J1947" si="1684">D1947*J$62</f>
        <v>0</v>
      </c>
      <c r="K1947" s="29"/>
      <c r="L1947" s="29"/>
      <c r="M1947" s="29"/>
      <c r="N1947" s="29"/>
      <c r="O1947" s="29"/>
      <c r="P1947" s="30">
        <f>SUM(J1947:O1947)</f>
        <v>0</v>
      </c>
      <c r="Q1947" s="31">
        <f t="shared" si="1679"/>
        <v>0</v>
      </c>
    </row>
    <row r="1948" spans="1:17" x14ac:dyDescent="0.2">
      <c r="A1948" s="10"/>
      <c r="B1948" s="26"/>
      <c r="C1948" s="11">
        <v>1999</v>
      </c>
      <c r="D1948" s="32">
        <f>SPFI_CLB14!$D$22</f>
        <v>0.29823699999999997</v>
      </c>
      <c r="E1948" s="32"/>
      <c r="F1948" s="32"/>
      <c r="G1948" s="32"/>
      <c r="H1948" s="32"/>
      <c r="I1948" s="32"/>
      <c r="J1948" s="28">
        <f t="shared" ref="J1948" si="1685">D1948*J$62</f>
        <v>0</v>
      </c>
      <c r="K1948" s="29"/>
      <c r="L1948" s="29"/>
      <c r="M1948" s="29"/>
      <c r="N1948" s="29"/>
      <c r="O1948" s="29"/>
      <c r="P1948" s="30">
        <f>SUM(J1948:O1948)</f>
        <v>0</v>
      </c>
      <c r="Q1948" s="31">
        <f t="shared" ref="Q1948:Q1953" si="1686">IF(C$62&gt;0,P1948/C$62,0)</f>
        <v>0</v>
      </c>
    </row>
    <row r="1949" spans="1:17" x14ac:dyDescent="0.2">
      <c r="A1949" s="10"/>
      <c r="B1949" s="26"/>
      <c r="C1949" s="11">
        <v>2000</v>
      </c>
      <c r="D1949" s="32">
        <f>SPFI_CLB14!$D$23</f>
        <v>8.4414000000000003E-2</v>
      </c>
      <c r="E1949" s="32"/>
      <c r="F1949" s="32"/>
      <c r="G1949" s="32"/>
      <c r="H1949" s="32"/>
      <c r="I1949" s="32"/>
      <c r="J1949" s="28">
        <f t="shared" ref="J1949" si="1687">D1949*J$62</f>
        <v>0</v>
      </c>
      <c r="K1949" s="29"/>
      <c r="L1949" s="29"/>
      <c r="M1949" s="29"/>
      <c r="N1949" s="29"/>
      <c r="O1949" s="29"/>
      <c r="P1949" s="30">
        <f t="shared" ref="P1949:P1954" si="1688">SUM(J1949:O1949)</f>
        <v>0</v>
      </c>
      <c r="Q1949" s="31">
        <f t="shared" si="1686"/>
        <v>0</v>
      </c>
    </row>
    <row r="1950" spans="1:17" x14ac:dyDescent="0.2">
      <c r="A1950" s="10"/>
      <c r="B1950" s="26"/>
      <c r="C1950" s="11">
        <v>2001</v>
      </c>
      <c r="D1950" s="32">
        <f>SPFI_CLB14!$D$24</f>
        <v>7.8909000000000007E-2</v>
      </c>
      <c r="E1950" s="32"/>
      <c r="F1950" s="32"/>
      <c r="G1950" s="32"/>
      <c r="H1950" s="32"/>
      <c r="I1950" s="32"/>
      <c r="J1950" s="28">
        <f t="shared" ref="J1950" si="1689">D1950*J$62</f>
        <v>0</v>
      </c>
      <c r="K1950" s="29"/>
      <c r="L1950" s="29"/>
      <c r="M1950" s="29"/>
      <c r="N1950" s="29"/>
      <c r="O1950" s="29"/>
      <c r="P1950" s="30">
        <f t="shared" si="1688"/>
        <v>0</v>
      </c>
      <c r="Q1950" s="31">
        <f t="shared" si="1686"/>
        <v>0</v>
      </c>
    </row>
    <row r="1951" spans="1:17" x14ac:dyDescent="0.2">
      <c r="A1951" s="10"/>
      <c r="B1951" s="26"/>
      <c r="C1951" s="11">
        <v>2002</v>
      </c>
      <c r="D1951" s="32">
        <f>SPFI_CLB14!$D$25</f>
        <v>0.29974699999999999</v>
      </c>
      <c r="E1951" s="32"/>
      <c r="F1951" s="32"/>
      <c r="G1951" s="32"/>
      <c r="H1951" s="32"/>
      <c r="I1951" s="32"/>
      <c r="J1951" s="28">
        <f t="shared" ref="J1951" si="1690">D1951*J$62</f>
        <v>0</v>
      </c>
      <c r="K1951" s="29"/>
      <c r="L1951" s="29"/>
      <c r="M1951" s="29"/>
      <c r="N1951" s="29"/>
      <c r="O1951" s="29"/>
      <c r="P1951" s="30">
        <f t="shared" si="1688"/>
        <v>0</v>
      </c>
      <c r="Q1951" s="31">
        <f t="shared" si="1686"/>
        <v>0</v>
      </c>
    </row>
    <row r="1952" spans="1:17" x14ac:dyDescent="0.2">
      <c r="A1952" s="10"/>
      <c r="B1952" s="26"/>
      <c r="C1952" s="11">
        <v>2003</v>
      </c>
      <c r="D1952" s="32">
        <f>SPFI_CLB14!$D$26</f>
        <v>0.20691100000000001</v>
      </c>
      <c r="E1952" s="32"/>
      <c r="F1952" s="32"/>
      <c r="G1952" s="32"/>
      <c r="H1952" s="32"/>
      <c r="I1952" s="32"/>
      <c r="J1952" s="28">
        <f t="shared" ref="J1952" si="1691">D1952*J$62</f>
        <v>0</v>
      </c>
      <c r="K1952" s="29"/>
      <c r="L1952" s="29"/>
      <c r="M1952" s="29"/>
      <c r="N1952" s="29"/>
      <c r="O1952" s="29"/>
      <c r="P1952" s="30">
        <f t="shared" si="1688"/>
        <v>0</v>
      </c>
      <c r="Q1952" s="31">
        <f t="shared" si="1686"/>
        <v>0</v>
      </c>
    </row>
    <row r="1953" spans="1:17" x14ac:dyDescent="0.2">
      <c r="A1953" s="10"/>
      <c r="B1953" s="26"/>
      <c r="C1953" s="11">
        <v>2004</v>
      </c>
      <c r="D1953" s="32">
        <f>SPFI_CLB14!$D$27</f>
        <v>0.269237</v>
      </c>
      <c r="E1953" s="32"/>
      <c r="F1953" s="32"/>
      <c r="G1953" s="32"/>
      <c r="H1953" s="32"/>
      <c r="I1953" s="32"/>
      <c r="J1953" s="28">
        <f t="shared" ref="J1953" si="1692">D1953*J$62</f>
        <v>0</v>
      </c>
      <c r="K1953" s="29"/>
      <c r="L1953" s="29"/>
      <c r="M1953" s="29"/>
      <c r="N1953" s="29"/>
      <c r="O1953" s="29"/>
      <c r="P1953" s="30">
        <f t="shared" si="1688"/>
        <v>0</v>
      </c>
      <c r="Q1953" s="31">
        <f t="shared" si="1686"/>
        <v>0</v>
      </c>
    </row>
    <row r="1954" spans="1:17" x14ac:dyDescent="0.2">
      <c r="A1954" s="10"/>
      <c r="B1954" s="26"/>
      <c r="C1954" s="11">
        <v>2005</v>
      </c>
      <c r="D1954" s="32">
        <f>SPFI_CLB14!$D$28</f>
        <v>0.37848700000000002</v>
      </c>
      <c r="E1954" s="32"/>
      <c r="F1954" s="32"/>
      <c r="G1954" s="32"/>
      <c r="H1954" s="32"/>
      <c r="I1954" s="32"/>
      <c r="J1954" s="28">
        <f t="shared" ref="J1954" si="1693">D1954*J$62</f>
        <v>0</v>
      </c>
      <c r="K1954" s="29"/>
      <c r="L1954" s="29"/>
      <c r="M1954" s="29"/>
      <c r="N1954" s="29"/>
      <c r="O1954" s="29"/>
      <c r="P1954" s="30">
        <f t="shared" si="1688"/>
        <v>0</v>
      </c>
      <c r="Q1954" s="31">
        <f t="shared" ref="Q1954:Q1959" si="1694">IF(C$62&gt;0,P1954/C$62,0)</f>
        <v>0</v>
      </c>
    </row>
    <row r="1955" spans="1:17" x14ac:dyDescent="0.2">
      <c r="A1955" s="10"/>
      <c r="B1955" s="26"/>
      <c r="C1955" s="11">
        <v>2006</v>
      </c>
      <c r="D1955" s="32">
        <f>SPFI_CLB14!$D$29</f>
        <v>0.381023</v>
      </c>
      <c r="E1955" s="32"/>
      <c r="F1955" s="32"/>
      <c r="G1955" s="32"/>
      <c r="H1955" s="32"/>
      <c r="I1955" s="32"/>
      <c r="J1955" s="28">
        <f t="shared" ref="J1955" si="1695">D1955*J$62</f>
        <v>0</v>
      </c>
      <c r="K1955" s="29"/>
      <c r="L1955" s="29"/>
      <c r="M1955" s="29"/>
      <c r="N1955" s="29"/>
      <c r="O1955" s="29"/>
      <c r="P1955" s="30">
        <f t="shared" ref="P1955:P1962" si="1696">SUM(J1955:O1955)</f>
        <v>0</v>
      </c>
      <c r="Q1955" s="31">
        <f t="shared" si="1694"/>
        <v>0</v>
      </c>
    </row>
    <row r="1956" spans="1:17" x14ac:dyDescent="0.2">
      <c r="A1956" s="10"/>
      <c r="B1956" s="26"/>
      <c r="C1956" s="11">
        <v>2007</v>
      </c>
      <c r="D1956" s="32">
        <f>SPFI_CLB14!$D$30</f>
        <v>0.356512</v>
      </c>
      <c r="E1956" s="32"/>
      <c r="F1956" s="32"/>
      <c r="G1956" s="32"/>
      <c r="H1956" s="32"/>
      <c r="I1956" s="32"/>
      <c r="J1956" s="28">
        <f t="shared" ref="J1956" si="1697">D1956*J$62</f>
        <v>0</v>
      </c>
      <c r="K1956" s="29"/>
      <c r="L1956" s="29"/>
      <c r="M1956" s="29"/>
      <c r="N1956" s="29"/>
      <c r="O1956" s="29"/>
      <c r="P1956" s="30">
        <f t="shared" si="1696"/>
        <v>0</v>
      </c>
      <c r="Q1956" s="31">
        <f t="shared" si="1694"/>
        <v>0</v>
      </c>
    </row>
    <row r="1957" spans="1:17" x14ac:dyDescent="0.2">
      <c r="A1957" s="10"/>
      <c r="B1957" s="26"/>
      <c r="C1957" s="11">
        <v>2008</v>
      </c>
      <c r="D1957" s="32">
        <f>SPFI_CLB14!$D$31</f>
        <v>0.25494499999999998</v>
      </c>
      <c r="E1957" s="32"/>
      <c r="F1957" s="32"/>
      <c r="G1957" s="32"/>
      <c r="H1957" s="32"/>
      <c r="I1957" s="32"/>
      <c r="J1957" s="28">
        <f t="shared" ref="J1957" si="1698">D1957*J$62</f>
        <v>0</v>
      </c>
      <c r="K1957" s="29"/>
      <c r="L1957" s="29"/>
      <c r="M1957" s="29"/>
      <c r="N1957" s="29"/>
      <c r="O1957" s="29"/>
      <c r="P1957" s="30">
        <f t="shared" si="1696"/>
        <v>0</v>
      </c>
      <c r="Q1957" s="31">
        <f t="shared" si="1694"/>
        <v>0</v>
      </c>
    </row>
    <row r="1958" spans="1:17" x14ac:dyDescent="0.2">
      <c r="A1958" s="10"/>
      <c r="B1958" s="26"/>
      <c r="C1958" s="11">
        <v>2009</v>
      </c>
      <c r="D1958" s="32">
        <f>SPFI_CLB14!$D$32</f>
        <v>0.52383000000000002</v>
      </c>
      <c r="E1958" s="32"/>
      <c r="F1958" s="32"/>
      <c r="G1958" s="32"/>
      <c r="H1958" s="32"/>
      <c r="I1958" s="32"/>
      <c r="J1958" s="28">
        <f t="shared" ref="J1958" si="1699">D1958*J$62</f>
        <v>0</v>
      </c>
      <c r="K1958" s="29"/>
      <c r="L1958" s="29"/>
      <c r="M1958" s="29"/>
      <c r="N1958" s="29"/>
      <c r="O1958" s="29"/>
      <c r="P1958" s="30">
        <f t="shared" si="1696"/>
        <v>0</v>
      </c>
      <c r="Q1958" s="31">
        <f t="shared" si="1694"/>
        <v>0</v>
      </c>
    </row>
    <row r="1959" spans="1:17" x14ac:dyDescent="0.2">
      <c r="A1959" s="10"/>
      <c r="B1959" s="26"/>
      <c r="C1959" s="11">
        <v>2010</v>
      </c>
      <c r="D1959" s="32">
        <f>SPFI_CLB14!$D$33</f>
        <v>0.31394</v>
      </c>
      <c r="E1959" s="32"/>
      <c r="F1959" s="32"/>
      <c r="G1959" s="32"/>
      <c r="H1959" s="32"/>
      <c r="I1959" s="32"/>
      <c r="J1959" s="28">
        <f t="shared" ref="J1959" si="1700">D1959*J$62</f>
        <v>0</v>
      </c>
      <c r="K1959" s="29"/>
      <c r="L1959" s="29"/>
      <c r="M1959" s="29"/>
      <c r="N1959" s="29"/>
      <c r="O1959" s="29"/>
      <c r="P1959" s="30">
        <f t="shared" si="1696"/>
        <v>0</v>
      </c>
      <c r="Q1959" s="31">
        <f t="shared" si="1694"/>
        <v>0</v>
      </c>
    </row>
    <row r="1960" spans="1:17" x14ac:dyDescent="0.2">
      <c r="A1960" s="10"/>
      <c r="B1960" s="26"/>
      <c r="C1960" s="11">
        <v>2011</v>
      </c>
      <c r="D1960" s="32">
        <f>SPFI_CLB14!$D$34</f>
        <v>0.294348</v>
      </c>
      <c r="E1960" s="32"/>
      <c r="F1960" s="32"/>
      <c r="G1960" s="32"/>
      <c r="H1960" s="32"/>
      <c r="I1960" s="32"/>
      <c r="J1960" s="28">
        <f t="shared" ref="J1960" si="1701">D1960*J$62</f>
        <v>0</v>
      </c>
      <c r="K1960" s="29"/>
      <c r="L1960" s="29"/>
      <c r="M1960" s="29"/>
      <c r="N1960" s="29"/>
      <c r="O1960" s="29"/>
      <c r="P1960" s="30">
        <f t="shared" ref="P1960" si="1702">SUM(J1960:O1960)</f>
        <v>0</v>
      </c>
      <c r="Q1960" s="31">
        <f t="shared" ref="Q1960" si="1703">IF(C$62&gt;0,P1960/C$62,0)</f>
        <v>0</v>
      </c>
    </row>
    <row r="1961" spans="1:17" x14ac:dyDescent="0.2">
      <c r="A1961" s="10"/>
      <c r="B1961" s="26"/>
      <c r="C1961" s="11">
        <v>2012</v>
      </c>
      <c r="D1961" s="32">
        <f>SPFI_CLB14!$D$35</f>
        <v>0.34784100000000001</v>
      </c>
      <c r="E1961" s="32"/>
      <c r="F1961" s="32"/>
      <c r="G1961" s="32"/>
      <c r="H1961" s="32"/>
      <c r="I1961" s="32"/>
      <c r="J1961" s="28">
        <f t="shared" ref="J1961" si="1704">D1961*J$62</f>
        <v>0</v>
      </c>
      <c r="K1961" s="29"/>
      <c r="L1961" s="29"/>
      <c r="M1961" s="29"/>
      <c r="N1961" s="29"/>
      <c r="O1961" s="29"/>
      <c r="P1961" s="30">
        <f t="shared" ref="P1961" si="1705">SUM(J1961:O1961)</f>
        <v>0</v>
      </c>
      <c r="Q1961" s="31">
        <f t="shared" ref="Q1961" si="1706">IF(C$62&gt;0,P1961/C$62,0)</f>
        <v>0</v>
      </c>
    </row>
    <row r="1962" spans="1:17" x14ac:dyDescent="0.2">
      <c r="A1962" s="5" t="s">
        <v>20</v>
      </c>
      <c r="B1962" s="21">
        <v>5</v>
      </c>
      <c r="C1962" s="6">
        <v>1982</v>
      </c>
      <c r="D1962" s="27">
        <f>SPFI_CLB14!$D$5</f>
        <v>0.98153299999999999</v>
      </c>
      <c r="E1962" s="27"/>
      <c r="F1962" s="27"/>
      <c r="G1962" s="27"/>
      <c r="H1962" s="27"/>
      <c r="I1962" s="27"/>
      <c r="J1962" s="33">
        <f t="shared" ref="J1962:J1974" si="1707">D1962*J$63</f>
        <v>0</v>
      </c>
      <c r="K1962" s="27"/>
      <c r="L1962" s="27"/>
      <c r="M1962" s="27"/>
      <c r="N1962" s="27"/>
      <c r="O1962" s="27"/>
      <c r="P1962" s="34">
        <f t="shared" si="1696"/>
        <v>0</v>
      </c>
      <c r="Q1962" s="35">
        <f t="shared" ref="Q1962:Q1978" si="1708">IF(C$63&gt;0,P1962/C$63,0)</f>
        <v>0</v>
      </c>
    </row>
    <row r="1963" spans="1:17" x14ac:dyDescent="0.2">
      <c r="A1963" s="10"/>
      <c r="B1963" s="26"/>
      <c r="C1963" s="11">
        <v>1983</v>
      </c>
      <c r="D1963" s="32">
        <f>SPFI_CLB14!$D$6</f>
        <v>0.93659899999999996</v>
      </c>
      <c r="E1963" s="32"/>
      <c r="F1963" s="32"/>
      <c r="G1963" s="32"/>
      <c r="H1963" s="32"/>
      <c r="I1963" s="32"/>
      <c r="J1963" s="28">
        <f t="shared" si="1707"/>
        <v>0</v>
      </c>
      <c r="K1963" s="29"/>
      <c r="L1963" s="29"/>
      <c r="M1963" s="29"/>
      <c r="N1963" s="29"/>
      <c r="O1963" s="29"/>
      <c r="P1963" s="30">
        <f t="shared" ref="P1963:P1974" si="1709">SUM(J1963:O1963)</f>
        <v>0</v>
      </c>
      <c r="Q1963" s="31">
        <f t="shared" si="1708"/>
        <v>0</v>
      </c>
    </row>
    <row r="1964" spans="1:17" x14ac:dyDescent="0.2">
      <c r="A1964" s="10"/>
      <c r="B1964" s="26"/>
      <c r="C1964" s="11">
        <v>1984</v>
      </c>
      <c r="D1964" s="32">
        <f>SPFI_CLB14!$D$7</f>
        <v>0.92793599999999998</v>
      </c>
      <c r="E1964" s="32"/>
      <c r="F1964" s="32"/>
      <c r="G1964" s="32"/>
      <c r="H1964" s="32"/>
      <c r="I1964" s="32"/>
      <c r="J1964" s="28">
        <f t="shared" si="1707"/>
        <v>0</v>
      </c>
      <c r="K1964" s="29"/>
      <c r="L1964" s="29"/>
      <c r="M1964" s="29"/>
      <c r="N1964" s="29"/>
      <c r="O1964" s="29"/>
      <c r="P1964" s="30">
        <f t="shared" si="1709"/>
        <v>0</v>
      </c>
      <c r="Q1964" s="31">
        <f t="shared" si="1708"/>
        <v>0</v>
      </c>
    </row>
    <row r="1965" spans="1:17" x14ac:dyDescent="0.2">
      <c r="A1965" s="10"/>
      <c r="B1965" s="26"/>
      <c r="C1965" s="11">
        <v>1985</v>
      </c>
      <c r="D1965" s="32">
        <f>SPFI_CLB14!$D$8</f>
        <v>0.90386500000000003</v>
      </c>
      <c r="E1965" s="32"/>
      <c r="F1965" s="32"/>
      <c r="G1965" s="32"/>
      <c r="H1965" s="32"/>
      <c r="I1965" s="32"/>
      <c r="J1965" s="28">
        <f t="shared" si="1707"/>
        <v>0</v>
      </c>
      <c r="K1965" s="29"/>
      <c r="L1965" s="29"/>
      <c r="M1965" s="29"/>
      <c r="N1965" s="29"/>
      <c r="O1965" s="29"/>
      <c r="P1965" s="30">
        <f t="shared" si="1709"/>
        <v>0</v>
      </c>
      <c r="Q1965" s="31">
        <f t="shared" si="1708"/>
        <v>0</v>
      </c>
    </row>
    <row r="1966" spans="1:17" x14ac:dyDescent="0.2">
      <c r="A1966" s="10"/>
      <c r="B1966" s="26"/>
      <c r="C1966" s="11">
        <v>1986</v>
      </c>
      <c r="D1966" s="32">
        <f>SPFI_CLB14!$D$9</f>
        <v>0.73087500000000005</v>
      </c>
      <c r="E1966" s="32"/>
      <c r="F1966" s="32"/>
      <c r="G1966" s="32"/>
      <c r="H1966" s="32"/>
      <c r="I1966" s="32"/>
      <c r="J1966" s="28">
        <f t="shared" si="1707"/>
        <v>0</v>
      </c>
      <c r="K1966" s="29"/>
      <c r="L1966" s="29"/>
      <c r="M1966" s="29"/>
      <c r="N1966" s="29"/>
      <c r="O1966" s="29"/>
      <c r="P1966" s="30">
        <f t="shared" si="1709"/>
        <v>0</v>
      </c>
      <c r="Q1966" s="31">
        <f t="shared" si="1708"/>
        <v>0</v>
      </c>
    </row>
    <row r="1967" spans="1:17" x14ac:dyDescent="0.2">
      <c r="A1967" s="10"/>
      <c r="B1967" s="26"/>
      <c r="C1967" s="11">
        <v>1987</v>
      </c>
      <c r="D1967" s="32">
        <f>SPFI_CLB14!$D$10</f>
        <v>0.71733499999999994</v>
      </c>
      <c r="E1967" s="32"/>
      <c r="F1967" s="32"/>
      <c r="G1967" s="32"/>
      <c r="H1967" s="32"/>
      <c r="I1967" s="32"/>
      <c r="J1967" s="28">
        <f t="shared" si="1707"/>
        <v>0</v>
      </c>
      <c r="K1967" s="29"/>
      <c r="L1967" s="29"/>
      <c r="M1967" s="29"/>
      <c r="N1967" s="29"/>
      <c r="O1967" s="29"/>
      <c r="P1967" s="30">
        <f t="shared" si="1709"/>
        <v>0</v>
      </c>
      <c r="Q1967" s="31">
        <f t="shared" si="1708"/>
        <v>0</v>
      </c>
    </row>
    <row r="1968" spans="1:17" x14ac:dyDescent="0.2">
      <c r="A1968" s="10"/>
      <c r="B1968" s="26"/>
      <c r="C1968" s="11">
        <v>1988</v>
      </c>
      <c r="D1968" s="32">
        <f>SPFI_CLB14!$D$11</f>
        <v>0.64558800000000005</v>
      </c>
      <c r="E1968" s="32"/>
      <c r="F1968" s="32"/>
      <c r="G1968" s="32"/>
      <c r="H1968" s="32"/>
      <c r="I1968" s="32"/>
      <c r="J1968" s="28">
        <f t="shared" si="1707"/>
        <v>0</v>
      </c>
      <c r="K1968" s="29"/>
      <c r="L1968" s="29"/>
      <c r="M1968" s="29"/>
      <c r="N1968" s="29"/>
      <c r="O1968" s="29"/>
      <c r="P1968" s="30">
        <f t="shared" si="1709"/>
        <v>0</v>
      </c>
      <c r="Q1968" s="31">
        <f t="shared" si="1708"/>
        <v>0</v>
      </c>
    </row>
    <row r="1969" spans="1:17" x14ac:dyDescent="0.2">
      <c r="A1969" s="10"/>
      <c r="B1969" s="26"/>
      <c r="C1969" s="11">
        <v>1989</v>
      </c>
      <c r="D1969" s="32">
        <f>SPFI_CLB14!$D$12</f>
        <v>0.65287700000000004</v>
      </c>
      <c r="E1969" s="32"/>
      <c r="F1969" s="32"/>
      <c r="G1969" s="32"/>
      <c r="H1969" s="32"/>
      <c r="I1969" s="32"/>
      <c r="J1969" s="28">
        <f t="shared" si="1707"/>
        <v>0</v>
      </c>
      <c r="K1969" s="29"/>
      <c r="L1969" s="29"/>
      <c r="M1969" s="29"/>
      <c r="N1969" s="29"/>
      <c r="O1969" s="29"/>
      <c r="P1969" s="30">
        <f t="shared" si="1709"/>
        <v>0</v>
      </c>
      <c r="Q1969" s="31">
        <f t="shared" si="1708"/>
        <v>0</v>
      </c>
    </row>
    <row r="1970" spans="1:17" x14ac:dyDescent="0.2">
      <c r="A1970" s="10"/>
      <c r="B1970" s="26"/>
      <c r="C1970" s="11">
        <v>1990</v>
      </c>
      <c r="D1970" s="32">
        <f>SPFI_CLB14!$D$13</f>
        <v>0.56965100000000002</v>
      </c>
      <c r="E1970" s="32"/>
      <c r="F1970" s="32"/>
      <c r="G1970" s="32"/>
      <c r="H1970" s="32"/>
      <c r="I1970" s="32"/>
      <c r="J1970" s="28">
        <f t="shared" si="1707"/>
        <v>0</v>
      </c>
      <c r="K1970" s="29"/>
      <c r="L1970" s="29"/>
      <c r="M1970" s="29"/>
      <c r="N1970" s="29"/>
      <c r="O1970" s="29"/>
      <c r="P1970" s="30">
        <f t="shared" si="1709"/>
        <v>0</v>
      </c>
      <c r="Q1970" s="31">
        <f t="shared" si="1708"/>
        <v>0</v>
      </c>
    </row>
    <row r="1971" spans="1:17" x14ac:dyDescent="0.2">
      <c r="A1971" s="10"/>
      <c r="B1971" s="26"/>
      <c r="C1971" s="11">
        <v>1991</v>
      </c>
      <c r="D1971" s="32">
        <f>SPFI_CLB14!$D$14</f>
        <v>0.62776900000000002</v>
      </c>
      <c r="E1971" s="32"/>
      <c r="F1971" s="32"/>
      <c r="G1971" s="32"/>
      <c r="H1971" s="32"/>
      <c r="I1971" s="32"/>
      <c r="J1971" s="28">
        <f t="shared" si="1707"/>
        <v>0</v>
      </c>
      <c r="K1971" s="29"/>
      <c r="L1971" s="29"/>
      <c r="M1971" s="29"/>
      <c r="N1971" s="29"/>
      <c r="O1971" s="29"/>
      <c r="P1971" s="30">
        <f t="shared" si="1709"/>
        <v>0</v>
      </c>
      <c r="Q1971" s="31">
        <f t="shared" si="1708"/>
        <v>0</v>
      </c>
    </row>
    <row r="1972" spans="1:17" x14ac:dyDescent="0.2">
      <c r="A1972" s="10"/>
      <c r="B1972" s="26"/>
      <c r="C1972" s="11">
        <v>1992</v>
      </c>
      <c r="D1972" s="32">
        <f>SPFI_CLB14!$D$15</f>
        <v>0.43504100000000001</v>
      </c>
      <c r="E1972" s="32"/>
      <c r="F1972" s="32"/>
      <c r="G1972" s="32"/>
      <c r="H1972" s="32"/>
      <c r="I1972" s="32"/>
      <c r="J1972" s="28">
        <f t="shared" si="1707"/>
        <v>0</v>
      </c>
      <c r="K1972" s="29"/>
      <c r="L1972" s="29"/>
      <c r="M1972" s="29"/>
      <c r="N1972" s="29"/>
      <c r="O1972" s="29"/>
      <c r="P1972" s="30">
        <f t="shared" si="1709"/>
        <v>0</v>
      </c>
      <c r="Q1972" s="31">
        <f t="shared" si="1708"/>
        <v>0</v>
      </c>
    </row>
    <row r="1973" spans="1:17" x14ac:dyDescent="0.2">
      <c r="A1973" s="10"/>
      <c r="B1973" s="26"/>
      <c r="C1973" s="11">
        <v>1993</v>
      </c>
      <c r="D1973" s="32">
        <f>SPFI_CLB14!$D$16</f>
        <v>0.499164</v>
      </c>
      <c r="E1973" s="32"/>
      <c r="F1973" s="32"/>
      <c r="G1973" s="32"/>
      <c r="H1973" s="32"/>
      <c r="I1973" s="32"/>
      <c r="J1973" s="28">
        <f t="shared" si="1707"/>
        <v>0</v>
      </c>
      <c r="K1973" s="29"/>
      <c r="L1973" s="29"/>
      <c r="M1973" s="29"/>
      <c r="N1973" s="29"/>
      <c r="O1973" s="29"/>
      <c r="P1973" s="30">
        <f t="shared" si="1709"/>
        <v>0</v>
      </c>
      <c r="Q1973" s="31">
        <f t="shared" si="1708"/>
        <v>0</v>
      </c>
    </row>
    <row r="1974" spans="1:17" x14ac:dyDescent="0.2">
      <c r="A1974" s="10"/>
      <c r="B1974" s="26" t="s">
        <v>48</v>
      </c>
      <c r="C1974" s="11">
        <v>1994</v>
      </c>
      <c r="D1974" s="32">
        <f>SPFI_CLB14!$D$17</f>
        <v>0.59591300000000003</v>
      </c>
      <c r="E1974" s="32"/>
      <c r="F1974" s="32"/>
      <c r="G1974" s="32"/>
      <c r="H1974" s="32"/>
      <c r="I1974" s="32"/>
      <c r="J1974" s="28">
        <f t="shared" si="1707"/>
        <v>0</v>
      </c>
      <c r="K1974" s="29"/>
      <c r="L1974" s="29"/>
      <c r="M1974" s="29"/>
      <c r="N1974" s="29"/>
      <c r="O1974" s="29"/>
      <c r="P1974" s="30">
        <f t="shared" si="1709"/>
        <v>0</v>
      </c>
      <c r="Q1974" s="31">
        <f t="shared" si="1708"/>
        <v>0</v>
      </c>
    </row>
    <row r="1975" spans="1:17" x14ac:dyDescent="0.2">
      <c r="A1975" s="10"/>
      <c r="B1975" s="26"/>
      <c r="C1975" s="11">
        <v>1995</v>
      </c>
      <c r="D1975" s="32">
        <f>SPFI_CLB14!$D$18</f>
        <v>0.25400800000000001</v>
      </c>
      <c r="E1975" s="32"/>
      <c r="F1975" s="32"/>
      <c r="G1975" s="32"/>
      <c r="H1975" s="32"/>
      <c r="I1975" s="32"/>
      <c r="J1975" s="28">
        <f t="shared" ref="J1975" si="1710">D1975*J$63</f>
        <v>0</v>
      </c>
      <c r="K1975" s="29"/>
      <c r="L1975" s="29"/>
      <c r="M1975" s="29"/>
      <c r="N1975" s="29"/>
      <c r="O1975" s="29"/>
      <c r="P1975" s="30">
        <f>SUM(J1975:O1975)</f>
        <v>0</v>
      </c>
      <c r="Q1975" s="31">
        <f t="shared" si="1708"/>
        <v>0</v>
      </c>
    </row>
    <row r="1976" spans="1:17" x14ac:dyDescent="0.2">
      <c r="A1976" s="10"/>
      <c r="B1976" s="26"/>
      <c r="C1976" s="11">
        <v>1996</v>
      </c>
      <c r="D1976" s="32">
        <f>SPFI_CLB14!$D$19</f>
        <v>0</v>
      </c>
      <c r="E1976" s="32"/>
      <c r="F1976" s="32"/>
      <c r="G1976" s="32"/>
      <c r="H1976" s="32"/>
      <c r="I1976" s="32"/>
      <c r="J1976" s="28">
        <f t="shared" ref="J1976" si="1711">D1976*J$63</f>
        <v>0</v>
      </c>
      <c r="K1976" s="29"/>
      <c r="L1976" s="29"/>
      <c r="M1976" s="29"/>
      <c r="N1976" s="29"/>
      <c r="O1976" s="29"/>
      <c r="P1976" s="30">
        <f>SUM(J1976:O1976)</f>
        <v>0</v>
      </c>
      <c r="Q1976" s="31">
        <f t="shared" si="1708"/>
        <v>0</v>
      </c>
    </row>
    <row r="1977" spans="1:17" x14ac:dyDescent="0.2">
      <c r="A1977" s="10"/>
      <c r="B1977" s="26"/>
      <c r="C1977" s="11">
        <v>1997</v>
      </c>
      <c r="D1977" s="32">
        <f>SPFI_CLB14!$D$20</f>
        <v>0.201487</v>
      </c>
      <c r="E1977" s="32"/>
      <c r="F1977" s="32"/>
      <c r="G1977" s="32"/>
      <c r="H1977" s="32"/>
      <c r="I1977" s="32"/>
      <c r="J1977" s="28">
        <f t="shared" ref="J1977" si="1712">D1977*J$63</f>
        <v>0</v>
      </c>
      <c r="K1977" s="29"/>
      <c r="L1977" s="29"/>
      <c r="M1977" s="29"/>
      <c r="N1977" s="29"/>
      <c r="O1977" s="29"/>
      <c r="P1977" s="30">
        <f>SUM(J1977:O1977)</f>
        <v>0</v>
      </c>
      <c r="Q1977" s="31">
        <f t="shared" si="1708"/>
        <v>0</v>
      </c>
    </row>
    <row r="1978" spans="1:17" x14ac:dyDescent="0.2">
      <c r="A1978" s="10"/>
      <c r="B1978" s="26"/>
      <c r="C1978" s="11">
        <v>1998</v>
      </c>
      <c r="D1978" s="32">
        <f>SPFI_CLB14!$D$21</f>
        <v>0.37506400000000001</v>
      </c>
      <c r="E1978" s="32"/>
      <c r="F1978" s="32"/>
      <c r="G1978" s="32"/>
      <c r="H1978" s="32"/>
      <c r="I1978" s="32"/>
      <c r="J1978" s="28">
        <f t="shared" ref="J1978" si="1713">D1978*J$63</f>
        <v>0</v>
      </c>
      <c r="K1978" s="29"/>
      <c r="L1978" s="29"/>
      <c r="M1978" s="29"/>
      <c r="N1978" s="29"/>
      <c r="O1978" s="29"/>
      <c r="P1978" s="30">
        <f>SUM(J1978:O1978)</f>
        <v>0</v>
      </c>
      <c r="Q1978" s="31">
        <f t="shared" si="1708"/>
        <v>0</v>
      </c>
    </row>
    <row r="1979" spans="1:17" x14ac:dyDescent="0.2">
      <c r="A1979" s="10"/>
      <c r="B1979" s="26"/>
      <c r="C1979" s="11">
        <v>1999</v>
      </c>
      <c r="D1979" s="32">
        <f>SPFI_CLB14!$D$22</f>
        <v>0.29823699999999997</v>
      </c>
      <c r="E1979" s="32"/>
      <c r="F1979" s="32"/>
      <c r="G1979" s="32"/>
      <c r="H1979" s="32"/>
      <c r="I1979" s="32"/>
      <c r="J1979" s="28">
        <f t="shared" ref="J1979" si="1714">D1979*J$63</f>
        <v>0</v>
      </c>
      <c r="K1979" s="29"/>
      <c r="L1979" s="29"/>
      <c r="M1979" s="29"/>
      <c r="N1979" s="29"/>
      <c r="O1979" s="29"/>
      <c r="P1979" s="30">
        <f>SUM(J1979:O1979)</f>
        <v>0</v>
      </c>
      <c r="Q1979" s="31">
        <f t="shared" ref="Q1979:Q1984" si="1715">IF(C$63&gt;0,P1979/C$63,0)</f>
        <v>0</v>
      </c>
    </row>
    <row r="1980" spans="1:17" x14ac:dyDescent="0.2">
      <c r="A1980" s="10"/>
      <c r="B1980" s="26"/>
      <c r="C1980" s="11">
        <v>2000</v>
      </c>
      <c r="D1980" s="32">
        <f>SPFI_CLB14!$D$23</f>
        <v>8.4414000000000003E-2</v>
      </c>
      <c r="E1980" s="32"/>
      <c r="F1980" s="32"/>
      <c r="G1980" s="32"/>
      <c r="H1980" s="32"/>
      <c r="I1980" s="32"/>
      <c r="J1980" s="28">
        <f t="shared" ref="J1980" si="1716">D1980*J$63</f>
        <v>0</v>
      </c>
      <c r="K1980" s="29"/>
      <c r="L1980" s="29"/>
      <c r="M1980" s="29"/>
      <c r="N1980" s="29"/>
      <c r="O1980" s="29"/>
      <c r="P1980" s="30">
        <f t="shared" ref="P1980:P1985" si="1717">SUM(J1980:O1980)</f>
        <v>0</v>
      </c>
      <c r="Q1980" s="31">
        <f t="shared" si="1715"/>
        <v>0</v>
      </c>
    </row>
    <row r="1981" spans="1:17" x14ac:dyDescent="0.2">
      <c r="A1981" s="10"/>
      <c r="B1981" s="26"/>
      <c r="C1981" s="11">
        <v>2001</v>
      </c>
      <c r="D1981" s="32">
        <f>SPFI_CLB14!$D$24</f>
        <v>7.8909000000000007E-2</v>
      </c>
      <c r="E1981" s="32"/>
      <c r="F1981" s="32"/>
      <c r="G1981" s="32"/>
      <c r="H1981" s="32"/>
      <c r="I1981" s="32"/>
      <c r="J1981" s="28">
        <f t="shared" ref="J1981" si="1718">D1981*J$63</f>
        <v>0</v>
      </c>
      <c r="K1981" s="29"/>
      <c r="L1981" s="29"/>
      <c r="M1981" s="29"/>
      <c r="N1981" s="29"/>
      <c r="O1981" s="29"/>
      <c r="P1981" s="30">
        <f t="shared" si="1717"/>
        <v>0</v>
      </c>
      <c r="Q1981" s="31">
        <f t="shared" si="1715"/>
        <v>0</v>
      </c>
    </row>
    <row r="1982" spans="1:17" x14ac:dyDescent="0.2">
      <c r="A1982" s="10"/>
      <c r="B1982" s="26"/>
      <c r="C1982" s="11">
        <v>2002</v>
      </c>
      <c r="D1982" s="32">
        <f>SPFI_CLB14!$D$25</f>
        <v>0.29974699999999999</v>
      </c>
      <c r="E1982" s="32"/>
      <c r="F1982" s="32"/>
      <c r="G1982" s="32"/>
      <c r="H1982" s="32"/>
      <c r="I1982" s="32"/>
      <c r="J1982" s="28">
        <f t="shared" ref="J1982" si="1719">D1982*J$63</f>
        <v>0</v>
      </c>
      <c r="K1982" s="29"/>
      <c r="L1982" s="29"/>
      <c r="M1982" s="29"/>
      <c r="N1982" s="29"/>
      <c r="O1982" s="29"/>
      <c r="P1982" s="30">
        <f t="shared" si="1717"/>
        <v>0</v>
      </c>
      <c r="Q1982" s="31">
        <f t="shared" si="1715"/>
        <v>0</v>
      </c>
    </row>
    <row r="1983" spans="1:17" x14ac:dyDescent="0.2">
      <c r="A1983" s="10"/>
      <c r="B1983" s="26"/>
      <c r="C1983" s="11">
        <v>2003</v>
      </c>
      <c r="D1983" s="32">
        <f>SPFI_CLB14!$D$26</f>
        <v>0.20691100000000001</v>
      </c>
      <c r="E1983" s="32"/>
      <c r="F1983" s="32"/>
      <c r="G1983" s="32"/>
      <c r="H1983" s="32"/>
      <c r="I1983" s="32"/>
      <c r="J1983" s="28">
        <f t="shared" ref="J1983" si="1720">D1983*J$63</f>
        <v>0</v>
      </c>
      <c r="K1983" s="29"/>
      <c r="L1983" s="29"/>
      <c r="M1983" s="29"/>
      <c r="N1983" s="29"/>
      <c r="O1983" s="29"/>
      <c r="P1983" s="30">
        <f t="shared" si="1717"/>
        <v>0</v>
      </c>
      <c r="Q1983" s="31">
        <f t="shared" si="1715"/>
        <v>0</v>
      </c>
    </row>
    <row r="1984" spans="1:17" x14ac:dyDescent="0.2">
      <c r="A1984" s="10"/>
      <c r="B1984" s="26"/>
      <c r="C1984" s="11">
        <v>2004</v>
      </c>
      <c r="D1984" s="32">
        <f>SPFI_CLB14!$D$27</f>
        <v>0.269237</v>
      </c>
      <c r="E1984" s="32"/>
      <c r="F1984" s="32"/>
      <c r="G1984" s="32"/>
      <c r="H1984" s="32"/>
      <c r="I1984" s="32"/>
      <c r="J1984" s="28">
        <f t="shared" ref="J1984" si="1721">D1984*J$63</f>
        <v>0</v>
      </c>
      <c r="K1984" s="29"/>
      <c r="L1984" s="29"/>
      <c r="M1984" s="29"/>
      <c r="N1984" s="29"/>
      <c r="O1984" s="29"/>
      <c r="P1984" s="30">
        <f t="shared" si="1717"/>
        <v>0</v>
      </c>
      <c r="Q1984" s="31">
        <f t="shared" si="1715"/>
        <v>0</v>
      </c>
    </row>
    <row r="1985" spans="1:17" x14ac:dyDescent="0.2">
      <c r="A1985" s="10"/>
      <c r="B1985" s="26"/>
      <c r="C1985" s="11">
        <v>2005</v>
      </c>
      <c r="D1985" s="32">
        <f>SPFI_CLB14!$D$28</f>
        <v>0.37848700000000002</v>
      </c>
      <c r="E1985" s="32"/>
      <c r="F1985" s="32"/>
      <c r="G1985" s="32"/>
      <c r="H1985" s="32"/>
      <c r="I1985" s="32"/>
      <c r="J1985" s="28">
        <f t="shared" ref="J1985" si="1722">D1985*J$63</f>
        <v>0</v>
      </c>
      <c r="K1985" s="29"/>
      <c r="L1985" s="29"/>
      <c r="M1985" s="29"/>
      <c r="N1985" s="29"/>
      <c r="O1985" s="29"/>
      <c r="P1985" s="30">
        <f t="shared" si="1717"/>
        <v>0</v>
      </c>
      <c r="Q1985" s="31">
        <f t="shared" ref="Q1985:Q1990" si="1723">IF(C$63&gt;0,P1985/C$63,0)</f>
        <v>0</v>
      </c>
    </row>
    <row r="1986" spans="1:17" x14ac:dyDescent="0.2">
      <c r="A1986" s="10"/>
      <c r="B1986" s="26"/>
      <c r="C1986" s="11">
        <v>2006</v>
      </c>
      <c r="D1986" s="32">
        <f>SPFI_CLB14!$D$29</f>
        <v>0.381023</v>
      </c>
      <c r="E1986" s="32"/>
      <c r="F1986" s="32"/>
      <c r="G1986" s="32"/>
      <c r="H1986" s="32"/>
      <c r="I1986" s="32"/>
      <c r="J1986" s="28">
        <f t="shared" ref="J1986" si="1724">D1986*J$63</f>
        <v>0</v>
      </c>
      <c r="K1986" s="29"/>
      <c r="L1986" s="29"/>
      <c r="M1986" s="29"/>
      <c r="N1986" s="29"/>
      <c r="O1986" s="29"/>
      <c r="P1986" s="30">
        <f t="shared" ref="P1986:P1993" si="1725">SUM(J1986:O1986)</f>
        <v>0</v>
      </c>
      <c r="Q1986" s="31">
        <f t="shared" si="1723"/>
        <v>0</v>
      </c>
    </row>
    <row r="1987" spans="1:17" x14ac:dyDescent="0.2">
      <c r="A1987" s="10"/>
      <c r="B1987" s="26"/>
      <c r="C1987" s="11">
        <v>2007</v>
      </c>
      <c r="D1987" s="32">
        <f>SPFI_CLB14!$D$30</f>
        <v>0.356512</v>
      </c>
      <c r="E1987" s="32"/>
      <c r="F1987" s="32"/>
      <c r="G1987" s="32"/>
      <c r="H1987" s="32"/>
      <c r="I1987" s="32"/>
      <c r="J1987" s="28">
        <f t="shared" ref="J1987" si="1726">D1987*J$63</f>
        <v>0</v>
      </c>
      <c r="K1987" s="29"/>
      <c r="L1987" s="29"/>
      <c r="M1987" s="29"/>
      <c r="N1987" s="29"/>
      <c r="O1987" s="29"/>
      <c r="P1987" s="30">
        <f t="shared" si="1725"/>
        <v>0</v>
      </c>
      <c r="Q1987" s="31">
        <f t="shared" si="1723"/>
        <v>0</v>
      </c>
    </row>
    <row r="1988" spans="1:17" x14ac:dyDescent="0.2">
      <c r="A1988" s="10"/>
      <c r="B1988" s="26"/>
      <c r="C1988" s="11">
        <v>2008</v>
      </c>
      <c r="D1988" s="32">
        <f>SPFI_CLB14!$D$31</f>
        <v>0.25494499999999998</v>
      </c>
      <c r="E1988" s="32"/>
      <c r="F1988" s="32"/>
      <c r="G1988" s="32"/>
      <c r="H1988" s="32"/>
      <c r="I1988" s="32"/>
      <c r="J1988" s="28">
        <f t="shared" ref="J1988" si="1727">D1988*J$63</f>
        <v>0</v>
      </c>
      <c r="K1988" s="29"/>
      <c r="L1988" s="29"/>
      <c r="M1988" s="29"/>
      <c r="N1988" s="29"/>
      <c r="O1988" s="29"/>
      <c r="P1988" s="30">
        <f t="shared" si="1725"/>
        <v>0</v>
      </c>
      <c r="Q1988" s="31">
        <f t="shared" si="1723"/>
        <v>0</v>
      </c>
    </row>
    <row r="1989" spans="1:17" x14ac:dyDescent="0.2">
      <c r="A1989" s="10"/>
      <c r="B1989" s="26"/>
      <c r="C1989" s="11">
        <v>2009</v>
      </c>
      <c r="D1989" s="32">
        <f>SPFI_CLB14!$D$32</f>
        <v>0.52383000000000002</v>
      </c>
      <c r="E1989" s="32"/>
      <c r="F1989" s="32"/>
      <c r="G1989" s="32"/>
      <c r="H1989" s="32"/>
      <c r="I1989" s="32"/>
      <c r="J1989" s="28">
        <f t="shared" ref="J1989" si="1728">D1989*J$63</f>
        <v>0</v>
      </c>
      <c r="K1989" s="29"/>
      <c r="L1989" s="29"/>
      <c r="M1989" s="29"/>
      <c r="N1989" s="29"/>
      <c r="O1989" s="29"/>
      <c r="P1989" s="30">
        <f t="shared" si="1725"/>
        <v>0</v>
      </c>
      <c r="Q1989" s="31">
        <f t="shared" si="1723"/>
        <v>0</v>
      </c>
    </row>
    <row r="1990" spans="1:17" x14ac:dyDescent="0.2">
      <c r="A1990" s="10"/>
      <c r="B1990" s="26"/>
      <c r="C1990" s="11">
        <v>2010</v>
      </c>
      <c r="D1990" s="32">
        <f>SPFI_CLB14!$D$33</f>
        <v>0.31394</v>
      </c>
      <c r="E1990" s="32"/>
      <c r="F1990" s="32"/>
      <c r="G1990" s="32"/>
      <c r="H1990" s="32"/>
      <c r="I1990" s="32"/>
      <c r="J1990" s="28">
        <f t="shared" ref="J1990" si="1729">D1990*J$63</f>
        <v>0</v>
      </c>
      <c r="K1990" s="29"/>
      <c r="L1990" s="29"/>
      <c r="M1990" s="29"/>
      <c r="N1990" s="29"/>
      <c r="O1990" s="29"/>
      <c r="P1990" s="30">
        <f t="shared" si="1725"/>
        <v>0</v>
      </c>
      <c r="Q1990" s="31">
        <f t="shared" si="1723"/>
        <v>0</v>
      </c>
    </row>
    <row r="1991" spans="1:17" x14ac:dyDescent="0.2">
      <c r="A1991" s="10"/>
      <c r="B1991" s="26"/>
      <c r="C1991" s="11">
        <v>2011</v>
      </c>
      <c r="D1991" s="32">
        <f>SPFI_CLB14!$D$34</f>
        <v>0.294348</v>
      </c>
      <c r="E1991" s="32"/>
      <c r="F1991" s="32"/>
      <c r="G1991" s="32"/>
      <c r="H1991" s="32"/>
      <c r="I1991" s="32"/>
      <c r="J1991" s="28">
        <f t="shared" ref="J1991" si="1730">D1991*J$63</f>
        <v>0</v>
      </c>
      <c r="K1991" s="29"/>
      <c r="L1991" s="29"/>
      <c r="M1991" s="29"/>
      <c r="N1991" s="29"/>
      <c r="O1991" s="29"/>
      <c r="P1991" s="30">
        <f t="shared" ref="P1991" si="1731">SUM(J1991:O1991)</f>
        <v>0</v>
      </c>
      <c r="Q1991" s="31">
        <f t="shared" ref="Q1991" si="1732">IF(C$63&gt;0,P1991/C$63,0)</f>
        <v>0</v>
      </c>
    </row>
    <row r="1992" spans="1:17" x14ac:dyDescent="0.2">
      <c r="A1992" s="10"/>
      <c r="B1992" s="26"/>
      <c r="C1992" s="11">
        <v>2012</v>
      </c>
      <c r="D1992" s="32">
        <f>SPFI_CLB14!$D$35</f>
        <v>0.34784100000000001</v>
      </c>
      <c r="E1992" s="32"/>
      <c r="F1992" s="32"/>
      <c r="G1992" s="32"/>
      <c r="H1992" s="32"/>
      <c r="I1992" s="32"/>
      <c r="J1992" s="28">
        <f t="shared" ref="J1992" si="1733">D1992*J$63</f>
        <v>0</v>
      </c>
      <c r="K1992" s="29"/>
      <c r="L1992" s="29"/>
      <c r="M1992" s="29"/>
      <c r="N1992" s="29"/>
      <c r="O1992" s="29"/>
      <c r="P1992" s="30">
        <f t="shared" ref="P1992" si="1734">SUM(J1992:O1992)</f>
        <v>0</v>
      </c>
      <c r="Q1992" s="31">
        <f t="shared" ref="Q1992" si="1735">IF(C$63&gt;0,P1992/C$63,0)</f>
        <v>0</v>
      </c>
    </row>
    <row r="1993" spans="1:17" x14ac:dyDescent="0.2">
      <c r="A1993" s="5" t="s">
        <v>21</v>
      </c>
      <c r="B1993" s="21">
        <v>2</v>
      </c>
      <c r="C1993" s="6">
        <v>1982</v>
      </c>
      <c r="D1993" s="27">
        <f>SPFI_CLB14!$D$5</f>
        <v>0.98153299999999999</v>
      </c>
      <c r="E1993" s="27"/>
      <c r="F1993" s="27"/>
      <c r="G1993" s="27"/>
      <c r="H1993" s="27"/>
      <c r="I1993" s="27"/>
      <c r="J1993" s="33">
        <f t="shared" ref="J1993:J2005" si="1736">D1993*J$64</f>
        <v>0</v>
      </c>
      <c r="K1993" s="27"/>
      <c r="L1993" s="27"/>
      <c r="M1993" s="27"/>
      <c r="N1993" s="27"/>
      <c r="O1993" s="27"/>
      <c r="P1993" s="34">
        <f t="shared" si="1725"/>
        <v>0</v>
      </c>
      <c r="Q1993" s="35">
        <f t="shared" ref="Q1993:Q2009" si="1737">IF(C$64&gt;0,P1993/C$64,0)</f>
        <v>0</v>
      </c>
    </row>
    <row r="1994" spans="1:17" x14ac:dyDescent="0.2">
      <c r="A1994" s="10"/>
      <c r="B1994" s="26"/>
      <c r="C1994" s="11">
        <v>1983</v>
      </c>
      <c r="D1994" s="32">
        <f>SPFI_CLB14!$D$6</f>
        <v>0.93659899999999996</v>
      </c>
      <c r="E1994" s="32"/>
      <c r="F1994" s="32"/>
      <c r="G1994" s="32"/>
      <c r="H1994" s="32"/>
      <c r="I1994" s="32"/>
      <c r="J1994" s="28">
        <f t="shared" si="1736"/>
        <v>0</v>
      </c>
      <c r="K1994" s="29"/>
      <c r="L1994" s="29"/>
      <c r="M1994" s="29"/>
      <c r="N1994" s="29"/>
      <c r="O1994" s="29"/>
      <c r="P1994" s="30">
        <f t="shared" ref="P1994:P2005" si="1738">SUM(J1994:O1994)</f>
        <v>0</v>
      </c>
      <c r="Q1994" s="31">
        <f t="shared" si="1737"/>
        <v>0</v>
      </c>
    </row>
    <row r="1995" spans="1:17" x14ac:dyDescent="0.2">
      <c r="A1995" s="10"/>
      <c r="B1995" s="26"/>
      <c r="C1995" s="11">
        <v>1984</v>
      </c>
      <c r="D1995" s="32">
        <f>SPFI_CLB14!$D$7</f>
        <v>0.92793599999999998</v>
      </c>
      <c r="E1995" s="32"/>
      <c r="F1995" s="32"/>
      <c r="G1995" s="32"/>
      <c r="H1995" s="32"/>
      <c r="I1995" s="32"/>
      <c r="J1995" s="28">
        <f t="shared" si="1736"/>
        <v>0</v>
      </c>
      <c r="K1995" s="29"/>
      <c r="L1995" s="29"/>
      <c r="M1995" s="29"/>
      <c r="N1995" s="29"/>
      <c r="O1995" s="29"/>
      <c r="P1995" s="30">
        <f t="shared" si="1738"/>
        <v>0</v>
      </c>
      <c r="Q1995" s="31">
        <f t="shared" si="1737"/>
        <v>0</v>
      </c>
    </row>
    <row r="1996" spans="1:17" x14ac:dyDescent="0.2">
      <c r="A1996" s="10"/>
      <c r="B1996" s="26"/>
      <c r="C1996" s="11">
        <v>1985</v>
      </c>
      <c r="D1996" s="32">
        <f>SPFI_CLB14!$D$8</f>
        <v>0.90386500000000003</v>
      </c>
      <c r="E1996" s="32"/>
      <c r="F1996" s="32"/>
      <c r="G1996" s="32"/>
      <c r="H1996" s="32"/>
      <c r="I1996" s="32"/>
      <c r="J1996" s="28">
        <f t="shared" si="1736"/>
        <v>0</v>
      </c>
      <c r="K1996" s="29"/>
      <c r="L1996" s="29"/>
      <c r="M1996" s="29"/>
      <c r="N1996" s="29"/>
      <c r="O1996" s="29"/>
      <c r="P1996" s="30">
        <f t="shared" si="1738"/>
        <v>0</v>
      </c>
      <c r="Q1996" s="31">
        <f t="shared" si="1737"/>
        <v>0</v>
      </c>
    </row>
    <row r="1997" spans="1:17" x14ac:dyDescent="0.2">
      <c r="A1997" s="10"/>
      <c r="B1997" s="26"/>
      <c r="C1997" s="11">
        <v>1986</v>
      </c>
      <c r="D1997" s="32">
        <f>SPFI_CLB14!$D$9</f>
        <v>0.73087500000000005</v>
      </c>
      <c r="E1997" s="32"/>
      <c r="F1997" s="32"/>
      <c r="G1997" s="32"/>
      <c r="H1997" s="32"/>
      <c r="I1997" s="32"/>
      <c r="J1997" s="28">
        <f t="shared" si="1736"/>
        <v>0</v>
      </c>
      <c r="K1997" s="29"/>
      <c r="L1997" s="29"/>
      <c r="M1997" s="29"/>
      <c r="N1997" s="29"/>
      <c r="O1997" s="29"/>
      <c r="P1997" s="30">
        <f t="shared" si="1738"/>
        <v>0</v>
      </c>
      <c r="Q1997" s="31">
        <f t="shared" si="1737"/>
        <v>0</v>
      </c>
    </row>
    <row r="1998" spans="1:17" x14ac:dyDescent="0.2">
      <c r="A1998" s="10"/>
      <c r="B1998" s="26"/>
      <c r="C1998" s="11">
        <v>1987</v>
      </c>
      <c r="D1998" s="32">
        <f>SPFI_CLB14!$D$10</f>
        <v>0.71733499999999994</v>
      </c>
      <c r="E1998" s="32"/>
      <c r="F1998" s="32"/>
      <c r="G1998" s="32"/>
      <c r="H1998" s="32"/>
      <c r="I1998" s="32"/>
      <c r="J1998" s="28">
        <f t="shared" si="1736"/>
        <v>0</v>
      </c>
      <c r="K1998" s="29"/>
      <c r="L1998" s="29"/>
      <c r="M1998" s="29"/>
      <c r="N1998" s="29"/>
      <c r="O1998" s="29"/>
      <c r="P1998" s="30">
        <f t="shared" si="1738"/>
        <v>0</v>
      </c>
      <c r="Q1998" s="31">
        <f t="shared" si="1737"/>
        <v>0</v>
      </c>
    </row>
    <row r="1999" spans="1:17" x14ac:dyDescent="0.2">
      <c r="A1999" s="10"/>
      <c r="B1999" s="26"/>
      <c r="C1999" s="11">
        <v>1988</v>
      </c>
      <c r="D1999" s="32">
        <f>SPFI_CLB14!$D$11</f>
        <v>0.64558800000000005</v>
      </c>
      <c r="E1999" s="32"/>
      <c r="F1999" s="32"/>
      <c r="G1999" s="32"/>
      <c r="H1999" s="32"/>
      <c r="I1999" s="32"/>
      <c r="J1999" s="28">
        <f t="shared" si="1736"/>
        <v>0</v>
      </c>
      <c r="K1999" s="29"/>
      <c r="L1999" s="29"/>
      <c r="M1999" s="29"/>
      <c r="N1999" s="29"/>
      <c r="O1999" s="29"/>
      <c r="P1999" s="30">
        <f t="shared" si="1738"/>
        <v>0</v>
      </c>
      <c r="Q1999" s="31">
        <f t="shared" si="1737"/>
        <v>0</v>
      </c>
    </row>
    <row r="2000" spans="1:17" x14ac:dyDescent="0.2">
      <c r="A2000" s="10"/>
      <c r="B2000" s="26"/>
      <c r="C2000" s="11">
        <v>1989</v>
      </c>
      <c r="D2000" s="32">
        <f>SPFI_CLB14!$D$12</f>
        <v>0.65287700000000004</v>
      </c>
      <c r="E2000" s="32"/>
      <c r="F2000" s="32"/>
      <c r="G2000" s="32"/>
      <c r="H2000" s="32"/>
      <c r="I2000" s="32"/>
      <c r="J2000" s="28">
        <f t="shared" si="1736"/>
        <v>0</v>
      </c>
      <c r="K2000" s="29"/>
      <c r="L2000" s="29"/>
      <c r="M2000" s="29"/>
      <c r="N2000" s="29"/>
      <c r="O2000" s="29"/>
      <c r="P2000" s="30">
        <f t="shared" si="1738"/>
        <v>0</v>
      </c>
      <c r="Q2000" s="31">
        <f t="shared" si="1737"/>
        <v>0</v>
      </c>
    </row>
    <row r="2001" spans="1:17" x14ac:dyDescent="0.2">
      <c r="A2001" s="10"/>
      <c r="B2001" s="26"/>
      <c r="C2001" s="11">
        <v>1990</v>
      </c>
      <c r="D2001" s="32">
        <f>SPFI_CLB14!$D$13</f>
        <v>0.56965100000000002</v>
      </c>
      <c r="E2001" s="32"/>
      <c r="F2001" s="32"/>
      <c r="G2001" s="32"/>
      <c r="H2001" s="32"/>
      <c r="I2001" s="32"/>
      <c r="J2001" s="28">
        <f t="shared" si="1736"/>
        <v>0</v>
      </c>
      <c r="K2001" s="29"/>
      <c r="L2001" s="29"/>
      <c r="M2001" s="29"/>
      <c r="N2001" s="29"/>
      <c r="O2001" s="29"/>
      <c r="P2001" s="30">
        <f t="shared" si="1738"/>
        <v>0</v>
      </c>
      <c r="Q2001" s="31">
        <f t="shared" si="1737"/>
        <v>0</v>
      </c>
    </row>
    <row r="2002" spans="1:17" x14ac:dyDescent="0.2">
      <c r="A2002" s="10"/>
      <c r="B2002" s="26"/>
      <c r="C2002" s="11">
        <v>1991</v>
      </c>
      <c r="D2002" s="32">
        <f>SPFI_CLB14!$D$14</f>
        <v>0.62776900000000002</v>
      </c>
      <c r="E2002" s="32"/>
      <c r="F2002" s="32"/>
      <c r="G2002" s="32"/>
      <c r="H2002" s="32"/>
      <c r="I2002" s="32"/>
      <c r="J2002" s="28">
        <f t="shared" si="1736"/>
        <v>0</v>
      </c>
      <c r="K2002" s="29"/>
      <c r="L2002" s="29"/>
      <c r="M2002" s="29"/>
      <c r="N2002" s="29"/>
      <c r="O2002" s="29"/>
      <c r="P2002" s="30">
        <f t="shared" si="1738"/>
        <v>0</v>
      </c>
      <c r="Q2002" s="31">
        <f t="shared" si="1737"/>
        <v>0</v>
      </c>
    </row>
    <row r="2003" spans="1:17" x14ac:dyDescent="0.2">
      <c r="A2003" s="10"/>
      <c r="B2003" s="26"/>
      <c r="C2003" s="11">
        <v>1992</v>
      </c>
      <c r="D2003" s="32">
        <f>SPFI_CLB14!$D$15</f>
        <v>0.43504100000000001</v>
      </c>
      <c r="E2003" s="32"/>
      <c r="F2003" s="32"/>
      <c r="G2003" s="32"/>
      <c r="H2003" s="32"/>
      <c r="I2003" s="32"/>
      <c r="J2003" s="28">
        <f t="shared" si="1736"/>
        <v>0</v>
      </c>
      <c r="K2003" s="29"/>
      <c r="L2003" s="29"/>
      <c r="M2003" s="29"/>
      <c r="N2003" s="29"/>
      <c r="O2003" s="29"/>
      <c r="P2003" s="30">
        <f t="shared" si="1738"/>
        <v>0</v>
      </c>
      <c r="Q2003" s="31">
        <f t="shared" si="1737"/>
        <v>0</v>
      </c>
    </row>
    <row r="2004" spans="1:17" x14ac:dyDescent="0.2">
      <c r="A2004" s="10"/>
      <c r="B2004" s="26"/>
      <c r="C2004" s="11">
        <v>1993</v>
      </c>
      <c r="D2004" s="32">
        <f>SPFI_CLB14!$D$16</f>
        <v>0.499164</v>
      </c>
      <c r="E2004" s="32"/>
      <c r="F2004" s="32"/>
      <c r="G2004" s="32"/>
      <c r="H2004" s="32"/>
      <c r="I2004" s="32"/>
      <c r="J2004" s="28">
        <f t="shared" si="1736"/>
        <v>0</v>
      </c>
      <c r="K2004" s="29"/>
      <c r="L2004" s="29"/>
      <c r="M2004" s="29"/>
      <c r="N2004" s="29"/>
      <c r="O2004" s="29"/>
      <c r="P2004" s="30">
        <f t="shared" si="1738"/>
        <v>0</v>
      </c>
      <c r="Q2004" s="31">
        <f t="shared" si="1737"/>
        <v>0</v>
      </c>
    </row>
    <row r="2005" spans="1:17" x14ac:dyDescent="0.2">
      <c r="A2005" s="10"/>
      <c r="B2005" s="26"/>
      <c r="C2005" s="11">
        <v>1994</v>
      </c>
      <c r="D2005" s="32">
        <f>SPFI_CLB14!$D$17</f>
        <v>0.59591300000000003</v>
      </c>
      <c r="E2005" s="32"/>
      <c r="F2005" s="32"/>
      <c r="G2005" s="32"/>
      <c r="H2005" s="32"/>
      <c r="I2005" s="32"/>
      <c r="J2005" s="28">
        <f t="shared" si="1736"/>
        <v>0</v>
      </c>
      <c r="K2005" s="29"/>
      <c r="L2005" s="29"/>
      <c r="M2005" s="29"/>
      <c r="N2005" s="29"/>
      <c r="O2005" s="29"/>
      <c r="P2005" s="30">
        <f t="shared" si="1738"/>
        <v>0</v>
      </c>
      <c r="Q2005" s="31">
        <f t="shared" si="1737"/>
        <v>0</v>
      </c>
    </row>
    <row r="2006" spans="1:17" x14ac:dyDescent="0.2">
      <c r="A2006" s="10"/>
      <c r="B2006" s="26"/>
      <c r="C2006" s="11">
        <v>1995</v>
      </c>
      <c r="D2006" s="32">
        <f>SPFI_CLB14!$D$18</f>
        <v>0.25400800000000001</v>
      </c>
      <c r="E2006" s="32"/>
      <c r="F2006" s="32"/>
      <c r="G2006" s="32"/>
      <c r="H2006" s="32"/>
      <c r="I2006" s="32"/>
      <c r="J2006" s="28">
        <f t="shared" ref="J2006" si="1739">D2006*J$64</f>
        <v>0</v>
      </c>
      <c r="K2006" s="29"/>
      <c r="L2006" s="29"/>
      <c r="M2006" s="29"/>
      <c r="N2006" s="29"/>
      <c r="O2006" s="29"/>
      <c r="P2006" s="30">
        <f>SUM(J2006:O2006)</f>
        <v>0</v>
      </c>
      <c r="Q2006" s="31">
        <f t="shared" si="1737"/>
        <v>0</v>
      </c>
    </row>
    <row r="2007" spans="1:17" x14ac:dyDescent="0.2">
      <c r="A2007" s="10"/>
      <c r="B2007" s="26"/>
      <c r="C2007" s="11">
        <v>1996</v>
      </c>
      <c r="D2007" s="32">
        <f>SPFI_CLB14!$D$19</f>
        <v>0</v>
      </c>
      <c r="E2007" s="32"/>
      <c r="F2007" s="32"/>
      <c r="G2007" s="32"/>
      <c r="H2007" s="32"/>
      <c r="I2007" s="32"/>
      <c r="J2007" s="28">
        <f t="shared" ref="J2007" si="1740">D2007*J$64</f>
        <v>0</v>
      </c>
      <c r="K2007" s="29"/>
      <c r="L2007" s="29"/>
      <c r="M2007" s="29"/>
      <c r="N2007" s="29"/>
      <c r="O2007" s="29"/>
      <c r="P2007" s="30">
        <f>SUM(J2007:O2007)</f>
        <v>0</v>
      </c>
      <c r="Q2007" s="31">
        <f t="shared" si="1737"/>
        <v>0</v>
      </c>
    </row>
    <row r="2008" spans="1:17" x14ac:dyDescent="0.2">
      <c r="A2008" s="10"/>
      <c r="B2008" s="26"/>
      <c r="C2008" s="11">
        <v>1997</v>
      </c>
      <c r="D2008" s="32">
        <f>SPFI_CLB14!$D$20</f>
        <v>0.201487</v>
      </c>
      <c r="E2008" s="32"/>
      <c r="F2008" s="32"/>
      <c r="G2008" s="32"/>
      <c r="H2008" s="32"/>
      <c r="I2008" s="32"/>
      <c r="J2008" s="28">
        <f t="shared" ref="J2008" si="1741">D2008*J$64</f>
        <v>0</v>
      </c>
      <c r="K2008" s="29"/>
      <c r="L2008" s="29"/>
      <c r="M2008" s="29"/>
      <c r="N2008" s="29"/>
      <c r="O2008" s="29"/>
      <c r="P2008" s="30">
        <f>SUM(J2008:O2008)</f>
        <v>0</v>
      </c>
      <c r="Q2008" s="31">
        <f t="shared" si="1737"/>
        <v>0</v>
      </c>
    </row>
    <row r="2009" spans="1:17" x14ac:dyDescent="0.2">
      <c r="A2009" s="10"/>
      <c r="B2009" s="26"/>
      <c r="C2009" s="11">
        <v>1998</v>
      </c>
      <c r="D2009" s="32">
        <f>SPFI_CLB14!$D$21</f>
        <v>0.37506400000000001</v>
      </c>
      <c r="E2009" s="32"/>
      <c r="F2009" s="32"/>
      <c r="G2009" s="32"/>
      <c r="H2009" s="32"/>
      <c r="I2009" s="32"/>
      <c r="J2009" s="28">
        <f t="shared" ref="J2009" si="1742">D2009*J$64</f>
        <v>0</v>
      </c>
      <c r="K2009" s="29"/>
      <c r="L2009" s="29"/>
      <c r="M2009" s="29"/>
      <c r="N2009" s="29"/>
      <c r="O2009" s="29"/>
      <c r="P2009" s="30">
        <f>SUM(J2009:O2009)</f>
        <v>0</v>
      </c>
      <c r="Q2009" s="31">
        <f t="shared" si="1737"/>
        <v>0</v>
      </c>
    </row>
    <row r="2010" spans="1:17" x14ac:dyDescent="0.2">
      <c r="A2010" s="10"/>
      <c r="B2010" s="26"/>
      <c r="C2010" s="11">
        <v>1999</v>
      </c>
      <c r="D2010" s="32">
        <f>SPFI_CLB14!$D$22</f>
        <v>0.29823699999999997</v>
      </c>
      <c r="E2010" s="32"/>
      <c r="F2010" s="32"/>
      <c r="G2010" s="32"/>
      <c r="H2010" s="32"/>
      <c r="I2010" s="32"/>
      <c r="J2010" s="28">
        <f t="shared" ref="J2010" si="1743">D2010*J$64</f>
        <v>0</v>
      </c>
      <c r="K2010" s="29"/>
      <c r="L2010" s="29"/>
      <c r="M2010" s="29"/>
      <c r="N2010" s="29"/>
      <c r="O2010" s="29"/>
      <c r="P2010" s="30">
        <f>SUM(J2010:O2010)</f>
        <v>0</v>
      </c>
      <c r="Q2010" s="31">
        <f t="shared" ref="Q2010:Q2015" si="1744">IF(C$64&gt;0,P2010/C$64,0)</f>
        <v>0</v>
      </c>
    </row>
    <row r="2011" spans="1:17" x14ac:dyDescent="0.2">
      <c r="A2011" s="10"/>
      <c r="B2011" s="26"/>
      <c r="C2011" s="11">
        <v>2000</v>
      </c>
      <c r="D2011" s="32">
        <f>SPFI_CLB14!$D$23</f>
        <v>8.4414000000000003E-2</v>
      </c>
      <c r="E2011" s="32"/>
      <c r="F2011" s="32"/>
      <c r="G2011" s="32"/>
      <c r="H2011" s="32"/>
      <c r="I2011" s="32"/>
      <c r="J2011" s="28">
        <f t="shared" ref="J2011" si="1745">D2011*J$64</f>
        <v>0</v>
      </c>
      <c r="K2011" s="29"/>
      <c r="L2011" s="29"/>
      <c r="M2011" s="29"/>
      <c r="N2011" s="29"/>
      <c r="O2011" s="29"/>
      <c r="P2011" s="30">
        <f t="shared" ref="P2011:P2016" si="1746">SUM(J2011:O2011)</f>
        <v>0</v>
      </c>
      <c r="Q2011" s="31">
        <f t="shared" si="1744"/>
        <v>0</v>
      </c>
    </row>
    <row r="2012" spans="1:17" x14ac:dyDescent="0.2">
      <c r="A2012" s="10"/>
      <c r="B2012" s="26"/>
      <c r="C2012" s="11">
        <v>2001</v>
      </c>
      <c r="D2012" s="32">
        <f>SPFI_CLB14!$D$24</f>
        <v>7.8909000000000007E-2</v>
      </c>
      <c r="E2012" s="32"/>
      <c r="F2012" s="32"/>
      <c r="G2012" s="32"/>
      <c r="H2012" s="32"/>
      <c r="I2012" s="32"/>
      <c r="J2012" s="28">
        <f t="shared" ref="J2012" si="1747">D2012*J$64</f>
        <v>0</v>
      </c>
      <c r="K2012" s="29"/>
      <c r="L2012" s="29"/>
      <c r="M2012" s="29"/>
      <c r="N2012" s="29"/>
      <c r="O2012" s="29"/>
      <c r="P2012" s="30">
        <f t="shared" si="1746"/>
        <v>0</v>
      </c>
      <c r="Q2012" s="31">
        <f t="shared" si="1744"/>
        <v>0</v>
      </c>
    </row>
    <row r="2013" spans="1:17" x14ac:dyDescent="0.2">
      <c r="A2013" s="10"/>
      <c r="B2013" s="26"/>
      <c r="C2013" s="11">
        <v>2002</v>
      </c>
      <c r="D2013" s="32">
        <f>SPFI_CLB14!$D$25</f>
        <v>0.29974699999999999</v>
      </c>
      <c r="E2013" s="32"/>
      <c r="F2013" s="32"/>
      <c r="G2013" s="32"/>
      <c r="H2013" s="32"/>
      <c r="I2013" s="32"/>
      <c r="J2013" s="28">
        <f t="shared" ref="J2013" si="1748">D2013*J$64</f>
        <v>0</v>
      </c>
      <c r="K2013" s="29"/>
      <c r="L2013" s="29"/>
      <c r="M2013" s="29"/>
      <c r="N2013" s="29"/>
      <c r="O2013" s="29"/>
      <c r="P2013" s="30">
        <f t="shared" si="1746"/>
        <v>0</v>
      </c>
      <c r="Q2013" s="31">
        <f t="shared" si="1744"/>
        <v>0</v>
      </c>
    </row>
    <row r="2014" spans="1:17" x14ac:dyDescent="0.2">
      <c r="A2014" s="10"/>
      <c r="B2014" s="26"/>
      <c r="C2014" s="11">
        <v>2003</v>
      </c>
      <c r="D2014" s="32">
        <f>SPFI_CLB14!$D$26</f>
        <v>0.20691100000000001</v>
      </c>
      <c r="E2014" s="32"/>
      <c r="F2014" s="32"/>
      <c r="G2014" s="32"/>
      <c r="H2014" s="32"/>
      <c r="I2014" s="32"/>
      <c r="J2014" s="28">
        <f t="shared" ref="J2014" si="1749">D2014*J$64</f>
        <v>0</v>
      </c>
      <c r="K2014" s="29"/>
      <c r="L2014" s="29"/>
      <c r="M2014" s="29"/>
      <c r="N2014" s="29"/>
      <c r="O2014" s="29"/>
      <c r="P2014" s="30">
        <f t="shared" si="1746"/>
        <v>0</v>
      </c>
      <c r="Q2014" s="31">
        <f t="shared" si="1744"/>
        <v>0</v>
      </c>
    </row>
    <row r="2015" spans="1:17" x14ac:dyDescent="0.2">
      <c r="A2015" s="10"/>
      <c r="B2015" s="26"/>
      <c r="C2015" s="11">
        <v>2004</v>
      </c>
      <c r="D2015" s="32">
        <f>SPFI_CLB14!$D$27</f>
        <v>0.269237</v>
      </c>
      <c r="E2015" s="32"/>
      <c r="F2015" s="32"/>
      <c r="G2015" s="32"/>
      <c r="H2015" s="32"/>
      <c r="I2015" s="32"/>
      <c r="J2015" s="28">
        <f t="shared" ref="J2015" si="1750">D2015*J$64</f>
        <v>0</v>
      </c>
      <c r="K2015" s="29"/>
      <c r="L2015" s="29"/>
      <c r="M2015" s="29"/>
      <c r="N2015" s="29"/>
      <c r="O2015" s="29"/>
      <c r="P2015" s="30">
        <f t="shared" si="1746"/>
        <v>0</v>
      </c>
      <c r="Q2015" s="31">
        <f t="shared" si="1744"/>
        <v>0</v>
      </c>
    </row>
    <row r="2016" spans="1:17" x14ac:dyDescent="0.2">
      <c r="A2016" s="10"/>
      <c r="B2016" s="26"/>
      <c r="C2016" s="11">
        <v>2005</v>
      </c>
      <c r="D2016" s="32">
        <f>SPFI_CLB14!$D$28</f>
        <v>0.37848700000000002</v>
      </c>
      <c r="E2016" s="32"/>
      <c r="F2016" s="32"/>
      <c r="G2016" s="32"/>
      <c r="H2016" s="32"/>
      <c r="I2016" s="32"/>
      <c r="J2016" s="28">
        <f t="shared" ref="J2016" si="1751">D2016*J$64</f>
        <v>0</v>
      </c>
      <c r="K2016" s="29"/>
      <c r="L2016" s="29"/>
      <c r="M2016" s="29"/>
      <c r="N2016" s="29"/>
      <c r="O2016" s="29"/>
      <c r="P2016" s="30">
        <f t="shared" si="1746"/>
        <v>0</v>
      </c>
      <c r="Q2016" s="31">
        <f t="shared" ref="Q2016:Q2021" si="1752">IF(C$64&gt;0,P2016/C$64,0)</f>
        <v>0</v>
      </c>
    </row>
    <row r="2017" spans="1:17" x14ac:dyDescent="0.2">
      <c r="A2017" s="10"/>
      <c r="B2017" s="26"/>
      <c r="C2017" s="11">
        <v>2006</v>
      </c>
      <c r="D2017" s="32">
        <f>SPFI_CLB14!$D$29</f>
        <v>0.381023</v>
      </c>
      <c r="E2017" s="32"/>
      <c r="F2017" s="32"/>
      <c r="G2017" s="32"/>
      <c r="H2017" s="32"/>
      <c r="I2017" s="32"/>
      <c r="J2017" s="28">
        <f t="shared" ref="J2017" si="1753">D2017*J$64</f>
        <v>0</v>
      </c>
      <c r="K2017" s="29"/>
      <c r="L2017" s="29"/>
      <c r="M2017" s="29"/>
      <c r="N2017" s="29"/>
      <c r="O2017" s="29"/>
      <c r="P2017" s="30">
        <f t="shared" ref="P2017:P2024" si="1754">SUM(J2017:O2017)</f>
        <v>0</v>
      </c>
      <c r="Q2017" s="31">
        <f t="shared" si="1752"/>
        <v>0</v>
      </c>
    </row>
    <row r="2018" spans="1:17" x14ac:dyDescent="0.2">
      <c r="A2018" s="10"/>
      <c r="B2018" s="26"/>
      <c r="C2018" s="11">
        <v>2007</v>
      </c>
      <c r="D2018" s="32">
        <f>SPFI_CLB14!$D$30</f>
        <v>0.356512</v>
      </c>
      <c r="E2018" s="32"/>
      <c r="F2018" s="32"/>
      <c r="G2018" s="32"/>
      <c r="H2018" s="32"/>
      <c r="I2018" s="32"/>
      <c r="J2018" s="28">
        <f t="shared" ref="J2018" si="1755">D2018*J$64</f>
        <v>0</v>
      </c>
      <c r="K2018" s="29"/>
      <c r="L2018" s="29"/>
      <c r="M2018" s="29"/>
      <c r="N2018" s="29"/>
      <c r="O2018" s="29"/>
      <c r="P2018" s="30">
        <f t="shared" si="1754"/>
        <v>0</v>
      </c>
      <c r="Q2018" s="31">
        <f t="shared" si="1752"/>
        <v>0</v>
      </c>
    </row>
    <row r="2019" spans="1:17" x14ac:dyDescent="0.2">
      <c r="A2019" s="10"/>
      <c r="B2019" s="26"/>
      <c r="C2019" s="11">
        <v>2008</v>
      </c>
      <c r="D2019" s="32">
        <f>SPFI_CLB14!$D$31</f>
        <v>0.25494499999999998</v>
      </c>
      <c r="E2019" s="32"/>
      <c r="F2019" s="32"/>
      <c r="G2019" s="32"/>
      <c r="H2019" s="32"/>
      <c r="I2019" s="32"/>
      <c r="J2019" s="28">
        <f t="shared" ref="J2019" si="1756">D2019*J$64</f>
        <v>0</v>
      </c>
      <c r="K2019" s="29"/>
      <c r="L2019" s="29"/>
      <c r="M2019" s="29"/>
      <c r="N2019" s="29"/>
      <c r="O2019" s="29"/>
      <c r="P2019" s="30">
        <f t="shared" si="1754"/>
        <v>0</v>
      </c>
      <c r="Q2019" s="31">
        <f t="shared" si="1752"/>
        <v>0</v>
      </c>
    </row>
    <row r="2020" spans="1:17" x14ac:dyDescent="0.2">
      <c r="A2020" s="10"/>
      <c r="B2020" s="26"/>
      <c r="C2020" s="11">
        <v>2009</v>
      </c>
      <c r="D2020" s="32">
        <f>SPFI_CLB14!$D$32</f>
        <v>0.52383000000000002</v>
      </c>
      <c r="E2020" s="32"/>
      <c r="F2020" s="32"/>
      <c r="G2020" s="32"/>
      <c r="H2020" s="32"/>
      <c r="I2020" s="32"/>
      <c r="J2020" s="28">
        <f t="shared" ref="J2020" si="1757">D2020*J$64</f>
        <v>0</v>
      </c>
      <c r="K2020" s="29"/>
      <c r="L2020" s="29"/>
      <c r="M2020" s="29"/>
      <c r="N2020" s="29"/>
      <c r="O2020" s="29"/>
      <c r="P2020" s="30">
        <f t="shared" si="1754"/>
        <v>0</v>
      </c>
      <c r="Q2020" s="31">
        <f t="shared" si="1752"/>
        <v>0</v>
      </c>
    </row>
    <row r="2021" spans="1:17" x14ac:dyDescent="0.2">
      <c r="A2021" s="10"/>
      <c r="B2021" s="26"/>
      <c r="C2021" s="11">
        <v>2010</v>
      </c>
      <c r="D2021" s="32">
        <f>SPFI_CLB14!$D$33</f>
        <v>0.31394</v>
      </c>
      <c r="E2021" s="32"/>
      <c r="F2021" s="32"/>
      <c r="G2021" s="32"/>
      <c r="H2021" s="32"/>
      <c r="I2021" s="32"/>
      <c r="J2021" s="28">
        <f t="shared" ref="J2021" si="1758">D2021*J$64</f>
        <v>0</v>
      </c>
      <c r="K2021" s="29"/>
      <c r="L2021" s="29"/>
      <c r="M2021" s="29"/>
      <c r="N2021" s="29"/>
      <c r="O2021" s="29"/>
      <c r="P2021" s="30">
        <f t="shared" si="1754"/>
        <v>0</v>
      </c>
      <c r="Q2021" s="31">
        <f t="shared" si="1752"/>
        <v>0</v>
      </c>
    </row>
    <row r="2022" spans="1:17" x14ac:dyDescent="0.2">
      <c r="A2022" s="10"/>
      <c r="B2022" s="26"/>
      <c r="C2022" s="11">
        <v>2011</v>
      </c>
      <c r="D2022" s="32">
        <f>SPFI_CLB14!$D$34</f>
        <v>0.294348</v>
      </c>
      <c r="E2022" s="32"/>
      <c r="F2022" s="32"/>
      <c r="G2022" s="32"/>
      <c r="H2022" s="32"/>
      <c r="I2022" s="32"/>
      <c r="J2022" s="28">
        <f t="shared" ref="J2022" si="1759">D2022*J$64</f>
        <v>0</v>
      </c>
      <c r="K2022" s="29"/>
      <c r="L2022" s="29"/>
      <c r="M2022" s="29"/>
      <c r="N2022" s="29"/>
      <c r="O2022" s="29"/>
      <c r="P2022" s="30">
        <f t="shared" ref="P2022" si="1760">SUM(J2022:O2022)</f>
        <v>0</v>
      </c>
      <c r="Q2022" s="31">
        <f t="shared" ref="Q2022" si="1761">IF(C$64&gt;0,P2022/C$64,0)</f>
        <v>0</v>
      </c>
    </row>
    <row r="2023" spans="1:17" x14ac:dyDescent="0.2">
      <c r="A2023" s="10"/>
      <c r="B2023" s="26"/>
      <c r="C2023" s="11">
        <v>2012</v>
      </c>
      <c r="D2023" s="32">
        <f>SPFI_CLB14!$D$35</f>
        <v>0.34784100000000001</v>
      </c>
      <c r="E2023" s="32"/>
      <c r="F2023" s="32"/>
      <c r="G2023" s="32"/>
      <c r="H2023" s="32"/>
      <c r="I2023" s="32"/>
      <c r="J2023" s="28">
        <f t="shared" ref="J2023" si="1762">D2023*J$64</f>
        <v>0</v>
      </c>
      <c r="K2023" s="29"/>
      <c r="L2023" s="29"/>
      <c r="M2023" s="29"/>
      <c r="N2023" s="29"/>
      <c r="O2023" s="29"/>
      <c r="P2023" s="30">
        <f t="shared" ref="P2023" si="1763">SUM(J2023:O2023)</f>
        <v>0</v>
      </c>
      <c r="Q2023" s="31">
        <f t="shared" ref="Q2023" si="1764">IF(C$64&gt;0,P2023/C$64,0)</f>
        <v>0</v>
      </c>
    </row>
    <row r="2024" spans="1:17" x14ac:dyDescent="0.2">
      <c r="A2024" s="5" t="s">
        <v>21</v>
      </c>
      <c r="B2024" s="21">
        <v>3</v>
      </c>
      <c r="C2024" s="6">
        <v>1982</v>
      </c>
      <c r="D2024" s="27">
        <f>SPFI_CLB14!$D$5</f>
        <v>0.98153299999999999</v>
      </c>
      <c r="E2024" s="27"/>
      <c r="F2024" s="27"/>
      <c r="G2024" s="27"/>
      <c r="H2024" s="27"/>
      <c r="I2024" s="27"/>
      <c r="J2024" s="33">
        <f t="shared" ref="J2024:J2036" si="1765">D2024*J$65</f>
        <v>0</v>
      </c>
      <c r="K2024" s="27"/>
      <c r="L2024" s="27"/>
      <c r="M2024" s="27"/>
      <c r="N2024" s="27"/>
      <c r="O2024" s="27"/>
      <c r="P2024" s="34">
        <f t="shared" si="1754"/>
        <v>0</v>
      </c>
      <c r="Q2024" s="35">
        <f t="shared" ref="Q2024:Q2040" si="1766">IF(C$65&gt;0,P2024/C$65,0)</f>
        <v>0</v>
      </c>
    </row>
    <row r="2025" spans="1:17" x14ac:dyDescent="0.2">
      <c r="A2025" s="10"/>
      <c r="B2025" s="26"/>
      <c r="C2025" s="11">
        <v>1983</v>
      </c>
      <c r="D2025" s="32">
        <f>SPFI_CLB14!$D$6</f>
        <v>0.93659899999999996</v>
      </c>
      <c r="E2025" s="32"/>
      <c r="F2025" s="32"/>
      <c r="G2025" s="32"/>
      <c r="H2025" s="32"/>
      <c r="I2025" s="32"/>
      <c r="J2025" s="28">
        <f t="shared" si="1765"/>
        <v>0</v>
      </c>
      <c r="K2025" s="29"/>
      <c r="L2025" s="29"/>
      <c r="M2025" s="29"/>
      <c r="N2025" s="29"/>
      <c r="O2025" s="29"/>
      <c r="P2025" s="30">
        <f t="shared" ref="P2025:P2036" si="1767">SUM(J2025:O2025)</f>
        <v>0</v>
      </c>
      <c r="Q2025" s="31">
        <f t="shared" si="1766"/>
        <v>0</v>
      </c>
    </row>
    <row r="2026" spans="1:17" x14ac:dyDescent="0.2">
      <c r="A2026" s="10"/>
      <c r="B2026" s="26"/>
      <c r="C2026" s="11">
        <v>1984</v>
      </c>
      <c r="D2026" s="32">
        <f>SPFI_CLB14!$D$7</f>
        <v>0.92793599999999998</v>
      </c>
      <c r="E2026" s="32"/>
      <c r="F2026" s="32"/>
      <c r="G2026" s="32"/>
      <c r="H2026" s="32"/>
      <c r="I2026" s="32"/>
      <c r="J2026" s="28">
        <f t="shared" si="1765"/>
        <v>0</v>
      </c>
      <c r="K2026" s="29"/>
      <c r="L2026" s="29"/>
      <c r="M2026" s="29"/>
      <c r="N2026" s="29"/>
      <c r="O2026" s="29"/>
      <c r="P2026" s="30">
        <f t="shared" si="1767"/>
        <v>0</v>
      </c>
      <c r="Q2026" s="31">
        <f t="shared" si="1766"/>
        <v>0</v>
      </c>
    </row>
    <row r="2027" spans="1:17" x14ac:dyDescent="0.2">
      <c r="A2027" s="10"/>
      <c r="B2027" s="26"/>
      <c r="C2027" s="11">
        <v>1985</v>
      </c>
      <c r="D2027" s="32">
        <f>SPFI_CLB14!$D$8</f>
        <v>0.90386500000000003</v>
      </c>
      <c r="E2027" s="32"/>
      <c r="F2027" s="32"/>
      <c r="G2027" s="32"/>
      <c r="H2027" s="32"/>
      <c r="I2027" s="32"/>
      <c r="J2027" s="28">
        <f t="shared" si="1765"/>
        <v>0</v>
      </c>
      <c r="K2027" s="29"/>
      <c r="L2027" s="29"/>
      <c r="M2027" s="29"/>
      <c r="N2027" s="29"/>
      <c r="O2027" s="29"/>
      <c r="P2027" s="30">
        <f t="shared" si="1767"/>
        <v>0</v>
      </c>
      <c r="Q2027" s="31">
        <f t="shared" si="1766"/>
        <v>0</v>
      </c>
    </row>
    <row r="2028" spans="1:17" x14ac:dyDescent="0.2">
      <c r="A2028" s="10"/>
      <c r="B2028" s="26"/>
      <c r="C2028" s="11">
        <v>1986</v>
      </c>
      <c r="D2028" s="32">
        <f>SPFI_CLB14!$D$9</f>
        <v>0.73087500000000005</v>
      </c>
      <c r="E2028" s="32"/>
      <c r="F2028" s="32"/>
      <c r="G2028" s="32"/>
      <c r="H2028" s="32"/>
      <c r="I2028" s="32"/>
      <c r="J2028" s="28">
        <f t="shared" si="1765"/>
        <v>0</v>
      </c>
      <c r="K2028" s="29"/>
      <c r="L2028" s="29"/>
      <c r="M2028" s="29"/>
      <c r="N2028" s="29"/>
      <c r="O2028" s="29"/>
      <c r="P2028" s="30">
        <f t="shared" si="1767"/>
        <v>0</v>
      </c>
      <c r="Q2028" s="31">
        <f t="shared" si="1766"/>
        <v>0</v>
      </c>
    </row>
    <row r="2029" spans="1:17" x14ac:dyDescent="0.2">
      <c r="A2029" s="10"/>
      <c r="B2029" s="26"/>
      <c r="C2029" s="11">
        <v>1987</v>
      </c>
      <c r="D2029" s="32">
        <f>SPFI_CLB14!$D$10</f>
        <v>0.71733499999999994</v>
      </c>
      <c r="E2029" s="32"/>
      <c r="F2029" s="32"/>
      <c r="G2029" s="32"/>
      <c r="H2029" s="32"/>
      <c r="I2029" s="32"/>
      <c r="J2029" s="28">
        <f t="shared" si="1765"/>
        <v>0</v>
      </c>
      <c r="K2029" s="29"/>
      <c r="L2029" s="29"/>
      <c r="M2029" s="29"/>
      <c r="N2029" s="29"/>
      <c r="O2029" s="29"/>
      <c r="P2029" s="30">
        <f t="shared" si="1767"/>
        <v>0</v>
      </c>
      <c r="Q2029" s="31">
        <f t="shared" si="1766"/>
        <v>0</v>
      </c>
    </row>
    <row r="2030" spans="1:17" x14ac:dyDescent="0.2">
      <c r="A2030" s="10"/>
      <c r="B2030" s="26"/>
      <c r="C2030" s="11">
        <v>1988</v>
      </c>
      <c r="D2030" s="32">
        <f>SPFI_CLB14!$D$11</f>
        <v>0.64558800000000005</v>
      </c>
      <c r="E2030" s="32"/>
      <c r="F2030" s="32"/>
      <c r="G2030" s="32"/>
      <c r="H2030" s="32"/>
      <c r="I2030" s="32"/>
      <c r="J2030" s="28">
        <f t="shared" si="1765"/>
        <v>0</v>
      </c>
      <c r="K2030" s="29"/>
      <c r="L2030" s="29"/>
      <c r="M2030" s="29"/>
      <c r="N2030" s="29"/>
      <c r="O2030" s="29"/>
      <c r="P2030" s="30">
        <f t="shared" si="1767"/>
        <v>0</v>
      </c>
      <c r="Q2030" s="31">
        <f t="shared" si="1766"/>
        <v>0</v>
      </c>
    </row>
    <row r="2031" spans="1:17" x14ac:dyDescent="0.2">
      <c r="A2031" s="10"/>
      <c r="B2031" s="26"/>
      <c r="C2031" s="11">
        <v>1989</v>
      </c>
      <c r="D2031" s="32">
        <f>SPFI_CLB14!$D$12</f>
        <v>0.65287700000000004</v>
      </c>
      <c r="E2031" s="32"/>
      <c r="F2031" s="32"/>
      <c r="G2031" s="32"/>
      <c r="H2031" s="32"/>
      <c r="I2031" s="32"/>
      <c r="J2031" s="28">
        <f t="shared" si="1765"/>
        <v>0</v>
      </c>
      <c r="K2031" s="29"/>
      <c r="L2031" s="29"/>
      <c r="M2031" s="29"/>
      <c r="N2031" s="29"/>
      <c r="O2031" s="29"/>
      <c r="P2031" s="30">
        <f t="shared" si="1767"/>
        <v>0</v>
      </c>
      <c r="Q2031" s="31">
        <f t="shared" si="1766"/>
        <v>0</v>
      </c>
    </row>
    <row r="2032" spans="1:17" x14ac:dyDescent="0.2">
      <c r="A2032" s="10"/>
      <c r="B2032" s="26"/>
      <c r="C2032" s="11">
        <v>1990</v>
      </c>
      <c r="D2032" s="32">
        <f>SPFI_CLB14!$D$13</f>
        <v>0.56965100000000002</v>
      </c>
      <c r="E2032" s="32"/>
      <c r="F2032" s="32"/>
      <c r="G2032" s="32"/>
      <c r="H2032" s="32"/>
      <c r="I2032" s="32"/>
      <c r="J2032" s="28">
        <f t="shared" si="1765"/>
        <v>0</v>
      </c>
      <c r="K2032" s="29"/>
      <c r="L2032" s="29"/>
      <c r="M2032" s="29"/>
      <c r="N2032" s="29"/>
      <c r="O2032" s="29"/>
      <c r="P2032" s="30">
        <f t="shared" si="1767"/>
        <v>0</v>
      </c>
      <c r="Q2032" s="31">
        <f t="shared" si="1766"/>
        <v>0</v>
      </c>
    </row>
    <row r="2033" spans="1:17" x14ac:dyDescent="0.2">
      <c r="A2033" s="10"/>
      <c r="B2033" s="26"/>
      <c r="C2033" s="11">
        <v>1991</v>
      </c>
      <c r="D2033" s="32">
        <f>SPFI_CLB14!$D$14</f>
        <v>0.62776900000000002</v>
      </c>
      <c r="E2033" s="32"/>
      <c r="F2033" s="32"/>
      <c r="G2033" s="32"/>
      <c r="H2033" s="32"/>
      <c r="I2033" s="32"/>
      <c r="J2033" s="28">
        <f t="shared" si="1765"/>
        <v>0</v>
      </c>
      <c r="K2033" s="29"/>
      <c r="L2033" s="29"/>
      <c r="M2033" s="29"/>
      <c r="N2033" s="29"/>
      <c r="O2033" s="29"/>
      <c r="P2033" s="30">
        <f t="shared" si="1767"/>
        <v>0</v>
      </c>
      <c r="Q2033" s="31">
        <f t="shared" si="1766"/>
        <v>0</v>
      </c>
    </row>
    <row r="2034" spans="1:17" x14ac:dyDescent="0.2">
      <c r="A2034" s="10"/>
      <c r="B2034" s="26"/>
      <c r="C2034" s="11">
        <v>1992</v>
      </c>
      <c r="D2034" s="32">
        <f>SPFI_CLB14!$D$15</f>
        <v>0.43504100000000001</v>
      </c>
      <c r="E2034" s="32"/>
      <c r="F2034" s="32"/>
      <c r="G2034" s="32"/>
      <c r="H2034" s="32"/>
      <c r="I2034" s="32"/>
      <c r="J2034" s="28">
        <f t="shared" si="1765"/>
        <v>0</v>
      </c>
      <c r="K2034" s="29"/>
      <c r="L2034" s="29"/>
      <c r="M2034" s="29"/>
      <c r="N2034" s="29"/>
      <c r="O2034" s="29"/>
      <c r="P2034" s="30">
        <f t="shared" si="1767"/>
        <v>0</v>
      </c>
      <c r="Q2034" s="31">
        <f t="shared" si="1766"/>
        <v>0</v>
      </c>
    </row>
    <row r="2035" spans="1:17" x14ac:dyDescent="0.2">
      <c r="A2035" s="10"/>
      <c r="B2035" s="26"/>
      <c r="C2035" s="11">
        <v>1993</v>
      </c>
      <c r="D2035" s="32">
        <f>SPFI_CLB14!$D$16</f>
        <v>0.499164</v>
      </c>
      <c r="E2035" s="32"/>
      <c r="F2035" s="32"/>
      <c r="G2035" s="32"/>
      <c r="H2035" s="32"/>
      <c r="I2035" s="32"/>
      <c r="J2035" s="28">
        <f t="shared" si="1765"/>
        <v>0</v>
      </c>
      <c r="K2035" s="29"/>
      <c r="L2035" s="29"/>
      <c r="M2035" s="29"/>
      <c r="N2035" s="29"/>
      <c r="O2035" s="29"/>
      <c r="P2035" s="30">
        <f t="shared" si="1767"/>
        <v>0</v>
      </c>
      <c r="Q2035" s="31">
        <f t="shared" si="1766"/>
        <v>0</v>
      </c>
    </row>
    <row r="2036" spans="1:17" x14ac:dyDescent="0.2">
      <c r="A2036" s="10"/>
      <c r="B2036" s="26"/>
      <c r="C2036" s="11">
        <v>1994</v>
      </c>
      <c r="D2036" s="32">
        <f>SPFI_CLB14!$D$17</f>
        <v>0.59591300000000003</v>
      </c>
      <c r="E2036" s="32"/>
      <c r="F2036" s="32"/>
      <c r="G2036" s="32"/>
      <c r="H2036" s="32"/>
      <c r="I2036" s="32"/>
      <c r="J2036" s="28">
        <f t="shared" si="1765"/>
        <v>0</v>
      </c>
      <c r="K2036" s="29"/>
      <c r="L2036" s="29"/>
      <c r="M2036" s="29"/>
      <c r="N2036" s="29"/>
      <c r="O2036" s="29"/>
      <c r="P2036" s="30">
        <f t="shared" si="1767"/>
        <v>0</v>
      </c>
      <c r="Q2036" s="31">
        <f t="shared" si="1766"/>
        <v>0</v>
      </c>
    </row>
    <row r="2037" spans="1:17" x14ac:dyDescent="0.2">
      <c r="A2037" s="10"/>
      <c r="B2037" s="26"/>
      <c r="C2037" s="11">
        <v>1995</v>
      </c>
      <c r="D2037" s="32">
        <f>SPFI_CLB14!$D$18</f>
        <v>0.25400800000000001</v>
      </c>
      <c r="E2037" s="32"/>
      <c r="F2037" s="32"/>
      <c r="G2037" s="32"/>
      <c r="H2037" s="32"/>
      <c r="I2037" s="32"/>
      <c r="J2037" s="28">
        <f t="shared" ref="J2037" si="1768">D2037*J$65</f>
        <v>0</v>
      </c>
      <c r="K2037" s="29"/>
      <c r="L2037" s="29"/>
      <c r="M2037" s="29"/>
      <c r="N2037" s="29"/>
      <c r="O2037" s="29"/>
      <c r="P2037" s="30">
        <f>SUM(J2037:O2037)</f>
        <v>0</v>
      </c>
      <c r="Q2037" s="31">
        <f t="shared" si="1766"/>
        <v>0</v>
      </c>
    </row>
    <row r="2038" spans="1:17" x14ac:dyDescent="0.2">
      <c r="A2038" s="10"/>
      <c r="B2038" s="26"/>
      <c r="C2038" s="11">
        <v>1996</v>
      </c>
      <c r="D2038" s="32">
        <f>SPFI_CLB14!$D$19</f>
        <v>0</v>
      </c>
      <c r="E2038" s="32"/>
      <c r="F2038" s="32"/>
      <c r="G2038" s="32"/>
      <c r="H2038" s="32"/>
      <c r="I2038" s="32"/>
      <c r="J2038" s="28">
        <f t="shared" ref="J2038" si="1769">D2038*J$65</f>
        <v>0</v>
      </c>
      <c r="K2038" s="29"/>
      <c r="L2038" s="29"/>
      <c r="M2038" s="29"/>
      <c r="N2038" s="29"/>
      <c r="O2038" s="29"/>
      <c r="P2038" s="30">
        <f>SUM(J2038:O2038)</f>
        <v>0</v>
      </c>
      <c r="Q2038" s="31">
        <f t="shared" si="1766"/>
        <v>0</v>
      </c>
    </row>
    <row r="2039" spans="1:17" x14ac:dyDescent="0.2">
      <c r="A2039" s="10"/>
      <c r="B2039" s="26"/>
      <c r="C2039" s="11">
        <v>1997</v>
      </c>
      <c r="D2039" s="32">
        <f>SPFI_CLB14!$D$20</f>
        <v>0.201487</v>
      </c>
      <c r="E2039" s="32"/>
      <c r="F2039" s="32"/>
      <c r="G2039" s="32"/>
      <c r="H2039" s="32"/>
      <c r="I2039" s="32"/>
      <c r="J2039" s="28">
        <f t="shared" ref="J2039" si="1770">D2039*J$65</f>
        <v>0</v>
      </c>
      <c r="K2039" s="29"/>
      <c r="L2039" s="29"/>
      <c r="M2039" s="29"/>
      <c r="N2039" s="29"/>
      <c r="O2039" s="29"/>
      <c r="P2039" s="30">
        <f>SUM(J2039:O2039)</f>
        <v>0</v>
      </c>
      <c r="Q2039" s="31">
        <f t="shared" si="1766"/>
        <v>0</v>
      </c>
    </row>
    <row r="2040" spans="1:17" x14ac:dyDescent="0.2">
      <c r="A2040" s="10"/>
      <c r="B2040" s="26"/>
      <c r="C2040" s="11">
        <v>1998</v>
      </c>
      <c r="D2040" s="32">
        <f>SPFI_CLB14!$D$21</f>
        <v>0.37506400000000001</v>
      </c>
      <c r="E2040" s="32"/>
      <c r="F2040" s="32"/>
      <c r="G2040" s="32"/>
      <c r="H2040" s="32"/>
      <c r="I2040" s="32"/>
      <c r="J2040" s="28">
        <f t="shared" ref="J2040" si="1771">D2040*J$65</f>
        <v>0</v>
      </c>
      <c r="K2040" s="29"/>
      <c r="L2040" s="29"/>
      <c r="M2040" s="29"/>
      <c r="N2040" s="29"/>
      <c r="O2040" s="29"/>
      <c r="P2040" s="30">
        <f>SUM(J2040:O2040)</f>
        <v>0</v>
      </c>
      <c r="Q2040" s="31">
        <f t="shared" si="1766"/>
        <v>0</v>
      </c>
    </row>
    <row r="2041" spans="1:17" x14ac:dyDescent="0.2">
      <c r="A2041" s="10"/>
      <c r="B2041" s="26"/>
      <c r="C2041" s="11">
        <v>1999</v>
      </c>
      <c r="D2041" s="32">
        <f>SPFI_CLB14!$D$22</f>
        <v>0.29823699999999997</v>
      </c>
      <c r="E2041" s="32"/>
      <c r="F2041" s="32"/>
      <c r="G2041" s="32"/>
      <c r="H2041" s="32"/>
      <c r="I2041" s="32"/>
      <c r="J2041" s="28">
        <f t="shared" ref="J2041" si="1772">D2041*J$65</f>
        <v>0</v>
      </c>
      <c r="K2041" s="29"/>
      <c r="L2041" s="29"/>
      <c r="M2041" s="29"/>
      <c r="N2041" s="29"/>
      <c r="O2041" s="29"/>
      <c r="P2041" s="30">
        <f>SUM(J2041:O2041)</f>
        <v>0</v>
      </c>
      <c r="Q2041" s="31">
        <f t="shared" ref="Q2041:Q2046" si="1773">IF(C$65&gt;0,P2041/C$65,0)</f>
        <v>0</v>
      </c>
    </row>
    <row r="2042" spans="1:17" x14ac:dyDescent="0.2">
      <c r="A2042" s="10"/>
      <c r="B2042" s="26"/>
      <c r="C2042" s="11">
        <v>2000</v>
      </c>
      <c r="D2042" s="32">
        <f>SPFI_CLB14!$D$23</f>
        <v>8.4414000000000003E-2</v>
      </c>
      <c r="E2042" s="32"/>
      <c r="F2042" s="32"/>
      <c r="G2042" s="32"/>
      <c r="H2042" s="32"/>
      <c r="I2042" s="32"/>
      <c r="J2042" s="28">
        <f t="shared" ref="J2042" si="1774">D2042*J$65</f>
        <v>0</v>
      </c>
      <c r="K2042" s="29"/>
      <c r="L2042" s="29"/>
      <c r="M2042" s="29"/>
      <c r="N2042" s="29"/>
      <c r="O2042" s="29"/>
      <c r="P2042" s="30">
        <f t="shared" ref="P2042:P2047" si="1775">SUM(J2042:O2042)</f>
        <v>0</v>
      </c>
      <c r="Q2042" s="31">
        <f t="shared" si="1773"/>
        <v>0</v>
      </c>
    </row>
    <row r="2043" spans="1:17" x14ac:dyDescent="0.2">
      <c r="A2043" s="10"/>
      <c r="B2043" s="26"/>
      <c r="C2043" s="11">
        <v>2001</v>
      </c>
      <c r="D2043" s="32">
        <f>SPFI_CLB14!$D$24</f>
        <v>7.8909000000000007E-2</v>
      </c>
      <c r="E2043" s="32"/>
      <c r="F2043" s="32"/>
      <c r="G2043" s="32"/>
      <c r="H2043" s="32"/>
      <c r="I2043" s="32"/>
      <c r="J2043" s="28">
        <f t="shared" ref="J2043" si="1776">D2043*J$65</f>
        <v>0</v>
      </c>
      <c r="K2043" s="29"/>
      <c r="L2043" s="29"/>
      <c r="M2043" s="29"/>
      <c r="N2043" s="29"/>
      <c r="O2043" s="29"/>
      <c r="P2043" s="30">
        <f t="shared" si="1775"/>
        <v>0</v>
      </c>
      <c r="Q2043" s="31">
        <f t="shared" si="1773"/>
        <v>0</v>
      </c>
    </row>
    <row r="2044" spans="1:17" x14ac:dyDescent="0.2">
      <c r="A2044" s="10"/>
      <c r="B2044" s="26"/>
      <c r="C2044" s="11">
        <v>2002</v>
      </c>
      <c r="D2044" s="32">
        <f>SPFI_CLB14!$D$25</f>
        <v>0.29974699999999999</v>
      </c>
      <c r="E2044" s="32"/>
      <c r="F2044" s="32"/>
      <c r="G2044" s="32"/>
      <c r="H2044" s="32"/>
      <c r="I2044" s="32"/>
      <c r="J2044" s="28">
        <f t="shared" ref="J2044" si="1777">D2044*J$65</f>
        <v>0</v>
      </c>
      <c r="K2044" s="29"/>
      <c r="L2044" s="29"/>
      <c r="M2044" s="29"/>
      <c r="N2044" s="29"/>
      <c r="O2044" s="29"/>
      <c r="P2044" s="30">
        <f t="shared" si="1775"/>
        <v>0</v>
      </c>
      <c r="Q2044" s="31">
        <f t="shared" si="1773"/>
        <v>0</v>
      </c>
    </row>
    <row r="2045" spans="1:17" x14ac:dyDescent="0.2">
      <c r="A2045" s="10"/>
      <c r="B2045" s="26"/>
      <c r="C2045" s="11">
        <v>2003</v>
      </c>
      <c r="D2045" s="32">
        <f>SPFI_CLB14!$D$26</f>
        <v>0.20691100000000001</v>
      </c>
      <c r="E2045" s="32"/>
      <c r="F2045" s="32"/>
      <c r="G2045" s="32"/>
      <c r="H2045" s="32"/>
      <c r="I2045" s="32"/>
      <c r="J2045" s="28">
        <f t="shared" ref="J2045" si="1778">D2045*J$65</f>
        <v>0</v>
      </c>
      <c r="K2045" s="29"/>
      <c r="L2045" s="29"/>
      <c r="M2045" s="29"/>
      <c r="N2045" s="29"/>
      <c r="O2045" s="29"/>
      <c r="P2045" s="30">
        <f t="shared" si="1775"/>
        <v>0</v>
      </c>
      <c r="Q2045" s="31">
        <f t="shared" si="1773"/>
        <v>0</v>
      </c>
    </row>
    <row r="2046" spans="1:17" x14ac:dyDescent="0.2">
      <c r="A2046" s="10"/>
      <c r="B2046" s="26"/>
      <c r="C2046" s="11">
        <v>2004</v>
      </c>
      <c r="D2046" s="32">
        <f>SPFI_CLB14!$D$27</f>
        <v>0.269237</v>
      </c>
      <c r="E2046" s="32"/>
      <c r="F2046" s="32"/>
      <c r="G2046" s="32"/>
      <c r="H2046" s="32"/>
      <c r="I2046" s="32"/>
      <c r="J2046" s="28">
        <f t="shared" ref="J2046" si="1779">D2046*J$65</f>
        <v>0</v>
      </c>
      <c r="K2046" s="29"/>
      <c r="L2046" s="29"/>
      <c r="M2046" s="29"/>
      <c r="N2046" s="29"/>
      <c r="O2046" s="29"/>
      <c r="P2046" s="30">
        <f t="shared" si="1775"/>
        <v>0</v>
      </c>
      <c r="Q2046" s="31">
        <f t="shared" si="1773"/>
        <v>0</v>
      </c>
    </row>
    <row r="2047" spans="1:17" x14ac:dyDescent="0.2">
      <c r="A2047" s="10"/>
      <c r="B2047" s="26"/>
      <c r="C2047" s="11">
        <v>2005</v>
      </c>
      <c r="D2047" s="32">
        <f>SPFI_CLB14!$D$28</f>
        <v>0.37848700000000002</v>
      </c>
      <c r="E2047" s="32"/>
      <c r="F2047" s="32"/>
      <c r="G2047" s="32"/>
      <c r="H2047" s="32"/>
      <c r="I2047" s="32"/>
      <c r="J2047" s="28">
        <f t="shared" ref="J2047" si="1780">D2047*J$65</f>
        <v>0</v>
      </c>
      <c r="K2047" s="29"/>
      <c r="L2047" s="29"/>
      <c r="M2047" s="29"/>
      <c r="N2047" s="29"/>
      <c r="O2047" s="29"/>
      <c r="P2047" s="30">
        <f t="shared" si="1775"/>
        <v>0</v>
      </c>
      <c r="Q2047" s="31">
        <f t="shared" ref="Q2047:Q2052" si="1781">IF(C$65&gt;0,P2047/C$65,0)</f>
        <v>0</v>
      </c>
    </row>
    <row r="2048" spans="1:17" x14ac:dyDescent="0.2">
      <c r="A2048" s="10"/>
      <c r="B2048" s="26"/>
      <c r="C2048" s="11">
        <v>2006</v>
      </c>
      <c r="D2048" s="32">
        <f>SPFI_CLB14!$D$29</f>
        <v>0.381023</v>
      </c>
      <c r="E2048" s="32"/>
      <c r="F2048" s="32"/>
      <c r="G2048" s="32"/>
      <c r="H2048" s="32"/>
      <c r="I2048" s="32"/>
      <c r="J2048" s="28">
        <f t="shared" ref="J2048" si="1782">D2048*J$65</f>
        <v>0</v>
      </c>
      <c r="K2048" s="29"/>
      <c r="L2048" s="29"/>
      <c r="M2048" s="29"/>
      <c r="N2048" s="29"/>
      <c r="O2048" s="29"/>
      <c r="P2048" s="30">
        <f t="shared" ref="P2048:P2055" si="1783">SUM(J2048:O2048)</f>
        <v>0</v>
      </c>
      <c r="Q2048" s="31">
        <f t="shared" si="1781"/>
        <v>0</v>
      </c>
    </row>
    <row r="2049" spans="1:17" x14ac:dyDescent="0.2">
      <c r="A2049" s="10"/>
      <c r="B2049" s="26"/>
      <c r="C2049" s="11">
        <v>2007</v>
      </c>
      <c r="D2049" s="32">
        <f>SPFI_CLB14!$D$30</f>
        <v>0.356512</v>
      </c>
      <c r="E2049" s="32"/>
      <c r="F2049" s="32"/>
      <c r="G2049" s="32"/>
      <c r="H2049" s="32"/>
      <c r="I2049" s="32"/>
      <c r="J2049" s="28">
        <f t="shared" ref="J2049" si="1784">D2049*J$65</f>
        <v>0</v>
      </c>
      <c r="K2049" s="29"/>
      <c r="L2049" s="29"/>
      <c r="M2049" s="29"/>
      <c r="N2049" s="29"/>
      <c r="O2049" s="29"/>
      <c r="P2049" s="30">
        <f t="shared" si="1783"/>
        <v>0</v>
      </c>
      <c r="Q2049" s="31">
        <f t="shared" si="1781"/>
        <v>0</v>
      </c>
    </row>
    <row r="2050" spans="1:17" x14ac:dyDescent="0.2">
      <c r="A2050" s="10"/>
      <c r="B2050" s="26"/>
      <c r="C2050" s="11">
        <v>2008</v>
      </c>
      <c r="D2050" s="32">
        <f>SPFI_CLB14!$D$31</f>
        <v>0.25494499999999998</v>
      </c>
      <c r="E2050" s="32"/>
      <c r="F2050" s="32"/>
      <c r="G2050" s="32"/>
      <c r="H2050" s="32"/>
      <c r="I2050" s="32"/>
      <c r="J2050" s="28">
        <f t="shared" ref="J2050" si="1785">D2050*J$65</f>
        <v>0</v>
      </c>
      <c r="K2050" s="29"/>
      <c r="L2050" s="29"/>
      <c r="M2050" s="29"/>
      <c r="N2050" s="29"/>
      <c r="O2050" s="29"/>
      <c r="P2050" s="30">
        <f t="shared" si="1783"/>
        <v>0</v>
      </c>
      <c r="Q2050" s="31">
        <f t="shared" si="1781"/>
        <v>0</v>
      </c>
    </row>
    <row r="2051" spans="1:17" x14ac:dyDescent="0.2">
      <c r="A2051" s="10"/>
      <c r="B2051" s="26"/>
      <c r="C2051" s="11">
        <v>2009</v>
      </c>
      <c r="D2051" s="32">
        <f>SPFI_CLB14!$D$32</f>
        <v>0.52383000000000002</v>
      </c>
      <c r="E2051" s="32"/>
      <c r="F2051" s="32"/>
      <c r="G2051" s="32"/>
      <c r="H2051" s="32"/>
      <c r="I2051" s="32"/>
      <c r="J2051" s="28">
        <f t="shared" ref="J2051" si="1786">D2051*J$65</f>
        <v>0</v>
      </c>
      <c r="K2051" s="29"/>
      <c r="L2051" s="29"/>
      <c r="M2051" s="29"/>
      <c r="N2051" s="29"/>
      <c r="O2051" s="29"/>
      <c r="P2051" s="30">
        <f t="shared" si="1783"/>
        <v>0</v>
      </c>
      <c r="Q2051" s="31">
        <f t="shared" si="1781"/>
        <v>0</v>
      </c>
    </row>
    <row r="2052" spans="1:17" x14ac:dyDescent="0.2">
      <c r="A2052" s="10"/>
      <c r="B2052" s="26"/>
      <c r="C2052" s="11">
        <v>2010</v>
      </c>
      <c r="D2052" s="32">
        <f>SPFI_CLB14!$D$33</f>
        <v>0.31394</v>
      </c>
      <c r="E2052" s="32"/>
      <c r="F2052" s="32"/>
      <c r="G2052" s="32"/>
      <c r="H2052" s="32"/>
      <c r="I2052" s="32"/>
      <c r="J2052" s="28">
        <f t="shared" ref="J2052" si="1787">D2052*J$65</f>
        <v>0</v>
      </c>
      <c r="K2052" s="29"/>
      <c r="L2052" s="29"/>
      <c r="M2052" s="29"/>
      <c r="N2052" s="29"/>
      <c r="O2052" s="29"/>
      <c r="P2052" s="30">
        <f t="shared" si="1783"/>
        <v>0</v>
      </c>
      <c r="Q2052" s="31">
        <f t="shared" si="1781"/>
        <v>0</v>
      </c>
    </row>
    <row r="2053" spans="1:17" x14ac:dyDescent="0.2">
      <c r="A2053" s="10"/>
      <c r="B2053" s="26"/>
      <c r="C2053" s="11">
        <v>2011</v>
      </c>
      <c r="D2053" s="32">
        <f>SPFI_CLB14!$D$34</f>
        <v>0.294348</v>
      </c>
      <c r="E2053" s="32"/>
      <c r="F2053" s="32"/>
      <c r="G2053" s="32"/>
      <c r="H2053" s="32"/>
      <c r="I2053" s="32"/>
      <c r="J2053" s="28">
        <f t="shared" ref="J2053" si="1788">D2053*J$65</f>
        <v>0</v>
      </c>
      <c r="K2053" s="29"/>
      <c r="L2053" s="29"/>
      <c r="M2053" s="29"/>
      <c r="N2053" s="29"/>
      <c r="O2053" s="29"/>
      <c r="P2053" s="30">
        <f t="shared" ref="P2053" si="1789">SUM(J2053:O2053)</f>
        <v>0</v>
      </c>
      <c r="Q2053" s="31">
        <f t="shared" ref="Q2053" si="1790">IF(C$65&gt;0,P2053/C$65,0)</f>
        <v>0</v>
      </c>
    </row>
    <row r="2054" spans="1:17" x14ac:dyDescent="0.2">
      <c r="A2054" s="10"/>
      <c r="B2054" s="26"/>
      <c r="C2054" s="11">
        <v>2012</v>
      </c>
      <c r="D2054" s="32">
        <f>SPFI_CLB14!$D$35</f>
        <v>0.34784100000000001</v>
      </c>
      <c r="E2054" s="32"/>
      <c r="F2054" s="32"/>
      <c r="G2054" s="32"/>
      <c r="H2054" s="32"/>
      <c r="I2054" s="32"/>
      <c r="J2054" s="28">
        <f t="shared" ref="J2054" si="1791">D2054*J$65</f>
        <v>0</v>
      </c>
      <c r="K2054" s="29"/>
      <c r="L2054" s="29"/>
      <c r="M2054" s="29"/>
      <c r="N2054" s="29"/>
      <c r="O2054" s="29"/>
      <c r="P2054" s="30">
        <f t="shared" ref="P2054" si="1792">SUM(J2054:O2054)</f>
        <v>0</v>
      </c>
      <c r="Q2054" s="31">
        <f t="shared" ref="Q2054" si="1793">IF(C$65&gt;0,P2054/C$65,0)</f>
        <v>0</v>
      </c>
    </row>
    <row r="2055" spans="1:17" x14ac:dyDescent="0.2">
      <c r="A2055" s="5" t="s">
        <v>21</v>
      </c>
      <c r="B2055" s="21">
        <v>4</v>
      </c>
      <c r="C2055" s="6">
        <v>1982</v>
      </c>
      <c r="D2055" s="27">
        <f>SPFI_CLB14!$D$5</f>
        <v>0.98153299999999999</v>
      </c>
      <c r="E2055" s="27"/>
      <c r="F2055" s="27"/>
      <c r="G2055" s="27"/>
      <c r="H2055" s="27"/>
      <c r="I2055" s="27"/>
      <c r="J2055" s="33">
        <f t="shared" ref="J2055:J2067" si="1794">D2055*J$66</f>
        <v>0</v>
      </c>
      <c r="K2055" s="27"/>
      <c r="L2055" s="27"/>
      <c r="M2055" s="27"/>
      <c r="N2055" s="27"/>
      <c r="O2055" s="27"/>
      <c r="P2055" s="34">
        <f t="shared" si="1783"/>
        <v>0</v>
      </c>
      <c r="Q2055" s="35">
        <f t="shared" ref="Q2055:Q2071" si="1795">IF(C$66&gt;0,P2055/C$66,0)</f>
        <v>0</v>
      </c>
    </row>
    <row r="2056" spans="1:17" x14ac:dyDescent="0.2">
      <c r="A2056" s="10"/>
      <c r="B2056" s="26"/>
      <c r="C2056" s="11">
        <v>1983</v>
      </c>
      <c r="D2056" s="32">
        <f>SPFI_CLB14!$D$6</f>
        <v>0.93659899999999996</v>
      </c>
      <c r="E2056" s="32"/>
      <c r="F2056" s="32"/>
      <c r="G2056" s="32"/>
      <c r="H2056" s="32"/>
      <c r="I2056" s="32"/>
      <c r="J2056" s="28">
        <f t="shared" si="1794"/>
        <v>0</v>
      </c>
      <c r="K2056" s="29"/>
      <c r="L2056" s="29"/>
      <c r="M2056" s="29"/>
      <c r="N2056" s="29"/>
      <c r="O2056" s="29"/>
      <c r="P2056" s="30">
        <f t="shared" ref="P2056:P2067" si="1796">SUM(J2056:O2056)</f>
        <v>0</v>
      </c>
      <c r="Q2056" s="31">
        <f t="shared" si="1795"/>
        <v>0</v>
      </c>
    </row>
    <row r="2057" spans="1:17" x14ac:dyDescent="0.2">
      <c r="A2057" s="10"/>
      <c r="B2057" s="26"/>
      <c r="C2057" s="11">
        <v>1984</v>
      </c>
      <c r="D2057" s="32">
        <f>SPFI_CLB14!$D$7</f>
        <v>0.92793599999999998</v>
      </c>
      <c r="E2057" s="32"/>
      <c r="F2057" s="32"/>
      <c r="G2057" s="32"/>
      <c r="H2057" s="32"/>
      <c r="I2057" s="32"/>
      <c r="J2057" s="28">
        <f t="shared" si="1794"/>
        <v>0</v>
      </c>
      <c r="K2057" s="29"/>
      <c r="L2057" s="29"/>
      <c r="M2057" s="29"/>
      <c r="N2057" s="29"/>
      <c r="O2057" s="29"/>
      <c r="P2057" s="30">
        <f t="shared" si="1796"/>
        <v>0</v>
      </c>
      <c r="Q2057" s="31">
        <f t="shared" si="1795"/>
        <v>0</v>
      </c>
    </row>
    <row r="2058" spans="1:17" x14ac:dyDescent="0.2">
      <c r="A2058" s="10"/>
      <c r="B2058" s="26"/>
      <c r="C2058" s="11">
        <v>1985</v>
      </c>
      <c r="D2058" s="32">
        <f>SPFI_CLB14!$D$8</f>
        <v>0.90386500000000003</v>
      </c>
      <c r="E2058" s="32"/>
      <c r="F2058" s="32"/>
      <c r="G2058" s="32"/>
      <c r="H2058" s="32"/>
      <c r="I2058" s="32"/>
      <c r="J2058" s="28">
        <f t="shared" si="1794"/>
        <v>0</v>
      </c>
      <c r="K2058" s="29"/>
      <c r="L2058" s="29"/>
      <c r="M2058" s="29"/>
      <c r="N2058" s="29"/>
      <c r="O2058" s="29"/>
      <c r="P2058" s="30">
        <f t="shared" si="1796"/>
        <v>0</v>
      </c>
      <c r="Q2058" s="31">
        <f t="shared" si="1795"/>
        <v>0</v>
      </c>
    </row>
    <row r="2059" spans="1:17" x14ac:dyDescent="0.2">
      <c r="A2059" s="10"/>
      <c r="B2059" s="26"/>
      <c r="C2059" s="11">
        <v>1986</v>
      </c>
      <c r="D2059" s="32">
        <f>SPFI_CLB14!$D$9</f>
        <v>0.73087500000000005</v>
      </c>
      <c r="E2059" s="32"/>
      <c r="F2059" s="32"/>
      <c r="G2059" s="32"/>
      <c r="H2059" s="32"/>
      <c r="I2059" s="32"/>
      <c r="J2059" s="28">
        <f t="shared" si="1794"/>
        <v>0</v>
      </c>
      <c r="K2059" s="29"/>
      <c r="L2059" s="29"/>
      <c r="M2059" s="29"/>
      <c r="N2059" s="29"/>
      <c r="O2059" s="29"/>
      <c r="P2059" s="30">
        <f t="shared" si="1796"/>
        <v>0</v>
      </c>
      <c r="Q2059" s="31">
        <f t="shared" si="1795"/>
        <v>0</v>
      </c>
    </row>
    <row r="2060" spans="1:17" x14ac:dyDescent="0.2">
      <c r="A2060" s="10"/>
      <c r="B2060" s="26"/>
      <c r="C2060" s="11">
        <v>1987</v>
      </c>
      <c r="D2060" s="32">
        <f>SPFI_CLB14!$D$10</f>
        <v>0.71733499999999994</v>
      </c>
      <c r="E2060" s="32"/>
      <c r="F2060" s="32"/>
      <c r="G2060" s="32"/>
      <c r="H2060" s="32"/>
      <c r="I2060" s="32"/>
      <c r="J2060" s="28">
        <f t="shared" si="1794"/>
        <v>0</v>
      </c>
      <c r="K2060" s="29"/>
      <c r="L2060" s="29"/>
      <c r="M2060" s="29"/>
      <c r="N2060" s="29"/>
      <c r="O2060" s="29"/>
      <c r="P2060" s="30">
        <f t="shared" si="1796"/>
        <v>0</v>
      </c>
      <c r="Q2060" s="31">
        <f t="shared" si="1795"/>
        <v>0</v>
      </c>
    </row>
    <row r="2061" spans="1:17" x14ac:dyDescent="0.2">
      <c r="A2061" s="10"/>
      <c r="B2061" s="26"/>
      <c r="C2061" s="11">
        <v>1988</v>
      </c>
      <c r="D2061" s="32">
        <f>SPFI_CLB14!$D$11</f>
        <v>0.64558800000000005</v>
      </c>
      <c r="E2061" s="32"/>
      <c r="F2061" s="32"/>
      <c r="G2061" s="32"/>
      <c r="H2061" s="32"/>
      <c r="I2061" s="32"/>
      <c r="J2061" s="28">
        <f t="shared" si="1794"/>
        <v>0</v>
      </c>
      <c r="K2061" s="29"/>
      <c r="L2061" s="29"/>
      <c r="M2061" s="29"/>
      <c r="N2061" s="29"/>
      <c r="O2061" s="29"/>
      <c r="P2061" s="30">
        <f t="shared" si="1796"/>
        <v>0</v>
      </c>
      <c r="Q2061" s="31">
        <f t="shared" si="1795"/>
        <v>0</v>
      </c>
    </row>
    <row r="2062" spans="1:17" x14ac:dyDescent="0.2">
      <c r="A2062" s="10"/>
      <c r="B2062" s="26"/>
      <c r="C2062" s="11">
        <v>1989</v>
      </c>
      <c r="D2062" s="32">
        <f>SPFI_CLB14!$D$12</f>
        <v>0.65287700000000004</v>
      </c>
      <c r="E2062" s="32"/>
      <c r="F2062" s="32"/>
      <c r="G2062" s="32"/>
      <c r="H2062" s="32"/>
      <c r="I2062" s="32"/>
      <c r="J2062" s="28">
        <f t="shared" si="1794"/>
        <v>0</v>
      </c>
      <c r="K2062" s="29"/>
      <c r="L2062" s="29"/>
      <c r="M2062" s="29"/>
      <c r="N2062" s="29"/>
      <c r="O2062" s="29"/>
      <c r="P2062" s="30">
        <f t="shared" si="1796"/>
        <v>0</v>
      </c>
      <c r="Q2062" s="31">
        <f t="shared" si="1795"/>
        <v>0</v>
      </c>
    </row>
    <row r="2063" spans="1:17" x14ac:dyDescent="0.2">
      <c r="A2063" s="10"/>
      <c r="B2063" s="26"/>
      <c r="C2063" s="11">
        <v>1990</v>
      </c>
      <c r="D2063" s="32">
        <f>SPFI_CLB14!$D$13</f>
        <v>0.56965100000000002</v>
      </c>
      <c r="E2063" s="32"/>
      <c r="F2063" s="32"/>
      <c r="G2063" s="32"/>
      <c r="H2063" s="32"/>
      <c r="I2063" s="32"/>
      <c r="J2063" s="28">
        <f t="shared" si="1794"/>
        <v>0</v>
      </c>
      <c r="K2063" s="29"/>
      <c r="L2063" s="29"/>
      <c r="M2063" s="29"/>
      <c r="N2063" s="29"/>
      <c r="O2063" s="29"/>
      <c r="P2063" s="30">
        <f t="shared" si="1796"/>
        <v>0</v>
      </c>
      <c r="Q2063" s="31">
        <f t="shared" si="1795"/>
        <v>0</v>
      </c>
    </row>
    <row r="2064" spans="1:17" x14ac:dyDescent="0.2">
      <c r="A2064" s="10"/>
      <c r="B2064" s="26"/>
      <c r="C2064" s="11">
        <v>1991</v>
      </c>
      <c r="D2064" s="32">
        <f>SPFI_CLB14!$D$14</f>
        <v>0.62776900000000002</v>
      </c>
      <c r="E2064" s="32"/>
      <c r="F2064" s="32"/>
      <c r="G2064" s="32"/>
      <c r="H2064" s="32"/>
      <c r="I2064" s="32"/>
      <c r="J2064" s="28">
        <f t="shared" si="1794"/>
        <v>0</v>
      </c>
      <c r="K2064" s="29"/>
      <c r="L2064" s="29"/>
      <c r="M2064" s="29"/>
      <c r="N2064" s="29"/>
      <c r="O2064" s="29"/>
      <c r="P2064" s="30">
        <f t="shared" si="1796"/>
        <v>0</v>
      </c>
      <c r="Q2064" s="31">
        <f t="shared" si="1795"/>
        <v>0</v>
      </c>
    </row>
    <row r="2065" spans="1:17" x14ac:dyDescent="0.2">
      <c r="A2065" s="10"/>
      <c r="B2065" s="26"/>
      <c r="C2065" s="11">
        <v>1992</v>
      </c>
      <c r="D2065" s="32">
        <f>SPFI_CLB14!$D$15</f>
        <v>0.43504100000000001</v>
      </c>
      <c r="E2065" s="32"/>
      <c r="F2065" s="32"/>
      <c r="G2065" s="32"/>
      <c r="H2065" s="32"/>
      <c r="I2065" s="32"/>
      <c r="J2065" s="28">
        <f t="shared" si="1794"/>
        <v>0</v>
      </c>
      <c r="K2065" s="29"/>
      <c r="L2065" s="29"/>
      <c r="M2065" s="29"/>
      <c r="N2065" s="29"/>
      <c r="O2065" s="29"/>
      <c r="P2065" s="30">
        <f t="shared" si="1796"/>
        <v>0</v>
      </c>
      <c r="Q2065" s="31">
        <f t="shared" si="1795"/>
        <v>0</v>
      </c>
    </row>
    <row r="2066" spans="1:17" x14ac:dyDescent="0.2">
      <c r="A2066" s="10"/>
      <c r="B2066" s="26"/>
      <c r="C2066" s="11">
        <v>1993</v>
      </c>
      <c r="D2066" s="32">
        <f>SPFI_CLB14!$D$16</f>
        <v>0.499164</v>
      </c>
      <c r="E2066" s="32"/>
      <c r="F2066" s="32"/>
      <c r="G2066" s="32"/>
      <c r="H2066" s="32"/>
      <c r="I2066" s="32"/>
      <c r="J2066" s="28">
        <f t="shared" si="1794"/>
        <v>0</v>
      </c>
      <c r="K2066" s="29"/>
      <c r="L2066" s="29"/>
      <c r="M2066" s="29"/>
      <c r="N2066" s="29"/>
      <c r="O2066" s="29"/>
      <c r="P2066" s="30">
        <f t="shared" si="1796"/>
        <v>0</v>
      </c>
      <c r="Q2066" s="31">
        <f t="shared" si="1795"/>
        <v>0</v>
      </c>
    </row>
    <row r="2067" spans="1:17" x14ac:dyDescent="0.2">
      <c r="A2067" s="10"/>
      <c r="B2067" s="26"/>
      <c r="C2067" s="11">
        <v>1994</v>
      </c>
      <c r="D2067" s="32">
        <f>SPFI_CLB14!$D$17</f>
        <v>0.59591300000000003</v>
      </c>
      <c r="E2067" s="32"/>
      <c r="F2067" s="32"/>
      <c r="G2067" s="32"/>
      <c r="H2067" s="32"/>
      <c r="I2067" s="32"/>
      <c r="J2067" s="28">
        <f t="shared" si="1794"/>
        <v>0</v>
      </c>
      <c r="K2067" s="29"/>
      <c r="L2067" s="29"/>
      <c r="M2067" s="29"/>
      <c r="N2067" s="29"/>
      <c r="O2067" s="29"/>
      <c r="P2067" s="30">
        <f t="shared" si="1796"/>
        <v>0</v>
      </c>
      <c r="Q2067" s="31">
        <f t="shared" si="1795"/>
        <v>0</v>
      </c>
    </row>
    <row r="2068" spans="1:17" x14ac:dyDescent="0.2">
      <c r="A2068" s="10"/>
      <c r="B2068" s="26"/>
      <c r="C2068" s="11">
        <v>1995</v>
      </c>
      <c r="D2068" s="32">
        <f>SPFI_CLB14!$D$18</f>
        <v>0.25400800000000001</v>
      </c>
      <c r="E2068" s="32"/>
      <c r="F2068" s="32"/>
      <c r="G2068" s="32"/>
      <c r="H2068" s="32"/>
      <c r="I2068" s="32"/>
      <c r="J2068" s="28">
        <f t="shared" ref="J2068" si="1797">D2068*J$66</f>
        <v>0</v>
      </c>
      <c r="K2068" s="29"/>
      <c r="L2068" s="29"/>
      <c r="M2068" s="29"/>
      <c r="N2068" s="29"/>
      <c r="O2068" s="29"/>
      <c r="P2068" s="30">
        <f>SUM(J2068:O2068)</f>
        <v>0</v>
      </c>
      <c r="Q2068" s="31">
        <f t="shared" si="1795"/>
        <v>0</v>
      </c>
    </row>
    <row r="2069" spans="1:17" x14ac:dyDescent="0.2">
      <c r="A2069" s="10"/>
      <c r="B2069" s="26"/>
      <c r="C2069" s="11">
        <v>1996</v>
      </c>
      <c r="D2069" s="32">
        <f>SPFI_CLB14!$D$19</f>
        <v>0</v>
      </c>
      <c r="E2069" s="32"/>
      <c r="F2069" s="32"/>
      <c r="G2069" s="32"/>
      <c r="H2069" s="32"/>
      <c r="I2069" s="32"/>
      <c r="J2069" s="28">
        <f t="shared" ref="J2069" si="1798">D2069*J$66</f>
        <v>0</v>
      </c>
      <c r="K2069" s="29"/>
      <c r="L2069" s="29"/>
      <c r="M2069" s="29"/>
      <c r="N2069" s="29"/>
      <c r="O2069" s="29"/>
      <c r="P2069" s="30">
        <f>SUM(J2069:O2069)</f>
        <v>0</v>
      </c>
      <c r="Q2069" s="31">
        <f t="shared" si="1795"/>
        <v>0</v>
      </c>
    </row>
    <row r="2070" spans="1:17" x14ac:dyDescent="0.2">
      <c r="A2070" s="10"/>
      <c r="B2070" s="26"/>
      <c r="C2070" s="11">
        <v>1997</v>
      </c>
      <c r="D2070" s="32">
        <f>SPFI_CLB14!$D$20</f>
        <v>0.201487</v>
      </c>
      <c r="E2070" s="32"/>
      <c r="F2070" s="32"/>
      <c r="G2070" s="32"/>
      <c r="H2070" s="32"/>
      <c r="I2070" s="32"/>
      <c r="J2070" s="28">
        <f t="shared" ref="J2070" si="1799">D2070*J$66</f>
        <v>0</v>
      </c>
      <c r="K2070" s="29"/>
      <c r="L2070" s="29"/>
      <c r="M2070" s="29"/>
      <c r="N2070" s="29"/>
      <c r="O2070" s="29"/>
      <c r="P2070" s="30">
        <f>SUM(J2070:O2070)</f>
        <v>0</v>
      </c>
      <c r="Q2070" s="31">
        <f t="shared" si="1795"/>
        <v>0</v>
      </c>
    </row>
    <row r="2071" spans="1:17" x14ac:dyDescent="0.2">
      <c r="A2071" s="10"/>
      <c r="B2071" s="26"/>
      <c r="C2071" s="11">
        <v>1998</v>
      </c>
      <c r="D2071" s="32">
        <f>SPFI_CLB14!$D$21</f>
        <v>0.37506400000000001</v>
      </c>
      <c r="E2071" s="32"/>
      <c r="F2071" s="32"/>
      <c r="G2071" s="32"/>
      <c r="H2071" s="32"/>
      <c r="I2071" s="32"/>
      <c r="J2071" s="28">
        <f t="shared" ref="J2071" si="1800">D2071*J$66</f>
        <v>0</v>
      </c>
      <c r="K2071" s="29"/>
      <c r="L2071" s="29"/>
      <c r="M2071" s="29"/>
      <c r="N2071" s="29"/>
      <c r="O2071" s="29"/>
      <c r="P2071" s="30">
        <f>SUM(J2071:O2071)</f>
        <v>0</v>
      </c>
      <c r="Q2071" s="31">
        <f t="shared" si="1795"/>
        <v>0</v>
      </c>
    </row>
    <row r="2072" spans="1:17" x14ac:dyDescent="0.2">
      <c r="A2072" s="10"/>
      <c r="B2072" s="26"/>
      <c r="C2072" s="11">
        <v>1999</v>
      </c>
      <c r="D2072" s="32">
        <f>SPFI_CLB14!$D$22</f>
        <v>0.29823699999999997</v>
      </c>
      <c r="E2072" s="32"/>
      <c r="F2072" s="32"/>
      <c r="G2072" s="32"/>
      <c r="H2072" s="32"/>
      <c r="I2072" s="32"/>
      <c r="J2072" s="28">
        <f t="shared" ref="J2072" si="1801">D2072*J$66</f>
        <v>0</v>
      </c>
      <c r="K2072" s="29"/>
      <c r="L2072" s="29"/>
      <c r="M2072" s="29"/>
      <c r="N2072" s="29"/>
      <c r="O2072" s="29"/>
      <c r="P2072" s="30">
        <f>SUM(J2072:O2072)</f>
        <v>0</v>
      </c>
      <c r="Q2072" s="31">
        <f t="shared" ref="Q2072:Q2077" si="1802">IF(C$66&gt;0,P2072/C$66,0)</f>
        <v>0</v>
      </c>
    </row>
    <row r="2073" spans="1:17" x14ac:dyDescent="0.2">
      <c r="A2073" s="10"/>
      <c r="B2073" s="26"/>
      <c r="C2073" s="11">
        <v>2000</v>
      </c>
      <c r="D2073" s="32">
        <f>SPFI_CLB14!$D$23</f>
        <v>8.4414000000000003E-2</v>
      </c>
      <c r="E2073" s="32"/>
      <c r="F2073" s="32"/>
      <c r="G2073" s="32"/>
      <c r="H2073" s="32"/>
      <c r="I2073" s="32"/>
      <c r="J2073" s="28">
        <f t="shared" ref="J2073" si="1803">D2073*J$66</f>
        <v>0</v>
      </c>
      <c r="K2073" s="29"/>
      <c r="L2073" s="29"/>
      <c r="M2073" s="29"/>
      <c r="N2073" s="29"/>
      <c r="O2073" s="29"/>
      <c r="P2073" s="30">
        <f t="shared" ref="P2073:P2078" si="1804">SUM(J2073:O2073)</f>
        <v>0</v>
      </c>
      <c r="Q2073" s="31">
        <f t="shared" si="1802"/>
        <v>0</v>
      </c>
    </row>
    <row r="2074" spans="1:17" x14ac:dyDescent="0.2">
      <c r="A2074" s="10"/>
      <c r="B2074" s="26"/>
      <c r="C2074" s="11">
        <v>2001</v>
      </c>
      <c r="D2074" s="32">
        <f>SPFI_CLB14!$D$24</f>
        <v>7.8909000000000007E-2</v>
      </c>
      <c r="E2074" s="32"/>
      <c r="F2074" s="32"/>
      <c r="G2074" s="32"/>
      <c r="H2074" s="32"/>
      <c r="I2074" s="32"/>
      <c r="J2074" s="28">
        <f t="shared" ref="J2074" si="1805">D2074*J$66</f>
        <v>0</v>
      </c>
      <c r="K2074" s="29"/>
      <c r="L2074" s="29"/>
      <c r="M2074" s="29"/>
      <c r="N2074" s="29"/>
      <c r="O2074" s="29"/>
      <c r="P2074" s="30">
        <f t="shared" si="1804"/>
        <v>0</v>
      </c>
      <c r="Q2074" s="31">
        <f t="shared" si="1802"/>
        <v>0</v>
      </c>
    </row>
    <row r="2075" spans="1:17" x14ac:dyDescent="0.2">
      <c r="A2075" s="10"/>
      <c r="B2075" s="26"/>
      <c r="C2075" s="11">
        <v>2002</v>
      </c>
      <c r="D2075" s="32">
        <f>SPFI_CLB14!$D$25</f>
        <v>0.29974699999999999</v>
      </c>
      <c r="E2075" s="32"/>
      <c r="F2075" s="32"/>
      <c r="G2075" s="32"/>
      <c r="H2075" s="32"/>
      <c r="I2075" s="32"/>
      <c r="J2075" s="28">
        <f t="shared" ref="J2075" si="1806">D2075*J$66</f>
        <v>0</v>
      </c>
      <c r="K2075" s="29"/>
      <c r="L2075" s="29"/>
      <c r="M2075" s="29"/>
      <c r="N2075" s="29"/>
      <c r="O2075" s="29"/>
      <c r="P2075" s="30">
        <f t="shared" si="1804"/>
        <v>0</v>
      </c>
      <c r="Q2075" s="31">
        <f t="shared" si="1802"/>
        <v>0</v>
      </c>
    </row>
    <row r="2076" spans="1:17" x14ac:dyDescent="0.2">
      <c r="A2076" s="10"/>
      <c r="B2076" s="26"/>
      <c r="C2076" s="11">
        <v>2003</v>
      </c>
      <c r="D2076" s="32">
        <f>SPFI_CLB14!$D$26</f>
        <v>0.20691100000000001</v>
      </c>
      <c r="E2076" s="32"/>
      <c r="F2076" s="32"/>
      <c r="G2076" s="32"/>
      <c r="H2076" s="32"/>
      <c r="I2076" s="32"/>
      <c r="J2076" s="28">
        <f t="shared" ref="J2076" si="1807">D2076*J$66</f>
        <v>0</v>
      </c>
      <c r="K2076" s="29"/>
      <c r="L2076" s="29"/>
      <c r="M2076" s="29"/>
      <c r="N2076" s="29"/>
      <c r="O2076" s="29"/>
      <c r="P2076" s="30">
        <f t="shared" si="1804"/>
        <v>0</v>
      </c>
      <c r="Q2076" s="31">
        <f t="shared" si="1802"/>
        <v>0</v>
      </c>
    </row>
    <row r="2077" spans="1:17" x14ac:dyDescent="0.2">
      <c r="A2077" s="10"/>
      <c r="B2077" s="26"/>
      <c r="C2077" s="11">
        <v>2004</v>
      </c>
      <c r="D2077" s="32">
        <f>SPFI_CLB14!$D$27</f>
        <v>0.269237</v>
      </c>
      <c r="E2077" s="32"/>
      <c r="F2077" s="32"/>
      <c r="G2077" s="32"/>
      <c r="H2077" s="32"/>
      <c r="I2077" s="32"/>
      <c r="J2077" s="28">
        <f t="shared" ref="J2077" si="1808">D2077*J$66</f>
        <v>0</v>
      </c>
      <c r="K2077" s="29"/>
      <c r="L2077" s="29"/>
      <c r="M2077" s="29"/>
      <c r="N2077" s="29"/>
      <c r="O2077" s="29"/>
      <c r="P2077" s="30">
        <f t="shared" si="1804"/>
        <v>0</v>
      </c>
      <c r="Q2077" s="31">
        <f t="shared" si="1802"/>
        <v>0</v>
      </c>
    </row>
    <row r="2078" spans="1:17" x14ac:dyDescent="0.2">
      <c r="A2078" s="10"/>
      <c r="B2078" s="26"/>
      <c r="C2078" s="11">
        <v>2005</v>
      </c>
      <c r="D2078" s="32">
        <f>SPFI_CLB14!$D$28</f>
        <v>0.37848700000000002</v>
      </c>
      <c r="E2078" s="32"/>
      <c r="F2078" s="32"/>
      <c r="G2078" s="32"/>
      <c r="H2078" s="32"/>
      <c r="I2078" s="32"/>
      <c r="J2078" s="28">
        <f t="shared" ref="J2078" si="1809">D2078*J$66</f>
        <v>0</v>
      </c>
      <c r="K2078" s="29"/>
      <c r="L2078" s="29"/>
      <c r="M2078" s="29"/>
      <c r="N2078" s="29"/>
      <c r="O2078" s="29"/>
      <c r="P2078" s="30">
        <f t="shared" si="1804"/>
        <v>0</v>
      </c>
      <c r="Q2078" s="31">
        <f t="shared" ref="Q2078:Q2083" si="1810">IF(C$66&gt;0,P2078/C$66,0)</f>
        <v>0</v>
      </c>
    </row>
    <row r="2079" spans="1:17" x14ac:dyDescent="0.2">
      <c r="A2079" s="10"/>
      <c r="B2079" s="26"/>
      <c r="C2079" s="11">
        <v>2006</v>
      </c>
      <c r="D2079" s="32">
        <f>SPFI_CLB14!$D$29</f>
        <v>0.381023</v>
      </c>
      <c r="E2079" s="32"/>
      <c r="F2079" s="32"/>
      <c r="G2079" s="32"/>
      <c r="H2079" s="32"/>
      <c r="I2079" s="32"/>
      <c r="J2079" s="28">
        <f t="shared" ref="J2079" si="1811">D2079*J$66</f>
        <v>0</v>
      </c>
      <c r="K2079" s="29"/>
      <c r="L2079" s="29"/>
      <c r="M2079" s="29"/>
      <c r="N2079" s="29"/>
      <c r="O2079" s="29"/>
      <c r="P2079" s="30">
        <f t="shared" ref="P2079:P2086" si="1812">SUM(J2079:O2079)</f>
        <v>0</v>
      </c>
      <c r="Q2079" s="31">
        <f t="shared" si="1810"/>
        <v>0</v>
      </c>
    </row>
    <row r="2080" spans="1:17" x14ac:dyDescent="0.2">
      <c r="A2080" s="10"/>
      <c r="B2080" s="26"/>
      <c r="C2080" s="11">
        <v>2007</v>
      </c>
      <c r="D2080" s="32">
        <f>SPFI_CLB14!$D$30</f>
        <v>0.356512</v>
      </c>
      <c r="E2080" s="32"/>
      <c r="F2080" s="32"/>
      <c r="G2080" s="32"/>
      <c r="H2080" s="32"/>
      <c r="I2080" s="32"/>
      <c r="J2080" s="28">
        <f t="shared" ref="J2080" si="1813">D2080*J$66</f>
        <v>0</v>
      </c>
      <c r="K2080" s="29"/>
      <c r="L2080" s="29"/>
      <c r="M2080" s="29"/>
      <c r="N2080" s="29"/>
      <c r="O2080" s="29"/>
      <c r="P2080" s="30">
        <f t="shared" si="1812"/>
        <v>0</v>
      </c>
      <c r="Q2080" s="31">
        <f t="shared" si="1810"/>
        <v>0</v>
      </c>
    </row>
    <row r="2081" spans="1:17" x14ac:dyDescent="0.2">
      <c r="A2081" s="10"/>
      <c r="B2081" s="26"/>
      <c r="C2081" s="11">
        <v>2008</v>
      </c>
      <c r="D2081" s="32">
        <f>SPFI_CLB14!$D$31</f>
        <v>0.25494499999999998</v>
      </c>
      <c r="E2081" s="32"/>
      <c r="F2081" s="32"/>
      <c r="G2081" s="32"/>
      <c r="H2081" s="32"/>
      <c r="I2081" s="32"/>
      <c r="J2081" s="28">
        <f t="shared" ref="J2081" si="1814">D2081*J$66</f>
        <v>0</v>
      </c>
      <c r="K2081" s="29"/>
      <c r="L2081" s="29"/>
      <c r="M2081" s="29"/>
      <c r="N2081" s="29"/>
      <c r="O2081" s="29"/>
      <c r="P2081" s="30">
        <f t="shared" si="1812"/>
        <v>0</v>
      </c>
      <c r="Q2081" s="31">
        <f t="shared" si="1810"/>
        <v>0</v>
      </c>
    </row>
    <row r="2082" spans="1:17" x14ac:dyDescent="0.2">
      <c r="A2082" s="10"/>
      <c r="B2082" s="26"/>
      <c r="C2082" s="11">
        <v>2009</v>
      </c>
      <c r="D2082" s="32">
        <f>SPFI_CLB14!$D$32</f>
        <v>0.52383000000000002</v>
      </c>
      <c r="E2082" s="32"/>
      <c r="F2082" s="32"/>
      <c r="G2082" s="32"/>
      <c r="H2082" s="32"/>
      <c r="I2082" s="32"/>
      <c r="J2082" s="28">
        <f t="shared" ref="J2082" si="1815">D2082*J$66</f>
        <v>0</v>
      </c>
      <c r="K2082" s="29"/>
      <c r="L2082" s="29"/>
      <c r="M2082" s="29"/>
      <c r="N2082" s="29"/>
      <c r="O2082" s="29"/>
      <c r="P2082" s="30">
        <f t="shared" si="1812"/>
        <v>0</v>
      </c>
      <c r="Q2082" s="31">
        <f t="shared" si="1810"/>
        <v>0</v>
      </c>
    </row>
    <row r="2083" spans="1:17" x14ac:dyDescent="0.2">
      <c r="A2083" s="10"/>
      <c r="B2083" s="26"/>
      <c r="C2083" s="11">
        <v>2010</v>
      </c>
      <c r="D2083" s="32">
        <f>SPFI_CLB14!$D$33</f>
        <v>0.31394</v>
      </c>
      <c r="E2083" s="32"/>
      <c r="F2083" s="32"/>
      <c r="G2083" s="32"/>
      <c r="H2083" s="32"/>
      <c r="I2083" s="32"/>
      <c r="J2083" s="28">
        <f t="shared" ref="J2083" si="1816">D2083*J$66</f>
        <v>0</v>
      </c>
      <c r="K2083" s="29"/>
      <c r="L2083" s="29"/>
      <c r="M2083" s="29"/>
      <c r="N2083" s="29"/>
      <c r="O2083" s="29"/>
      <c r="P2083" s="30">
        <f t="shared" si="1812"/>
        <v>0</v>
      </c>
      <c r="Q2083" s="31">
        <f t="shared" si="1810"/>
        <v>0</v>
      </c>
    </row>
    <row r="2084" spans="1:17" x14ac:dyDescent="0.2">
      <c r="A2084" s="10"/>
      <c r="B2084" s="26"/>
      <c r="C2084" s="11">
        <v>2011</v>
      </c>
      <c r="D2084" s="32">
        <f>SPFI_CLB14!$D$34</f>
        <v>0.294348</v>
      </c>
      <c r="E2084" s="32"/>
      <c r="F2084" s="32"/>
      <c r="G2084" s="32"/>
      <c r="H2084" s="32"/>
      <c r="I2084" s="32"/>
      <c r="J2084" s="28">
        <f t="shared" ref="J2084" si="1817">D2084*J$66</f>
        <v>0</v>
      </c>
      <c r="K2084" s="29"/>
      <c r="L2084" s="29"/>
      <c r="M2084" s="29"/>
      <c r="N2084" s="29"/>
      <c r="O2084" s="29"/>
      <c r="P2084" s="30">
        <f t="shared" ref="P2084" si="1818">SUM(J2084:O2084)</f>
        <v>0</v>
      </c>
      <c r="Q2084" s="31">
        <f t="shared" ref="Q2084" si="1819">IF(C$66&gt;0,P2084/C$66,0)</f>
        <v>0</v>
      </c>
    </row>
    <row r="2085" spans="1:17" x14ac:dyDescent="0.2">
      <c r="A2085" s="10"/>
      <c r="B2085" s="26"/>
      <c r="C2085" s="11">
        <v>2012</v>
      </c>
      <c r="D2085" s="32">
        <f>SPFI_CLB14!$D$35</f>
        <v>0.34784100000000001</v>
      </c>
      <c r="E2085" s="32"/>
      <c r="F2085" s="32"/>
      <c r="G2085" s="32"/>
      <c r="H2085" s="32"/>
      <c r="I2085" s="32"/>
      <c r="J2085" s="28">
        <f t="shared" ref="J2085" si="1820">D2085*J$66</f>
        <v>0</v>
      </c>
      <c r="K2085" s="29"/>
      <c r="L2085" s="29"/>
      <c r="M2085" s="29"/>
      <c r="N2085" s="29"/>
      <c r="O2085" s="29"/>
      <c r="P2085" s="30">
        <f t="shared" ref="P2085" si="1821">SUM(J2085:O2085)</f>
        <v>0</v>
      </c>
      <c r="Q2085" s="31">
        <f t="shared" ref="Q2085" si="1822">IF(C$66&gt;0,P2085/C$66,0)</f>
        <v>0</v>
      </c>
    </row>
    <row r="2086" spans="1:17" x14ac:dyDescent="0.2">
      <c r="A2086" s="5" t="s">
        <v>21</v>
      </c>
      <c r="B2086" s="21">
        <v>5</v>
      </c>
      <c r="C2086" s="6">
        <v>1982</v>
      </c>
      <c r="D2086" s="27">
        <f>SPFI_CLB14!$D$5</f>
        <v>0.98153299999999999</v>
      </c>
      <c r="E2086" s="27"/>
      <c r="F2086" s="27"/>
      <c r="G2086" s="27"/>
      <c r="H2086" s="27"/>
      <c r="I2086" s="27"/>
      <c r="J2086" s="33">
        <f t="shared" ref="J2086:J2098" si="1823">D2086*J$67</f>
        <v>0</v>
      </c>
      <c r="K2086" s="27"/>
      <c r="L2086" s="27"/>
      <c r="M2086" s="27"/>
      <c r="N2086" s="27"/>
      <c r="O2086" s="27"/>
      <c r="P2086" s="34">
        <f t="shared" si="1812"/>
        <v>0</v>
      </c>
      <c r="Q2086" s="35">
        <f t="shared" ref="Q2086:Q2102" si="1824">IF(C$67&gt;0,P2086/C$67,0)</f>
        <v>0</v>
      </c>
    </row>
    <row r="2087" spans="1:17" x14ac:dyDescent="0.2">
      <c r="A2087" s="10"/>
      <c r="B2087" s="26"/>
      <c r="C2087" s="11">
        <v>1983</v>
      </c>
      <c r="D2087" s="32">
        <f>SPFI_CLB14!$D$6</f>
        <v>0.93659899999999996</v>
      </c>
      <c r="E2087" s="32"/>
      <c r="F2087" s="32"/>
      <c r="G2087" s="32"/>
      <c r="H2087" s="32"/>
      <c r="I2087" s="32"/>
      <c r="J2087" s="28">
        <f t="shared" si="1823"/>
        <v>0</v>
      </c>
      <c r="K2087" s="29"/>
      <c r="L2087" s="29"/>
      <c r="M2087" s="29"/>
      <c r="N2087" s="29"/>
      <c r="O2087" s="29"/>
      <c r="P2087" s="30">
        <f t="shared" ref="P2087:P2098" si="1825">SUM(J2087:O2087)</f>
        <v>0</v>
      </c>
      <c r="Q2087" s="31">
        <f t="shared" si="1824"/>
        <v>0</v>
      </c>
    </row>
    <row r="2088" spans="1:17" x14ac:dyDescent="0.2">
      <c r="A2088" s="10"/>
      <c r="B2088" s="26"/>
      <c r="C2088" s="11">
        <v>1984</v>
      </c>
      <c r="D2088" s="32">
        <f>SPFI_CLB14!$D$7</f>
        <v>0.92793599999999998</v>
      </c>
      <c r="E2088" s="32"/>
      <c r="F2088" s="32"/>
      <c r="G2088" s="32"/>
      <c r="H2088" s="32"/>
      <c r="I2088" s="32"/>
      <c r="J2088" s="28">
        <f t="shared" si="1823"/>
        <v>0</v>
      </c>
      <c r="K2088" s="29"/>
      <c r="L2088" s="29"/>
      <c r="M2088" s="29"/>
      <c r="N2088" s="29"/>
      <c r="O2088" s="29"/>
      <c r="P2088" s="30">
        <f t="shared" si="1825"/>
        <v>0</v>
      </c>
      <c r="Q2088" s="31">
        <f t="shared" si="1824"/>
        <v>0</v>
      </c>
    </row>
    <row r="2089" spans="1:17" x14ac:dyDescent="0.2">
      <c r="A2089" s="10"/>
      <c r="B2089" s="26"/>
      <c r="C2089" s="11">
        <v>1985</v>
      </c>
      <c r="D2089" s="32">
        <f>SPFI_CLB14!$D$8</f>
        <v>0.90386500000000003</v>
      </c>
      <c r="E2089" s="32"/>
      <c r="F2089" s="32"/>
      <c r="G2089" s="32"/>
      <c r="H2089" s="32"/>
      <c r="I2089" s="32"/>
      <c r="J2089" s="28">
        <f t="shared" si="1823"/>
        <v>0</v>
      </c>
      <c r="K2089" s="29"/>
      <c r="L2089" s="29"/>
      <c r="M2089" s="29"/>
      <c r="N2089" s="29"/>
      <c r="O2089" s="29"/>
      <c r="P2089" s="30">
        <f t="shared" si="1825"/>
        <v>0</v>
      </c>
      <c r="Q2089" s="31">
        <f t="shared" si="1824"/>
        <v>0</v>
      </c>
    </row>
    <row r="2090" spans="1:17" x14ac:dyDescent="0.2">
      <c r="A2090" s="10"/>
      <c r="B2090" s="26"/>
      <c r="C2090" s="11">
        <v>1986</v>
      </c>
      <c r="D2090" s="32">
        <f>SPFI_CLB14!$D$9</f>
        <v>0.73087500000000005</v>
      </c>
      <c r="E2090" s="32"/>
      <c r="F2090" s="32"/>
      <c r="G2090" s="32"/>
      <c r="H2090" s="32"/>
      <c r="I2090" s="32"/>
      <c r="J2090" s="28">
        <f t="shared" si="1823"/>
        <v>0</v>
      </c>
      <c r="K2090" s="29"/>
      <c r="L2090" s="29"/>
      <c r="M2090" s="29"/>
      <c r="N2090" s="29"/>
      <c r="O2090" s="29"/>
      <c r="P2090" s="30">
        <f t="shared" si="1825"/>
        <v>0</v>
      </c>
      <c r="Q2090" s="31">
        <f t="shared" si="1824"/>
        <v>0</v>
      </c>
    </row>
    <row r="2091" spans="1:17" x14ac:dyDescent="0.2">
      <c r="A2091" s="10"/>
      <c r="B2091" s="26"/>
      <c r="C2091" s="11">
        <v>1987</v>
      </c>
      <c r="D2091" s="32">
        <f>SPFI_CLB14!$D$10</f>
        <v>0.71733499999999994</v>
      </c>
      <c r="E2091" s="32"/>
      <c r="F2091" s="32"/>
      <c r="G2091" s="32"/>
      <c r="H2091" s="32"/>
      <c r="I2091" s="32"/>
      <c r="J2091" s="28">
        <f t="shared" si="1823"/>
        <v>0</v>
      </c>
      <c r="K2091" s="29"/>
      <c r="L2091" s="29"/>
      <c r="M2091" s="29"/>
      <c r="N2091" s="29"/>
      <c r="O2091" s="29"/>
      <c r="P2091" s="30">
        <f t="shared" si="1825"/>
        <v>0</v>
      </c>
      <c r="Q2091" s="31">
        <f t="shared" si="1824"/>
        <v>0</v>
      </c>
    </row>
    <row r="2092" spans="1:17" x14ac:dyDescent="0.2">
      <c r="A2092" s="10"/>
      <c r="B2092" s="26"/>
      <c r="C2092" s="11">
        <v>1988</v>
      </c>
      <c r="D2092" s="32">
        <f>SPFI_CLB14!$D$11</f>
        <v>0.64558800000000005</v>
      </c>
      <c r="E2092" s="32"/>
      <c r="F2092" s="32"/>
      <c r="G2092" s="32"/>
      <c r="H2092" s="32"/>
      <c r="I2092" s="32"/>
      <c r="J2092" s="28">
        <f t="shared" si="1823"/>
        <v>0</v>
      </c>
      <c r="K2092" s="29"/>
      <c r="L2092" s="29"/>
      <c r="M2092" s="29"/>
      <c r="N2092" s="29"/>
      <c r="O2092" s="29"/>
      <c r="P2092" s="30">
        <f t="shared" si="1825"/>
        <v>0</v>
      </c>
      <c r="Q2092" s="31">
        <f t="shared" si="1824"/>
        <v>0</v>
      </c>
    </row>
    <row r="2093" spans="1:17" x14ac:dyDescent="0.2">
      <c r="A2093" s="10"/>
      <c r="B2093" s="26"/>
      <c r="C2093" s="11">
        <v>1989</v>
      </c>
      <c r="D2093" s="32">
        <f>SPFI_CLB14!$D$12</f>
        <v>0.65287700000000004</v>
      </c>
      <c r="E2093" s="32"/>
      <c r="F2093" s="32"/>
      <c r="G2093" s="32"/>
      <c r="H2093" s="32"/>
      <c r="I2093" s="32"/>
      <c r="J2093" s="28">
        <f t="shared" si="1823"/>
        <v>0</v>
      </c>
      <c r="K2093" s="29"/>
      <c r="L2093" s="29"/>
      <c r="M2093" s="29"/>
      <c r="N2093" s="29"/>
      <c r="O2093" s="29"/>
      <c r="P2093" s="30">
        <f t="shared" si="1825"/>
        <v>0</v>
      </c>
      <c r="Q2093" s="31">
        <f t="shared" si="1824"/>
        <v>0</v>
      </c>
    </row>
    <row r="2094" spans="1:17" x14ac:dyDescent="0.2">
      <c r="A2094" s="10"/>
      <c r="B2094" s="26"/>
      <c r="C2094" s="11">
        <v>1990</v>
      </c>
      <c r="D2094" s="32">
        <f>SPFI_CLB14!$D$13</f>
        <v>0.56965100000000002</v>
      </c>
      <c r="E2094" s="32"/>
      <c r="F2094" s="32"/>
      <c r="G2094" s="32"/>
      <c r="H2094" s="32"/>
      <c r="I2094" s="32"/>
      <c r="J2094" s="28">
        <f t="shared" si="1823"/>
        <v>0</v>
      </c>
      <c r="K2094" s="29"/>
      <c r="L2094" s="29"/>
      <c r="M2094" s="29"/>
      <c r="N2094" s="29"/>
      <c r="O2094" s="29"/>
      <c r="P2094" s="30">
        <f t="shared" si="1825"/>
        <v>0</v>
      </c>
      <c r="Q2094" s="31">
        <f t="shared" si="1824"/>
        <v>0</v>
      </c>
    </row>
    <row r="2095" spans="1:17" x14ac:dyDescent="0.2">
      <c r="A2095" s="10"/>
      <c r="B2095" s="26"/>
      <c r="C2095" s="11">
        <v>1991</v>
      </c>
      <c r="D2095" s="32">
        <f>SPFI_CLB14!$D$14</f>
        <v>0.62776900000000002</v>
      </c>
      <c r="E2095" s="32"/>
      <c r="F2095" s="32"/>
      <c r="G2095" s="32"/>
      <c r="H2095" s="32"/>
      <c r="I2095" s="32"/>
      <c r="J2095" s="28">
        <f t="shared" si="1823"/>
        <v>0</v>
      </c>
      <c r="K2095" s="29"/>
      <c r="L2095" s="29"/>
      <c r="M2095" s="29"/>
      <c r="N2095" s="29"/>
      <c r="O2095" s="29"/>
      <c r="P2095" s="30">
        <f t="shared" si="1825"/>
        <v>0</v>
      </c>
      <c r="Q2095" s="31">
        <f t="shared" si="1824"/>
        <v>0</v>
      </c>
    </row>
    <row r="2096" spans="1:17" x14ac:dyDescent="0.2">
      <c r="A2096" s="10"/>
      <c r="B2096" s="26"/>
      <c r="C2096" s="11">
        <v>1992</v>
      </c>
      <c r="D2096" s="32">
        <f>SPFI_CLB14!$D$15</f>
        <v>0.43504100000000001</v>
      </c>
      <c r="E2096" s="32"/>
      <c r="F2096" s="32"/>
      <c r="G2096" s="32"/>
      <c r="H2096" s="32"/>
      <c r="I2096" s="32"/>
      <c r="J2096" s="28">
        <f t="shared" si="1823"/>
        <v>0</v>
      </c>
      <c r="K2096" s="29"/>
      <c r="L2096" s="29"/>
      <c r="M2096" s="29"/>
      <c r="N2096" s="29"/>
      <c r="O2096" s="29"/>
      <c r="P2096" s="30">
        <f t="shared" si="1825"/>
        <v>0</v>
      </c>
      <c r="Q2096" s="31">
        <f t="shared" si="1824"/>
        <v>0</v>
      </c>
    </row>
    <row r="2097" spans="1:17" x14ac:dyDescent="0.2">
      <c r="A2097" s="10"/>
      <c r="B2097" s="26"/>
      <c r="C2097" s="11">
        <v>1993</v>
      </c>
      <c r="D2097" s="32">
        <f>SPFI_CLB14!$D$16</f>
        <v>0.499164</v>
      </c>
      <c r="E2097" s="32"/>
      <c r="F2097" s="32"/>
      <c r="G2097" s="32"/>
      <c r="H2097" s="32"/>
      <c r="I2097" s="32"/>
      <c r="J2097" s="28">
        <f t="shared" si="1823"/>
        <v>0</v>
      </c>
      <c r="K2097" s="29"/>
      <c r="L2097" s="29"/>
      <c r="M2097" s="29"/>
      <c r="N2097" s="29"/>
      <c r="O2097" s="29"/>
      <c r="P2097" s="30">
        <f t="shared" si="1825"/>
        <v>0</v>
      </c>
      <c r="Q2097" s="31">
        <f t="shared" si="1824"/>
        <v>0</v>
      </c>
    </row>
    <row r="2098" spans="1:17" x14ac:dyDescent="0.2">
      <c r="A2098" s="10"/>
      <c r="B2098" s="26" t="s">
        <v>48</v>
      </c>
      <c r="C2098" s="11">
        <v>1994</v>
      </c>
      <c r="D2098" s="32">
        <f>SPFI_CLB14!$D$17</f>
        <v>0.59591300000000003</v>
      </c>
      <c r="E2098" s="32"/>
      <c r="F2098" s="32"/>
      <c r="G2098" s="32"/>
      <c r="H2098" s="32"/>
      <c r="I2098" s="32"/>
      <c r="J2098" s="28">
        <f t="shared" si="1823"/>
        <v>0</v>
      </c>
      <c r="K2098" s="29"/>
      <c r="L2098" s="29"/>
      <c r="M2098" s="29"/>
      <c r="N2098" s="29"/>
      <c r="O2098" s="29"/>
      <c r="P2098" s="30">
        <f t="shared" si="1825"/>
        <v>0</v>
      </c>
      <c r="Q2098" s="31">
        <f t="shared" si="1824"/>
        <v>0</v>
      </c>
    </row>
    <row r="2099" spans="1:17" x14ac:dyDescent="0.2">
      <c r="A2099" s="10"/>
      <c r="B2099" s="26"/>
      <c r="C2099" s="11">
        <v>1995</v>
      </c>
      <c r="D2099" s="32">
        <f>SPFI_CLB14!$D$18</f>
        <v>0.25400800000000001</v>
      </c>
      <c r="E2099" s="32"/>
      <c r="F2099" s="32"/>
      <c r="G2099" s="32"/>
      <c r="H2099" s="32"/>
      <c r="I2099" s="32"/>
      <c r="J2099" s="28">
        <f t="shared" ref="J2099" si="1826">D2099*J$67</f>
        <v>0</v>
      </c>
      <c r="K2099" s="29"/>
      <c r="L2099" s="29"/>
      <c r="M2099" s="29"/>
      <c r="N2099" s="29"/>
      <c r="O2099" s="29"/>
      <c r="P2099" s="30">
        <f>SUM(J2099:O2099)</f>
        <v>0</v>
      </c>
      <c r="Q2099" s="31">
        <f t="shared" si="1824"/>
        <v>0</v>
      </c>
    </row>
    <row r="2100" spans="1:17" x14ac:dyDescent="0.2">
      <c r="A2100" s="10"/>
      <c r="B2100" s="26"/>
      <c r="C2100" s="11">
        <v>1996</v>
      </c>
      <c r="D2100" s="32">
        <f>SPFI_CLB14!$D$19</f>
        <v>0</v>
      </c>
      <c r="E2100" s="32"/>
      <c r="F2100" s="32"/>
      <c r="G2100" s="32"/>
      <c r="H2100" s="32"/>
      <c r="I2100" s="32"/>
      <c r="J2100" s="28">
        <f t="shared" ref="J2100" si="1827">D2100*J$67</f>
        <v>0</v>
      </c>
      <c r="K2100" s="29"/>
      <c r="L2100" s="29"/>
      <c r="M2100" s="29"/>
      <c r="N2100" s="29"/>
      <c r="O2100" s="29"/>
      <c r="P2100" s="30">
        <f>SUM(J2100:O2100)</f>
        <v>0</v>
      </c>
      <c r="Q2100" s="31">
        <f t="shared" si="1824"/>
        <v>0</v>
      </c>
    </row>
    <row r="2101" spans="1:17" x14ac:dyDescent="0.2">
      <c r="A2101" s="10"/>
      <c r="B2101" s="26"/>
      <c r="C2101" s="11">
        <v>1997</v>
      </c>
      <c r="D2101" s="32">
        <f>SPFI_CLB14!$D$20</f>
        <v>0.201487</v>
      </c>
      <c r="E2101" s="32"/>
      <c r="F2101" s="32"/>
      <c r="G2101" s="32"/>
      <c r="H2101" s="32"/>
      <c r="I2101" s="32"/>
      <c r="J2101" s="28">
        <f t="shared" ref="J2101" si="1828">D2101*J$67</f>
        <v>0</v>
      </c>
      <c r="K2101" s="29"/>
      <c r="L2101" s="29"/>
      <c r="M2101" s="29"/>
      <c r="N2101" s="29"/>
      <c r="O2101" s="29"/>
      <c r="P2101" s="30">
        <f>SUM(J2101:O2101)</f>
        <v>0</v>
      </c>
      <c r="Q2101" s="31">
        <f t="shared" si="1824"/>
        <v>0</v>
      </c>
    </row>
    <row r="2102" spans="1:17" x14ac:dyDescent="0.2">
      <c r="A2102" s="10"/>
      <c r="B2102" s="26"/>
      <c r="C2102" s="11">
        <v>1998</v>
      </c>
      <c r="D2102" s="32">
        <f>SPFI_CLB14!$D$21</f>
        <v>0.37506400000000001</v>
      </c>
      <c r="E2102" s="32"/>
      <c r="F2102" s="32"/>
      <c r="G2102" s="32"/>
      <c r="H2102" s="32"/>
      <c r="I2102" s="32"/>
      <c r="J2102" s="28">
        <f t="shared" ref="J2102" si="1829">D2102*J$67</f>
        <v>0</v>
      </c>
      <c r="K2102" s="29"/>
      <c r="L2102" s="29"/>
      <c r="M2102" s="29"/>
      <c r="N2102" s="29"/>
      <c r="O2102" s="29"/>
      <c r="P2102" s="30">
        <f>SUM(J2102:O2102)</f>
        <v>0</v>
      </c>
      <c r="Q2102" s="31">
        <f t="shared" si="1824"/>
        <v>0</v>
      </c>
    </row>
    <row r="2103" spans="1:17" x14ac:dyDescent="0.2">
      <c r="A2103" s="10"/>
      <c r="B2103" s="26"/>
      <c r="C2103" s="11">
        <v>1999</v>
      </c>
      <c r="D2103" s="32">
        <f>SPFI_CLB14!$D$22</f>
        <v>0.29823699999999997</v>
      </c>
      <c r="E2103" s="32"/>
      <c r="F2103" s="32"/>
      <c r="G2103" s="32"/>
      <c r="H2103" s="32"/>
      <c r="I2103" s="32"/>
      <c r="J2103" s="28">
        <f t="shared" ref="J2103" si="1830">D2103*J$67</f>
        <v>0</v>
      </c>
      <c r="K2103" s="29"/>
      <c r="L2103" s="29"/>
      <c r="M2103" s="29"/>
      <c r="N2103" s="29"/>
      <c r="O2103" s="29"/>
      <c r="P2103" s="30">
        <f>SUM(J2103:O2103)</f>
        <v>0</v>
      </c>
      <c r="Q2103" s="31">
        <f t="shared" ref="Q2103:Q2108" si="1831">IF(C$67&gt;0,P2103/C$67,0)</f>
        <v>0</v>
      </c>
    </row>
    <row r="2104" spans="1:17" x14ac:dyDescent="0.2">
      <c r="A2104" s="10"/>
      <c r="B2104" s="26"/>
      <c r="C2104" s="11">
        <v>2000</v>
      </c>
      <c r="D2104" s="32">
        <f>SPFI_CLB14!$D$23</f>
        <v>8.4414000000000003E-2</v>
      </c>
      <c r="E2104" s="32"/>
      <c r="F2104" s="32"/>
      <c r="G2104" s="32"/>
      <c r="H2104" s="32"/>
      <c r="I2104" s="32"/>
      <c r="J2104" s="28">
        <f t="shared" ref="J2104" si="1832">D2104*J$67</f>
        <v>0</v>
      </c>
      <c r="K2104" s="29"/>
      <c r="L2104" s="29"/>
      <c r="M2104" s="29"/>
      <c r="N2104" s="29"/>
      <c r="O2104" s="29"/>
      <c r="P2104" s="30">
        <f t="shared" ref="P2104:P2109" si="1833">SUM(J2104:O2104)</f>
        <v>0</v>
      </c>
      <c r="Q2104" s="31">
        <f t="shared" si="1831"/>
        <v>0</v>
      </c>
    </row>
    <row r="2105" spans="1:17" x14ac:dyDescent="0.2">
      <c r="A2105" s="10"/>
      <c r="B2105" s="26"/>
      <c r="C2105" s="11">
        <v>2001</v>
      </c>
      <c r="D2105" s="32">
        <f>SPFI_CLB14!$D$24</f>
        <v>7.8909000000000007E-2</v>
      </c>
      <c r="E2105" s="32"/>
      <c r="F2105" s="32"/>
      <c r="G2105" s="32"/>
      <c r="H2105" s="32"/>
      <c r="I2105" s="32"/>
      <c r="J2105" s="28">
        <f t="shared" ref="J2105" si="1834">D2105*J$67</f>
        <v>0</v>
      </c>
      <c r="K2105" s="29"/>
      <c r="L2105" s="29"/>
      <c r="M2105" s="29"/>
      <c r="N2105" s="29"/>
      <c r="O2105" s="29"/>
      <c r="P2105" s="30">
        <f t="shared" si="1833"/>
        <v>0</v>
      </c>
      <c r="Q2105" s="31">
        <f t="shared" si="1831"/>
        <v>0</v>
      </c>
    </row>
    <row r="2106" spans="1:17" x14ac:dyDescent="0.2">
      <c r="A2106" s="10"/>
      <c r="B2106" s="26"/>
      <c r="C2106" s="11">
        <v>2002</v>
      </c>
      <c r="D2106" s="32">
        <f>SPFI_CLB14!$D$25</f>
        <v>0.29974699999999999</v>
      </c>
      <c r="E2106" s="32"/>
      <c r="F2106" s="32"/>
      <c r="G2106" s="32"/>
      <c r="H2106" s="32"/>
      <c r="I2106" s="32"/>
      <c r="J2106" s="28">
        <f t="shared" ref="J2106" si="1835">D2106*J$67</f>
        <v>0</v>
      </c>
      <c r="K2106" s="29"/>
      <c r="L2106" s="29"/>
      <c r="M2106" s="29"/>
      <c r="N2106" s="29"/>
      <c r="O2106" s="29"/>
      <c r="P2106" s="30">
        <f t="shared" si="1833"/>
        <v>0</v>
      </c>
      <c r="Q2106" s="31">
        <f t="shared" si="1831"/>
        <v>0</v>
      </c>
    </row>
    <row r="2107" spans="1:17" x14ac:dyDescent="0.2">
      <c r="A2107" s="10"/>
      <c r="B2107" s="26"/>
      <c r="C2107" s="11">
        <v>2003</v>
      </c>
      <c r="D2107" s="32">
        <f>SPFI_CLB14!$D$26</f>
        <v>0.20691100000000001</v>
      </c>
      <c r="E2107" s="32"/>
      <c r="F2107" s="32"/>
      <c r="G2107" s="32"/>
      <c r="H2107" s="32"/>
      <c r="I2107" s="32"/>
      <c r="J2107" s="28">
        <f t="shared" ref="J2107" si="1836">D2107*J$67</f>
        <v>0</v>
      </c>
      <c r="K2107" s="29"/>
      <c r="L2107" s="29"/>
      <c r="M2107" s="29"/>
      <c r="N2107" s="29"/>
      <c r="O2107" s="29"/>
      <c r="P2107" s="30">
        <f t="shared" si="1833"/>
        <v>0</v>
      </c>
      <c r="Q2107" s="31">
        <f t="shared" si="1831"/>
        <v>0</v>
      </c>
    </row>
    <row r="2108" spans="1:17" x14ac:dyDescent="0.2">
      <c r="A2108" s="10"/>
      <c r="B2108" s="26"/>
      <c r="C2108" s="11">
        <v>2004</v>
      </c>
      <c r="D2108" s="32">
        <f>SPFI_CLB14!$D$27</f>
        <v>0.269237</v>
      </c>
      <c r="E2108" s="32"/>
      <c r="F2108" s="32"/>
      <c r="G2108" s="32"/>
      <c r="H2108" s="32"/>
      <c r="I2108" s="32"/>
      <c r="J2108" s="28">
        <f t="shared" ref="J2108" si="1837">D2108*J$67</f>
        <v>0</v>
      </c>
      <c r="K2108" s="29"/>
      <c r="L2108" s="29"/>
      <c r="M2108" s="29"/>
      <c r="N2108" s="29"/>
      <c r="O2108" s="29"/>
      <c r="P2108" s="30">
        <f t="shared" si="1833"/>
        <v>0</v>
      </c>
      <c r="Q2108" s="31">
        <f t="shared" si="1831"/>
        <v>0</v>
      </c>
    </row>
    <row r="2109" spans="1:17" x14ac:dyDescent="0.2">
      <c r="A2109" s="10"/>
      <c r="B2109" s="26"/>
      <c r="C2109" s="11">
        <v>2005</v>
      </c>
      <c r="D2109" s="32">
        <f>SPFI_CLB14!$D$28</f>
        <v>0.37848700000000002</v>
      </c>
      <c r="E2109" s="32"/>
      <c r="F2109" s="32"/>
      <c r="G2109" s="32"/>
      <c r="H2109" s="32"/>
      <c r="I2109" s="32"/>
      <c r="J2109" s="28">
        <f t="shared" ref="J2109" si="1838">D2109*J$67</f>
        <v>0</v>
      </c>
      <c r="K2109" s="29"/>
      <c r="L2109" s="29"/>
      <c r="M2109" s="29"/>
      <c r="N2109" s="29"/>
      <c r="O2109" s="29"/>
      <c r="P2109" s="30">
        <f t="shared" si="1833"/>
        <v>0</v>
      </c>
      <c r="Q2109" s="31">
        <f t="shared" ref="Q2109:Q2114" si="1839">IF(C$67&gt;0,P2109/C$67,0)</f>
        <v>0</v>
      </c>
    </row>
    <row r="2110" spans="1:17" x14ac:dyDescent="0.2">
      <c r="A2110" s="10"/>
      <c r="B2110" s="26"/>
      <c r="C2110" s="11">
        <v>2006</v>
      </c>
      <c r="D2110" s="32">
        <f>SPFI_CLB14!$D$29</f>
        <v>0.381023</v>
      </c>
      <c r="E2110" s="32"/>
      <c r="F2110" s="32"/>
      <c r="G2110" s="32"/>
      <c r="H2110" s="32"/>
      <c r="I2110" s="32"/>
      <c r="J2110" s="28">
        <f t="shared" ref="J2110" si="1840">D2110*J$67</f>
        <v>0</v>
      </c>
      <c r="K2110" s="29"/>
      <c r="L2110" s="29"/>
      <c r="M2110" s="29"/>
      <c r="N2110" s="29"/>
      <c r="O2110" s="29"/>
      <c r="P2110" s="30">
        <f t="shared" ref="P2110:P2117" si="1841">SUM(J2110:O2110)</f>
        <v>0</v>
      </c>
      <c r="Q2110" s="31">
        <f t="shared" si="1839"/>
        <v>0</v>
      </c>
    </row>
    <row r="2111" spans="1:17" x14ac:dyDescent="0.2">
      <c r="A2111" s="10"/>
      <c r="B2111" s="26"/>
      <c r="C2111" s="11">
        <v>2007</v>
      </c>
      <c r="D2111" s="32">
        <f>SPFI_CLB14!$D$30</f>
        <v>0.356512</v>
      </c>
      <c r="E2111" s="32"/>
      <c r="F2111" s="32"/>
      <c r="G2111" s="32"/>
      <c r="H2111" s="32"/>
      <c r="I2111" s="32"/>
      <c r="J2111" s="28">
        <f t="shared" ref="J2111" si="1842">D2111*J$67</f>
        <v>0</v>
      </c>
      <c r="K2111" s="29"/>
      <c r="L2111" s="29"/>
      <c r="M2111" s="29"/>
      <c r="N2111" s="29"/>
      <c r="O2111" s="29"/>
      <c r="P2111" s="30">
        <f t="shared" si="1841"/>
        <v>0</v>
      </c>
      <c r="Q2111" s="31">
        <f t="shared" si="1839"/>
        <v>0</v>
      </c>
    </row>
    <row r="2112" spans="1:17" x14ac:dyDescent="0.2">
      <c r="A2112" s="10"/>
      <c r="B2112" s="26"/>
      <c r="C2112" s="11">
        <v>2008</v>
      </c>
      <c r="D2112" s="32">
        <f>SPFI_CLB14!$D$31</f>
        <v>0.25494499999999998</v>
      </c>
      <c r="E2112" s="32"/>
      <c r="F2112" s="32"/>
      <c r="G2112" s="32"/>
      <c r="H2112" s="32"/>
      <c r="I2112" s="32"/>
      <c r="J2112" s="28">
        <f t="shared" ref="J2112" si="1843">D2112*J$67</f>
        <v>0</v>
      </c>
      <c r="K2112" s="29"/>
      <c r="L2112" s="29"/>
      <c r="M2112" s="29"/>
      <c r="N2112" s="29"/>
      <c r="O2112" s="29"/>
      <c r="P2112" s="30">
        <f t="shared" si="1841"/>
        <v>0</v>
      </c>
      <c r="Q2112" s="31">
        <f t="shared" si="1839"/>
        <v>0</v>
      </c>
    </row>
    <row r="2113" spans="1:17" x14ac:dyDescent="0.2">
      <c r="A2113" s="10"/>
      <c r="B2113" s="26"/>
      <c r="C2113" s="11">
        <v>2009</v>
      </c>
      <c r="D2113" s="32">
        <f>SPFI_CLB14!$D$32</f>
        <v>0.52383000000000002</v>
      </c>
      <c r="E2113" s="32"/>
      <c r="F2113" s="32"/>
      <c r="G2113" s="32"/>
      <c r="H2113" s="32"/>
      <c r="I2113" s="32"/>
      <c r="J2113" s="28">
        <f t="shared" ref="J2113" si="1844">D2113*J$67</f>
        <v>0</v>
      </c>
      <c r="K2113" s="29"/>
      <c r="L2113" s="29"/>
      <c r="M2113" s="29"/>
      <c r="N2113" s="29"/>
      <c r="O2113" s="29"/>
      <c r="P2113" s="30">
        <f t="shared" si="1841"/>
        <v>0</v>
      </c>
      <c r="Q2113" s="31">
        <f t="shared" si="1839"/>
        <v>0</v>
      </c>
    </row>
    <row r="2114" spans="1:17" x14ac:dyDescent="0.2">
      <c r="A2114" s="10"/>
      <c r="B2114" s="26"/>
      <c r="C2114" s="11">
        <v>2010</v>
      </c>
      <c r="D2114" s="32">
        <f>SPFI_CLB14!$D$33</f>
        <v>0.31394</v>
      </c>
      <c r="E2114" s="32"/>
      <c r="F2114" s="32"/>
      <c r="G2114" s="32"/>
      <c r="H2114" s="32"/>
      <c r="I2114" s="32"/>
      <c r="J2114" s="28">
        <f t="shared" ref="J2114" si="1845">D2114*J$67</f>
        <v>0</v>
      </c>
      <c r="K2114" s="29"/>
      <c r="L2114" s="29"/>
      <c r="M2114" s="29"/>
      <c r="N2114" s="29"/>
      <c r="O2114" s="29"/>
      <c r="P2114" s="30">
        <f t="shared" si="1841"/>
        <v>0</v>
      </c>
      <c r="Q2114" s="31">
        <f t="shared" si="1839"/>
        <v>0</v>
      </c>
    </row>
    <row r="2115" spans="1:17" x14ac:dyDescent="0.2">
      <c r="A2115" s="10"/>
      <c r="B2115" s="26"/>
      <c r="C2115" s="11">
        <v>2011</v>
      </c>
      <c r="D2115" s="32">
        <f>SPFI_CLB14!$D$34</f>
        <v>0.294348</v>
      </c>
      <c r="E2115" s="32"/>
      <c r="F2115" s="32"/>
      <c r="G2115" s="32"/>
      <c r="H2115" s="32"/>
      <c r="I2115" s="32"/>
      <c r="J2115" s="28">
        <f t="shared" ref="J2115" si="1846">D2115*J$67</f>
        <v>0</v>
      </c>
      <c r="K2115" s="29"/>
      <c r="L2115" s="29"/>
      <c r="M2115" s="29"/>
      <c r="N2115" s="29"/>
      <c r="O2115" s="29"/>
      <c r="P2115" s="30">
        <f t="shared" ref="P2115" si="1847">SUM(J2115:O2115)</f>
        <v>0</v>
      </c>
      <c r="Q2115" s="31">
        <f t="shared" ref="Q2115" si="1848">IF(C$67&gt;0,P2115/C$67,0)</f>
        <v>0</v>
      </c>
    </row>
    <row r="2116" spans="1:17" x14ac:dyDescent="0.2">
      <c r="A2116" s="10"/>
      <c r="B2116" s="26"/>
      <c r="C2116" s="11">
        <v>2012</v>
      </c>
      <c r="D2116" s="32">
        <f>SPFI_CLB14!$D$35</f>
        <v>0.34784100000000001</v>
      </c>
      <c r="E2116" s="32"/>
      <c r="F2116" s="32"/>
      <c r="G2116" s="32"/>
      <c r="H2116" s="32"/>
      <c r="I2116" s="32"/>
      <c r="J2116" s="28">
        <f t="shared" ref="J2116" si="1849">D2116*J$67</f>
        <v>0</v>
      </c>
      <c r="K2116" s="29"/>
      <c r="L2116" s="29"/>
      <c r="M2116" s="29"/>
      <c r="N2116" s="29"/>
      <c r="O2116" s="29"/>
      <c r="P2116" s="30">
        <f t="shared" ref="P2116" si="1850">SUM(J2116:O2116)</f>
        <v>0</v>
      </c>
      <c r="Q2116" s="31">
        <f t="shared" ref="Q2116" si="1851">IF(C$67&gt;0,P2116/C$67,0)</f>
        <v>0</v>
      </c>
    </row>
    <row r="2117" spans="1:17" x14ac:dyDescent="0.2">
      <c r="A2117" s="5" t="s">
        <v>22</v>
      </c>
      <c r="B2117" s="21">
        <v>2</v>
      </c>
      <c r="C2117" s="6">
        <v>1982</v>
      </c>
      <c r="D2117" s="27">
        <f>SPFI_CLB14!$D$5</f>
        <v>0.98153299999999999</v>
      </c>
      <c r="E2117" s="27"/>
      <c r="F2117" s="27"/>
      <c r="G2117" s="27"/>
      <c r="H2117" s="27"/>
      <c r="I2117" s="27"/>
      <c r="J2117" s="33">
        <f t="shared" ref="J2117:J2129" si="1852">D2117*J$68</f>
        <v>0</v>
      </c>
      <c r="K2117" s="27"/>
      <c r="L2117" s="27"/>
      <c r="M2117" s="27"/>
      <c r="N2117" s="27"/>
      <c r="O2117" s="27"/>
      <c r="P2117" s="34">
        <f t="shared" si="1841"/>
        <v>0</v>
      </c>
      <c r="Q2117" s="35">
        <f t="shared" ref="Q2117:Q2133" si="1853">IF(C$68&gt;0,P2117/C$68,0)</f>
        <v>0</v>
      </c>
    </row>
    <row r="2118" spans="1:17" x14ac:dyDescent="0.2">
      <c r="A2118" s="10"/>
      <c r="B2118" s="26"/>
      <c r="C2118" s="11">
        <v>1983</v>
      </c>
      <c r="D2118" s="32">
        <f>SPFI_CLB14!$D$6</f>
        <v>0.93659899999999996</v>
      </c>
      <c r="E2118" s="32"/>
      <c r="F2118" s="32"/>
      <c r="G2118" s="32"/>
      <c r="H2118" s="32"/>
      <c r="I2118" s="32"/>
      <c r="J2118" s="28">
        <f t="shared" si="1852"/>
        <v>0</v>
      </c>
      <c r="K2118" s="29"/>
      <c r="L2118" s="29"/>
      <c r="M2118" s="29"/>
      <c r="N2118" s="29"/>
      <c r="O2118" s="29"/>
      <c r="P2118" s="30">
        <f t="shared" ref="P2118:P2129" si="1854">SUM(J2118:O2118)</f>
        <v>0</v>
      </c>
      <c r="Q2118" s="31">
        <f t="shared" si="1853"/>
        <v>0</v>
      </c>
    </row>
    <row r="2119" spans="1:17" x14ac:dyDescent="0.2">
      <c r="A2119" s="10"/>
      <c r="B2119" s="26"/>
      <c r="C2119" s="11">
        <v>1984</v>
      </c>
      <c r="D2119" s="32">
        <f>SPFI_CLB14!$D$7</f>
        <v>0.92793599999999998</v>
      </c>
      <c r="E2119" s="32"/>
      <c r="F2119" s="32"/>
      <c r="G2119" s="32"/>
      <c r="H2119" s="32"/>
      <c r="I2119" s="32"/>
      <c r="J2119" s="28">
        <f t="shared" si="1852"/>
        <v>0</v>
      </c>
      <c r="K2119" s="29"/>
      <c r="L2119" s="29"/>
      <c r="M2119" s="29"/>
      <c r="N2119" s="29"/>
      <c r="O2119" s="29"/>
      <c r="P2119" s="30">
        <f t="shared" si="1854"/>
        <v>0</v>
      </c>
      <c r="Q2119" s="31">
        <f t="shared" si="1853"/>
        <v>0</v>
      </c>
    </row>
    <row r="2120" spans="1:17" x14ac:dyDescent="0.2">
      <c r="A2120" s="10"/>
      <c r="B2120" s="26"/>
      <c r="C2120" s="11">
        <v>1985</v>
      </c>
      <c r="D2120" s="32">
        <f>SPFI_CLB14!$D$8</f>
        <v>0.90386500000000003</v>
      </c>
      <c r="E2120" s="32"/>
      <c r="F2120" s="32"/>
      <c r="G2120" s="32"/>
      <c r="H2120" s="32"/>
      <c r="I2120" s="32"/>
      <c r="J2120" s="28">
        <f t="shared" si="1852"/>
        <v>0</v>
      </c>
      <c r="K2120" s="29"/>
      <c r="L2120" s="29"/>
      <c r="M2120" s="29"/>
      <c r="N2120" s="29"/>
      <c r="O2120" s="29"/>
      <c r="P2120" s="30">
        <f t="shared" si="1854"/>
        <v>0</v>
      </c>
      <c r="Q2120" s="31">
        <f t="shared" si="1853"/>
        <v>0</v>
      </c>
    </row>
    <row r="2121" spans="1:17" x14ac:dyDescent="0.2">
      <c r="A2121" s="10"/>
      <c r="B2121" s="26"/>
      <c r="C2121" s="11">
        <v>1986</v>
      </c>
      <c r="D2121" s="32">
        <f>SPFI_CLB14!$D$9</f>
        <v>0.73087500000000005</v>
      </c>
      <c r="E2121" s="32"/>
      <c r="F2121" s="32"/>
      <c r="G2121" s="32"/>
      <c r="H2121" s="32"/>
      <c r="I2121" s="32"/>
      <c r="J2121" s="28">
        <f t="shared" si="1852"/>
        <v>0</v>
      </c>
      <c r="K2121" s="29"/>
      <c r="L2121" s="29"/>
      <c r="M2121" s="29"/>
      <c r="N2121" s="29"/>
      <c r="O2121" s="29"/>
      <c r="P2121" s="30">
        <f t="shared" si="1854"/>
        <v>0</v>
      </c>
      <c r="Q2121" s="31">
        <f t="shared" si="1853"/>
        <v>0</v>
      </c>
    </row>
    <row r="2122" spans="1:17" x14ac:dyDescent="0.2">
      <c r="A2122" s="10"/>
      <c r="B2122" s="26"/>
      <c r="C2122" s="11">
        <v>1987</v>
      </c>
      <c r="D2122" s="32">
        <f>SPFI_CLB14!$D$10</f>
        <v>0.71733499999999994</v>
      </c>
      <c r="E2122" s="32"/>
      <c r="F2122" s="32"/>
      <c r="G2122" s="32"/>
      <c r="H2122" s="32"/>
      <c r="I2122" s="32"/>
      <c r="J2122" s="28">
        <f t="shared" si="1852"/>
        <v>0</v>
      </c>
      <c r="K2122" s="29"/>
      <c r="L2122" s="29"/>
      <c r="M2122" s="29"/>
      <c r="N2122" s="29"/>
      <c r="O2122" s="29"/>
      <c r="P2122" s="30">
        <f t="shared" si="1854"/>
        <v>0</v>
      </c>
      <c r="Q2122" s="31">
        <f t="shared" si="1853"/>
        <v>0</v>
      </c>
    </row>
    <row r="2123" spans="1:17" x14ac:dyDescent="0.2">
      <c r="A2123" s="10"/>
      <c r="B2123" s="26"/>
      <c r="C2123" s="11">
        <v>1988</v>
      </c>
      <c r="D2123" s="32">
        <f>SPFI_CLB14!$D$11</f>
        <v>0.64558800000000005</v>
      </c>
      <c r="E2123" s="32"/>
      <c r="F2123" s="32"/>
      <c r="G2123" s="32"/>
      <c r="H2123" s="32"/>
      <c r="I2123" s="32"/>
      <c r="J2123" s="28">
        <f t="shared" si="1852"/>
        <v>0</v>
      </c>
      <c r="K2123" s="29"/>
      <c r="L2123" s="29"/>
      <c r="M2123" s="29"/>
      <c r="N2123" s="29"/>
      <c r="O2123" s="29"/>
      <c r="P2123" s="30">
        <f t="shared" si="1854"/>
        <v>0</v>
      </c>
      <c r="Q2123" s="31">
        <f t="shared" si="1853"/>
        <v>0</v>
      </c>
    </row>
    <row r="2124" spans="1:17" x14ac:dyDescent="0.2">
      <c r="A2124" s="10"/>
      <c r="B2124" s="26"/>
      <c r="C2124" s="11">
        <v>1989</v>
      </c>
      <c r="D2124" s="32">
        <f>SPFI_CLB14!$D$12</f>
        <v>0.65287700000000004</v>
      </c>
      <c r="E2124" s="32"/>
      <c r="F2124" s="32"/>
      <c r="G2124" s="32"/>
      <c r="H2124" s="32"/>
      <c r="I2124" s="32"/>
      <c r="J2124" s="28">
        <f t="shared" si="1852"/>
        <v>0</v>
      </c>
      <c r="K2124" s="29"/>
      <c r="L2124" s="29"/>
      <c r="M2124" s="29"/>
      <c r="N2124" s="29"/>
      <c r="O2124" s="29"/>
      <c r="P2124" s="30">
        <f t="shared" si="1854"/>
        <v>0</v>
      </c>
      <c r="Q2124" s="31">
        <f t="shared" si="1853"/>
        <v>0</v>
      </c>
    </row>
    <row r="2125" spans="1:17" x14ac:dyDescent="0.2">
      <c r="A2125" s="10"/>
      <c r="B2125" s="26"/>
      <c r="C2125" s="11">
        <v>1990</v>
      </c>
      <c r="D2125" s="32">
        <f>SPFI_CLB14!$D$13</f>
        <v>0.56965100000000002</v>
      </c>
      <c r="E2125" s="32"/>
      <c r="F2125" s="32"/>
      <c r="G2125" s="32"/>
      <c r="H2125" s="32"/>
      <c r="I2125" s="32"/>
      <c r="J2125" s="28">
        <f t="shared" si="1852"/>
        <v>0</v>
      </c>
      <c r="K2125" s="29"/>
      <c r="L2125" s="29"/>
      <c r="M2125" s="29"/>
      <c r="N2125" s="29"/>
      <c r="O2125" s="29"/>
      <c r="P2125" s="30">
        <f t="shared" si="1854"/>
        <v>0</v>
      </c>
      <c r="Q2125" s="31">
        <f t="shared" si="1853"/>
        <v>0</v>
      </c>
    </row>
    <row r="2126" spans="1:17" x14ac:dyDescent="0.2">
      <c r="A2126" s="10"/>
      <c r="B2126" s="26"/>
      <c r="C2126" s="11">
        <v>1991</v>
      </c>
      <c r="D2126" s="32">
        <f>SPFI_CLB14!$D$14</f>
        <v>0.62776900000000002</v>
      </c>
      <c r="E2126" s="32"/>
      <c r="F2126" s="32"/>
      <c r="G2126" s="32"/>
      <c r="H2126" s="32"/>
      <c r="I2126" s="32"/>
      <c r="J2126" s="28">
        <f t="shared" si="1852"/>
        <v>0</v>
      </c>
      <c r="K2126" s="29"/>
      <c r="L2126" s="29"/>
      <c r="M2126" s="29"/>
      <c r="N2126" s="29"/>
      <c r="O2126" s="29"/>
      <c r="P2126" s="30">
        <f t="shared" si="1854"/>
        <v>0</v>
      </c>
      <c r="Q2126" s="31">
        <f t="shared" si="1853"/>
        <v>0</v>
      </c>
    </row>
    <row r="2127" spans="1:17" x14ac:dyDescent="0.2">
      <c r="A2127" s="10"/>
      <c r="B2127" s="26"/>
      <c r="C2127" s="11">
        <v>1992</v>
      </c>
      <c r="D2127" s="32">
        <f>SPFI_CLB14!$D$15</f>
        <v>0.43504100000000001</v>
      </c>
      <c r="E2127" s="32"/>
      <c r="F2127" s="32"/>
      <c r="G2127" s="32"/>
      <c r="H2127" s="32"/>
      <c r="I2127" s="32"/>
      <c r="J2127" s="28">
        <f t="shared" si="1852"/>
        <v>0</v>
      </c>
      <c r="K2127" s="29"/>
      <c r="L2127" s="29"/>
      <c r="M2127" s="29"/>
      <c r="N2127" s="29"/>
      <c r="O2127" s="29"/>
      <c r="P2127" s="30">
        <f t="shared" si="1854"/>
        <v>0</v>
      </c>
      <c r="Q2127" s="31">
        <f t="shared" si="1853"/>
        <v>0</v>
      </c>
    </row>
    <row r="2128" spans="1:17" x14ac:dyDescent="0.2">
      <c r="A2128" s="10"/>
      <c r="B2128" s="26"/>
      <c r="C2128" s="11">
        <v>1993</v>
      </c>
      <c r="D2128" s="32">
        <f>SPFI_CLB14!$D$16</f>
        <v>0.499164</v>
      </c>
      <c r="E2128" s="32"/>
      <c r="F2128" s="32"/>
      <c r="G2128" s="32"/>
      <c r="H2128" s="32"/>
      <c r="I2128" s="32"/>
      <c r="J2128" s="28">
        <f t="shared" si="1852"/>
        <v>0</v>
      </c>
      <c r="K2128" s="29"/>
      <c r="L2128" s="29"/>
      <c r="M2128" s="29"/>
      <c r="N2128" s="29"/>
      <c r="O2128" s="29"/>
      <c r="P2128" s="30">
        <f t="shared" si="1854"/>
        <v>0</v>
      </c>
      <c r="Q2128" s="31">
        <f t="shared" si="1853"/>
        <v>0</v>
      </c>
    </row>
    <row r="2129" spans="1:17" x14ac:dyDescent="0.2">
      <c r="A2129" s="10"/>
      <c r="B2129" s="26"/>
      <c r="C2129" s="11">
        <v>1994</v>
      </c>
      <c r="D2129" s="32">
        <f>SPFI_CLB14!$D$17</f>
        <v>0.59591300000000003</v>
      </c>
      <c r="E2129" s="32"/>
      <c r="F2129" s="32"/>
      <c r="G2129" s="32"/>
      <c r="H2129" s="32"/>
      <c r="I2129" s="32"/>
      <c r="J2129" s="28">
        <f t="shared" si="1852"/>
        <v>0</v>
      </c>
      <c r="K2129" s="29"/>
      <c r="L2129" s="29"/>
      <c r="M2129" s="29"/>
      <c r="N2129" s="29"/>
      <c r="O2129" s="29"/>
      <c r="P2129" s="30">
        <f t="shared" si="1854"/>
        <v>0</v>
      </c>
      <c r="Q2129" s="31">
        <f t="shared" si="1853"/>
        <v>0</v>
      </c>
    </row>
    <row r="2130" spans="1:17" x14ac:dyDescent="0.2">
      <c r="A2130" s="10"/>
      <c r="B2130" s="26"/>
      <c r="C2130" s="11">
        <v>1995</v>
      </c>
      <c r="D2130" s="32">
        <f>SPFI_CLB14!$D$18</f>
        <v>0.25400800000000001</v>
      </c>
      <c r="E2130" s="32"/>
      <c r="F2130" s="32"/>
      <c r="G2130" s="32"/>
      <c r="H2130" s="32"/>
      <c r="I2130" s="32"/>
      <c r="J2130" s="28">
        <f t="shared" ref="J2130" si="1855">D2130*J$68</f>
        <v>0</v>
      </c>
      <c r="K2130" s="29"/>
      <c r="L2130" s="29"/>
      <c r="M2130" s="29"/>
      <c r="N2130" s="29"/>
      <c r="O2130" s="29"/>
      <c r="P2130" s="30">
        <f>SUM(J2130:O2130)</f>
        <v>0</v>
      </c>
      <c r="Q2130" s="31">
        <f t="shared" si="1853"/>
        <v>0</v>
      </c>
    </row>
    <row r="2131" spans="1:17" x14ac:dyDescent="0.2">
      <c r="A2131" s="10"/>
      <c r="B2131" s="26"/>
      <c r="C2131" s="11">
        <v>1996</v>
      </c>
      <c r="D2131" s="32">
        <f>SPFI_CLB14!$D$19</f>
        <v>0</v>
      </c>
      <c r="E2131" s="32"/>
      <c r="F2131" s="32"/>
      <c r="G2131" s="32"/>
      <c r="H2131" s="32"/>
      <c r="I2131" s="32"/>
      <c r="J2131" s="28">
        <f t="shared" ref="J2131" si="1856">D2131*J$68</f>
        <v>0</v>
      </c>
      <c r="K2131" s="29"/>
      <c r="L2131" s="29"/>
      <c r="M2131" s="29"/>
      <c r="N2131" s="29"/>
      <c r="O2131" s="29"/>
      <c r="P2131" s="30">
        <f>SUM(J2131:O2131)</f>
        <v>0</v>
      </c>
      <c r="Q2131" s="31">
        <f t="shared" si="1853"/>
        <v>0</v>
      </c>
    </row>
    <row r="2132" spans="1:17" x14ac:dyDescent="0.2">
      <c r="A2132" s="10"/>
      <c r="B2132" s="26"/>
      <c r="C2132" s="11">
        <v>1997</v>
      </c>
      <c r="D2132" s="32">
        <f>SPFI_CLB14!$D$20</f>
        <v>0.201487</v>
      </c>
      <c r="E2132" s="32"/>
      <c r="F2132" s="32"/>
      <c r="G2132" s="32"/>
      <c r="H2132" s="32"/>
      <c r="I2132" s="32"/>
      <c r="J2132" s="28">
        <f t="shared" ref="J2132" si="1857">D2132*J$68</f>
        <v>0</v>
      </c>
      <c r="K2132" s="29"/>
      <c r="L2132" s="29"/>
      <c r="M2132" s="29"/>
      <c r="N2132" s="29"/>
      <c r="O2132" s="29"/>
      <c r="P2132" s="30">
        <f>SUM(J2132:O2132)</f>
        <v>0</v>
      </c>
      <c r="Q2132" s="31">
        <f t="shared" si="1853"/>
        <v>0</v>
      </c>
    </row>
    <row r="2133" spans="1:17" x14ac:dyDescent="0.2">
      <c r="A2133" s="10"/>
      <c r="B2133" s="26"/>
      <c r="C2133" s="11">
        <v>1998</v>
      </c>
      <c r="D2133" s="32">
        <f>SPFI_CLB14!$D$21</f>
        <v>0.37506400000000001</v>
      </c>
      <c r="E2133" s="32"/>
      <c r="F2133" s="32"/>
      <c r="G2133" s="32"/>
      <c r="H2133" s="32"/>
      <c r="I2133" s="32"/>
      <c r="J2133" s="28">
        <f t="shared" ref="J2133" si="1858">D2133*J$68</f>
        <v>0</v>
      </c>
      <c r="K2133" s="29"/>
      <c r="L2133" s="29"/>
      <c r="M2133" s="29"/>
      <c r="N2133" s="29"/>
      <c r="O2133" s="29"/>
      <c r="P2133" s="30">
        <f>SUM(J2133:O2133)</f>
        <v>0</v>
      </c>
      <c r="Q2133" s="31">
        <f t="shared" si="1853"/>
        <v>0</v>
      </c>
    </row>
    <row r="2134" spans="1:17" x14ac:dyDescent="0.2">
      <c r="A2134" s="10"/>
      <c r="B2134" s="26"/>
      <c r="C2134" s="11">
        <v>1999</v>
      </c>
      <c r="D2134" s="32">
        <f>SPFI_CLB14!$D$22</f>
        <v>0.29823699999999997</v>
      </c>
      <c r="E2134" s="32"/>
      <c r="F2134" s="32"/>
      <c r="G2134" s="32"/>
      <c r="H2134" s="32"/>
      <c r="I2134" s="32"/>
      <c r="J2134" s="28">
        <f t="shared" ref="J2134" si="1859">D2134*J$68</f>
        <v>0</v>
      </c>
      <c r="K2134" s="29"/>
      <c r="L2134" s="29"/>
      <c r="M2134" s="29"/>
      <c r="N2134" s="29"/>
      <c r="O2134" s="29"/>
      <c r="P2134" s="30">
        <f>SUM(J2134:O2134)</f>
        <v>0</v>
      </c>
      <c r="Q2134" s="31">
        <f t="shared" ref="Q2134:Q2139" si="1860">IF(C$68&gt;0,P2134/C$68,0)</f>
        <v>0</v>
      </c>
    </row>
    <row r="2135" spans="1:17" x14ac:dyDescent="0.2">
      <c r="A2135" s="10"/>
      <c r="B2135" s="26"/>
      <c r="C2135" s="11">
        <v>2000</v>
      </c>
      <c r="D2135" s="32">
        <f>SPFI_CLB14!$D$23</f>
        <v>8.4414000000000003E-2</v>
      </c>
      <c r="E2135" s="32"/>
      <c r="F2135" s="32"/>
      <c r="G2135" s="32"/>
      <c r="H2135" s="32"/>
      <c r="I2135" s="32"/>
      <c r="J2135" s="28">
        <f t="shared" ref="J2135" si="1861">D2135*J$68</f>
        <v>0</v>
      </c>
      <c r="K2135" s="29"/>
      <c r="L2135" s="29"/>
      <c r="M2135" s="29"/>
      <c r="N2135" s="29"/>
      <c r="O2135" s="29"/>
      <c r="P2135" s="30">
        <f t="shared" ref="P2135:P2140" si="1862">SUM(J2135:O2135)</f>
        <v>0</v>
      </c>
      <c r="Q2135" s="31">
        <f t="shared" si="1860"/>
        <v>0</v>
      </c>
    </row>
    <row r="2136" spans="1:17" x14ac:dyDescent="0.2">
      <c r="A2136" s="10"/>
      <c r="B2136" s="26"/>
      <c r="C2136" s="11">
        <v>2001</v>
      </c>
      <c r="D2136" s="32">
        <f>SPFI_CLB14!$D$24</f>
        <v>7.8909000000000007E-2</v>
      </c>
      <c r="E2136" s="32"/>
      <c r="F2136" s="32"/>
      <c r="G2136" s="32"/>
      <c r="H2136" s="32"/>
      <c r="I2136" s="32"/>
      <c r="J2136" s="28">
        <f t="shared" ref="J2136" si="1863">D2136*J$68</f>
        <v>0</v>
      </c>
      <c r="K2136" s="29"/>
      <c r="L2136" s="29"/>
      <c r="M2136" s="29"/>
      <c r="N2136" s="29"/>
      <c r="O2136" s="29"/>
      <c r="P2136" s="30">
        <f t="shared" si="1862"/>
        <v>0</v>
      </c>
      <c r="Q2136" s="31">
        <f t="shared" si="1860"/>
        <v>0</v>
      </c>
    </row>
    <row r="2137" spans="1:17" x14ac:dyDescent="0.2">
      <c r="A2137" s="10"/>
      <c r="B2137" s="26"/>
      <c r="C2137" s="11">
        <v>2002</v>
      </c>
      <c r="D2137" s="32">
        <f>SPFI_CLB14!$D$25</f>
        <v>0.29974699999999999</v>
      </c>
      <c r="E2137" s="32"/>
      <c r="F2137" s="32"/>
      <c r="G2137" s="32"/>
      <c r="H2137" s="32"/>
      <c r="I2137" s="32"/>
      <c r="J2137" s="28">
        <f t="shared" ref="J2137" si="1864">D2137*J$68</f>
        <v>0</v>
      </c>
      <c r="K2137" s="29"/>
      <c r="L2137" s="29"/>
      <c r="M2137" s="29"/>
      <c r="N2137" s="29"/>
      <c r="O2137" s="29"/>
      <c r="P2137" s="30">
        <f t="shared" si="1862"/>
        <v>0</v>
      </c>
      <c r="Q2137" s="31">
        <f t="shared" si="1860"/>
        <v>0</v>
      </c>
    </row>
    <row r="2138" spans="1:17" x14ac:dyDescent="0.2">
      <c r="A2138" s="10"/>
      <c r="B2138" s="26"/>
      <c r="C2138" s="11">
        <v>2003</v>
      </c>
      <c r="D2138" s="32">
        <f>SPFI_CLB14!$D$26</f>
        <v>0.20691100000000001</v>
      </c>
      <c r="E2138" s="32"/>
      <c r="F2138" s="32"/>
      <c r="G2138" s="32"/>
      <c r="H2138" s="32"/>
      <c r="I2138" s="32"/>
      <c r="J2138" s="28">
        <f t="shared" ref="J2138" si="1865">D2138*J$68</f>
        <v>0</v>
      </c>
      <c r="K2138" s="29"/>
      <c r="L2138" s="29"/>
      <c r="M2138" s="29"/>
      <c r="N2138" s="29"/>
      <c r="O2138" s="29"/>
      <c r="P2138" s="30">
        <f t="shared" si="1862"/>
        <v>0</v>
      </c>
      <c r="Q2138" s="31">
        <f t="shared" si="1860"/>
        <v>0</v>
      </c>
    </row>
    <row r="2139" spans="1:17" x14ac:dyDescent="0.2">
      <c r="A2139" s="10"/>
      <c r="B2139" s="26"/>
      <c r="C2139" s="11">
        <v>2004</v>
      </c>
      <c r="D2139" s="32">
        <f>SPFI_CLB14!$D$27</f>
        <v>0.269237</v>
      </c>
      <c r="E2139" s="32"/>
      <c r="F2139" s="32"/>
      <c r="G2139" s="32"/>
      <c r="H2139" s="32"/>
      <c r="I2139" s="32"/>
      <c r="J2139" s="28">
        <f t="shared" ref="J2139" si="1866">D2139*J$68</f>
        <v>0</v>
      </c>
      <c r="K2139" s="29"/>
      <c r="L2139" s="29"/>
      <c r="M2139" s="29"/>
      <c r="N2139" s="29"/>
      <c r="O2139" s="29"/>
      <c r="P2139" s="30">
        <f t="shared" si="1862"/>
        <v>0</v>
      </c>
      <c r="Q2139" s="31">
        <f t="shared" si="1860"/>
        <v>0</v>
      </c>
    </row>
    <row r="2140" spans="1:17" x14ac:dyDescent="0.2">
      <c r="A2140" s="10"/>
      <c r="B2140" s="26"/>
      <c r="C2140" s="11">
        <v>2005</v>
      </c>
      <c r="D2140" s="32">
        <f>SPFI_CLB14!$D$28</f>
        <v>0.37848700000000002</v>
      </c>
      <c r="E2140" s="32"/>
      <c r="F2140" s="32"/>
      <c r="G2140" s="32"/>
      <c r="H2140" s="32"/>
      <c r="I2140" s="32"/>
      <c r="J2140" s="28">
        <f t="shared" ref="J2140" si="1867">D2140*J$68</f>
        <v>0</v>
      </c>
      <c r="K2140" s="29"/>
      <c r="L2140" s="29"/>
      <c r="M2140" s="29"/>
      <c r="N2140" s="29"/>
      <c r="O2140" s="29"/>
      <c r="P2140" s="30">
        <f t="shared" si="1862"/>
        <v>0</v>
      </c>
      <c r="Q2140" s="31">
        <f t="shared" ref="Q2140:Q2145" si="1868">IF(C$68&gt;0,P2140/C$68,0)</f>
        <v>0</v>
      </c>
    </row>
    <row r="2141" spans="1:17" x14ac:dyDescent="0.2">
      <c r="A2141" s="10"/>
      <c r="B2141" s="26"/>
      <c r="C2141" s="11">
        <v>2006</v>
      </c>
      <c r="D2141" s="32">
        <f>SPFI_CLB14!$D$29</f>
        <v>0.381023</v>
      </c>
      <c r="E2141" s="32"/>
      <c r="F2141" s="32"/>
      <c r="G2141" s="32"/>
      <c r="H2141" s="32"/>
      <c r="I2141" s="32"/>
      <c r="J2141" s="28">
        <f t="shared" ref="J2141" si="1869">D2141*J$68</f>
        <v>0</v>
      </c>
      <c r="K2141" s="29"/>
      <c r="L2141" s="29"/>
      <c r="M2141" s="29"/>
      <c r="N2141" s="29"/>
      <c r="O2141" s="29"/>
      <c r="P2141" s="30">
        <f t="shared" ref="P2141:P2148" si="1870">SUM(J2141:O2141)</f>
        <v>0</v>
      </c>
      <c r="Q2141" s="31">
        <f t="shared" si="1868"/>
        <v>0</v>
      </c>
    </row>
    <row r="2142" spans="1:17" x14ac:dyDescent="0.2">
      <c r="A2142" s="10"/>
      <c r="B2142" s="26"/>
      <c r="C2142" s="11">
        <v>2007</v>
      </c>
      <c r="D2142" s="32">
        <f>SPFI_CLB14!$D$30</f>
        <v>0.356512</v>
      </c>
      <c r="E2142" s="32"/>
      <c r="F2142" s="32"/>
      <c r="G2142" s="32"/>
      <c r="H2142" s="32"/>
      <c r="I2142" s="32"/>
      <c r="J2142" s="28">
        <f t="shared" ref="J2142" si="1871">D2142*J$68</f>
        <v>0</v>
      </c>
      <c r="K2142" s="29"/>
      <c r="L2142" s="29"/>
      <c r="M2142" s="29"/>
      <c r="N2142" s="29"/>
      <c r="O2142" s="29"/>
      <c r="P2142" s="30">
        <f t="shared" si="1870"/>
        <v>0</v>
      </c>
      <c r="Q2142" s="31">
        <f t="shared" si="1868"/>
        <v>0</v>
      </c>
    </row>
    <row r="2143" spans="1:17" x14ac:dyDescent="0.2">
      <c r="A2143" s="10"/>
      <c r="B2143" s="26"/>
      <c r="C2143" s="11">
        <v>2008</v>
      </c>
      <c r="D2143" s="32">
        <f>SPFI_CLB14!$D$31</f>
        <v>0.25494499999999998</v>
      </c>
      <c r="E2143" s="32"/>
      <c r="F2143" s="32"/>
      <c r="G2143" s="32"/>
      <c r="H2143" s="32"/>
      <c r="I2143" s="32"/>
      <c r="J2143" s="28">
        <f t="shared" ref="J2143" si="1872">D2143*J$68</f>
        <v>0</v>
      </c>
      <c r="K2143" s="29"/>
      <c r="L2143" s="29"/>
      <c r="M2143" s="29"/>
      <c r="N2143" s="29"/>
      <c r="O2143" s="29"/>
      <c r="P2143" s="30">
        <f t="shared" si="1870"/>
        <v>0</v>
      </c>
      <c r="Q2143" s="31">
        <f t="shared" si="1868"/>
        <v>0</v>
      </c>
    </row>
    <row r="2144" spans="1:17" x14ac:dyDescent="0.2">
      <c r="A2144" s="10"/>
      <c r="B2144" s="26"/>
      <c r="C2144" s="11">
        <v>2009</v>
      </c>
      <c r="D2144" s="32">
        <f>SPFI_CLB14!$D$32</f>
        <v>0.52383000000000002</v>
      </c>
      <c r="E2144" s="32"/>
      <c r="F2144" s="32"/>
      <c r="G2144" s="32"/>
      <c r="H2144" s="32"/>
      <c r="I2144" s="32"/>
      <c r="J2144" s="28">
        <f t="shared" ref="J2144" si="1873">D2144*J$68</f>
        <v>0</v>
      </c>
      <c r="K2144" s="29"/>
      <c r="L2144" s="29"/>
      <c r="M2144" s="29"/>
      <c r="N2144" s="29"/>
      <c r="O2144" s="29"/>
      <c r="P2144" s="30">
        <f t="shared" si="1870"/>
        <v>0</v>
      </c>
      <c r="Q2144" s="31">
        <f t="shared" si="1868"/>
        <v>0</v>
      </c>
    </row>
    <row r="2145" spans="1:17" x14ac:dyDescent="0.2">
      <c r="A2145" s="10"/>
      <c r="B2145" s="26"/>
      <c r="C2145" s="11">
        <v>2010</v>
      </c>
      <c r="D2145" s="32">
        <f>SPFI_CLB14!$D$33</f>
        <v>0.31394</v>
      </c>
      <c r="E2145" s="32"/>
      <c r="F2145" s="32"/>
      <c r="G2145" s="32"/>
      <c r="H2145" s="32"/>
      <c r="I2145" s="32"/>
      <c r="J2145" s="28">
        <f t="shared" ref="J2145" si="1874">D2145*J$68</f>
        <v>0</v>
      </c>
      <c r="K2145" s="29"/>
      <c r="L2145" s="29"/>
      <c r="M2145" s="29"/>
      <c r="N2145" s="29"/>
      <c r="O2145" s="29"/>
      <c r="P2145" s="30">
        <f t="shared" si="1870"/>
        <v>0</v>
      </c>
      <c r="Q2145" s="31">
        <f t="shared" si="1868"/>
        <v>0</v>
      </c>
    </row>
    <row r="2146" spans="1:17" x14ac:dyDescent="0.2">
      <c r="A2146" s="10"/>
      <c r="B2146" s="26"/>
      <c r="C2146" s="11">
        <v>2011</v>
      </c>
      <c r="D2146" s="32">
        <f>SPFI_CLB14!$D$34</f>
        <v>0.294348</v>
      </c>
      <c r="E2146" s="32"/>
      <c r="F2146" s="32"/>
      <c r="G2146" s="32"/>
      <c r="H2146" s="32"/>
      <c r="I2146" s="32"/>
      <c r="J2146" s="28">
        <f t="shared" ref="J2146" si="1875">D2146*J$68</f>
        <v>0</v>
      </c>
      <c r="K2146" s="29"/>
      <c r="L2146" s="29"/>
      <c r="M2146" s="29"/>
      <c r="N2146" s="29"/>
      <c r="O2146" s="29"/>
      <c r="P2146" s="30">
        <f t="shared" ref="P2146" si="1876">SUM(J2146:O2146)</f>
        <v>0</v>
      </c>
      <c r="Q2146" s="31">
        <f t="shared" ref="Q2146" si="1877">IF(C$68&gt;0,P2146/C$68,0)</f>
        <v>0</v>
      </c>
    </row>
    <row r="2147" spans="1:17" x14ac:dyDescent="0.2">
      <c r="A2147" s="10"/>
      <c r="B2147" s="26"/>
      <c r="C2147" s="11">
        <v>2012</v>
      </c>
      <c r="D2147" s="32">
        <f>SPFI_CLB14!$D$35</f>
        <v>0.34784100000000001</v>
      </c>
      <c r="E2147" s="32"/>
      <c r="F2147" s="32"/>
      <c r="G2147" s="32"/>
      <c r="H2147" s="32"/>
      <c r="I2147" s="32"/>
      <c r="J2147" s="28">
        <f t="shared" ref="J2147" si="1878">D2147*J$68</f>
        <v>0</v>
      </c>
      <c r="K2147" s="29"/>
      <c r="L2147" s="29"/>
      <c r="M2147" s="29"/>
      <c r="N2147" s="29"/>
      <c r="O2147" s="29"/>
      <c r="P2147" s="30">
        <f t="shared" ref="P2147" si="1879">SUM(J2147:O2147)</f>
        <v>0</v>
      </c>
      <c r="Q2147" s="31">
        <f t="shared" ref="Q2147" si="1880">IF(C$68&gt;0,P2147/C$68,0)</f>
        <v>0</v>
      </c>
    </row>
    <row r="2148" spans="1:17" x14ac:dyDescent="0.2">
      <c r="A2148" s="5" t="s">
        <v>22</v>
      </c>
      <c r="B2148" s="21">
        <v>3</v>
      </c>
      <c r="C2148" s="6">
        <v>1982</v>
      </c>
      <c r="D2148" s="27">
        <f>SPFI_CLB14!$D$5</f>
        <v>0.98153299999999999</v>
      </c>
      <c r="E2148" s="27"/>
      <c r="F2148" s="27"/>
      <c r="G2148" s="27"/>
      <c r="H2148" s="27"/>
      <c r="I2148" s="27"/>
      <c r="J2148" s="33">
        <f t="shared" ref="J2148:J2160" si="1881">D2148*J$69</f>
        <v>0</v>
      </c>
      <c r="K2148" s="27"/>
      <c r="L2148" s="27"/>
      <c r="M2148" s="27"/>
      <c r="N2148" s="27"/>
      <c r="O2148" s="27"/>
      <c r="P2148" s="34">
        <f t="shared" si="1870"/>
        <v>0</v>
      </c>
      <c r="Q2148" s="35">
        <f t="shared" ref="Q2148:Q2164" si="1882">IF(C$69&gt;0,P2148/C$69,0)</f>
        <v>0</v>
      </c>
    </row>
    <row r="2149" spans="1:17" x14ac:dyDescent="0.2">
      <c r="A2149" s="10"/>
      <c r="B2149" s="26"/>
      <c r="C2149" s="11">
        <v>1983</v>
      </c>
      <c r="D2149" s="32">
        <f>SPFI_CLB14!$D$6</f>
        <v>0.93659899999999996</v>
      </c>
      <c r="E2149" s="32"/>
      <c r="F2149" s="32"/>
      <c r="G2149" s="32"/>
      <c r="H2149" s="32"/>
      <c r="I2149" s="32"/>
      <c r="J2149" s="28">
        <f t="shared" si="1881"/>
        <v>0</v>
      </c>
      <c r="K2149" s="29"/>
      <c r="L2149" s="29"/>
      <c r="M2149" s="29"/>
      <c r="N2149" s="29"/>
      <c r="O2149" s="29"/>
      <c r="P2149" s="30">
        <f t="shared" ref="P2149:P2160" si="1883">SUM(J2149:O2149)</f>
        <v>0</v>
      </c>
      <c r="Q2149" s="31">
        <f t="shared" si="1882"/>
        <v>0</v>
      </c>
    </row>
    <row r="2150" spans="1:17" x14ac:dyDescent="0.2">
      <c r="A2150" s="10"/>
      <c r="B2150" s="26"/>
      <c r="C2150" s="11">
        <v>1984</v>
      </c>
      <c r="D2150" s="32">
        <f>SPFI_CLB14!$D$7</f>
        <v>0.92793599999999998</v>
      </c>
      <c r="E2150" s="32"/>
      <c r="F2150" s="32"/>
      <c r="G2150" s="32"/>
      <c r="H2150" s="32"/>
      <c r="I2150" s="32"/>
      <c r="J2150" s="28">
        <f t="shared" si="1881"/>
        <v>0</v>
      </c>
      <c r="K2150" s="29"/>
      <c r="L2150" s="29"/>
      <c r="M2150" s="29"/>
      <c r="N2150" s="29"/>
      <c r="O2150" s="29"/>
      <c r="P2150" s="30">
        <f t="shared" si="1883"/>
        <v>0</v>
      </c>
      <c r="Q2150" s="31">
        <f t="shared" si="1882"/>
        <v>0</v>
      </c>
    </row>
    <row r="2151" spans="1:17" x14ac:dyDescent="0.2">
      <c r="A2151" s="10"/>
      <c r="B2151" s="26"/>
      <c r="C2151" s="11">
        <v>1985</v>
      </c>
      <c r="D2151" s="32">
        <f>SPFI_CLB14!$D$8</f>
        <v>0.90386500000000003</v>
      </c>
      <c r="E2151" s="32"/>
      <c r="F2151" s="32"/>
      <c r="G2151" s="32"/>
      <c r="H2151" s="32"/>
      <c r="I2151" s="32"/>
      <c r="J2151" s="28">
        <f t="shared" si="1881"/>
        <v>0</v>
      </c>
      <c r="K2151" s="29"/>
      <c r="L2151" s="29"/>
      <c r="M2151" s="29"/>
      <c r="N2151" s="29"/>
      <c r="O2151" s="29"/>
      <c r="P2151" s="30">
        <f t="shared" si="1883"/>
        <v>0</v>
      </c>
      <c r="Q2151" s="31">
        <f t="shared" si="1882"/>
        <v>0</v>
      </c>
    </row>
    <row r="2152" spans="1:17" x14ac:dyDescent="0.2">
      <c r="A2152" s="10"/>
      <c r="B2152" s="26"/>
      <c r="C2152" s="11">
        <v>1986</v>
      </c>
      <c r="D2152" s="32">
        <f>SPFI_CLB14!$D$9</f>
        <v>0.73087500000000005</v>
      </c>
      <c r="E2152" s="32"/>
      <c r="F2152" s="32"/>
      <c r="G2152" s="32"/>
      <c r="H2152" s="32"/>
      <c r="I2152" s="32"/>
      <c r="J2152" s="28">
        <f t="shared" si="1881"/>
        <v>0</v>
      </c>
      <c r="K2152" s="29"/>
      <c r="L2152" s="29"/>
      <c r="M2152" s="29"/>
      <c r="N2152" s="29"/>
      <c r="O2152" s="29"/>
      <c r="P2152" s="30">
        <f t="shared" si="1883"/>
        <v>0</v>
      </c>
      <c r="Q2152" s="31">
        <f t="shared" si="1882"/>
        <v>0</v>
      </c>
    </row>
    <row r="2153" spans="1:17" x14ac:dyDescent="0.2">
      <c r="A2153" s="10"/>
      <c r="B2153" s="26"/>
      <c r="C2153" s="11">
        <v>1987</v>
      </c>
      <c r="D2153" s="32">
        <f>SPFI_CLB14!$D$10</f>
        <v>0.71733499999999994</v>
      </c>
      <c r="E2153" s="32"/>
      <c r="F2153" s="32"/>
      <c r="G2153" s="32"/>
      <c r="H2153" s="32"/>
      <c r="I2153" s="32"/>
      <c r="J2153" s="28">
        <f t="shared" si="1881"/>
        <v>0</v>
      </c>
      <c r="K2153" s="29"/>
      <c r="L2153" s="29"/>
      <c r="M2153" s="29"/>
      <c r="N2153" s="29"/>
      <c r="O2153" s="29"/>
      <c r="P2153" s="30">
        <f t="shared" si="1883"/>
        <v>0</v>
      </c>
      <c r="Q2153" s="31">
        <f t="shared" si="1882"/>
        <v>0</v>
      </c>
    </row>
    <row r="2154" spans="1:17" x14ac:dyDescent="0.2">
      <c r="A2154" s="10"/>
      <c r="B2154" s="26"/>
      <c r="C2154" s="11">
        <v>1988</v>
      </c>
      <c r="D2154" s="32">
        <f>SPFI_CLB14!$D$11</f>
        <v>0.64558800000000005</v>
      </c>
      <c r="E2154" s="32"/>
      <c r="F2154" s="32"/>
      <c r="G2154" s="32"/>
      <c r="H2154" s="32"/>
      <c r="I2154" s="32"/>
      <c r="J2154" s="28">
        <f t="shared" si="1881"/>
        <v>0</v>
      </c>
      <c r="K2154" s="29"/>
      <c r="L2154" s="29"/>
      <c r="M2154" s="29"/>
      <c r="N2154" s="29"/>
      <c r="O2154" s="29"/>
      <c r="P2154" s="30">
        <f t="shared" si="1883"/>
        <v>0</v>
      </c>
      <c r="Q2154" s="31">
        <f t="shared" si="1882"/>
        <v>0</v>
      </c>
    </row>
    <row r="2155" spans="1:17" x14ac:dyDescent="0.2">
      <c r="A2155" s="10"/>
      <c r="B2155" s="26"/>
      <c r="C2155" s="11">
        <v>1989</v>
      </c>
      <c r="D2155" s="32">
        <f>SPFI_CLB14!$D$12</f>
        <v>0.65287700000000004</v>
      </c>
      <c r="E2155" s="32"/>
      <c r="F2155" s="32"/>
      <c r="G2155" s="32"/>
      <c r="H2155" s="32"/>
      <c r="I2155" s="32"/>
      <c r="J2155" s="28">
        <f t="shared" si="1881"/>
        <v>0</v>
      </c>
      <c r="K2155" s="29"/>
      <c r="L2155" s="29"/>
      <c r="M2155" s="29"/>
      <c r="N2155" s="29"/>
      <c r="O2155" s="29"/>
      <c r="P2155" s="30">
        <f t="shared" si="1883"/>
        <v>0</v>
      </c>
      <c r="Q2155" s="31">
        <f t="shared" si="1882"/>
        <v>0</v>
      </c>
    </row>
    <row r="2156" spans="1:17" x14ac:dyDescent="0.2">
      <c r="A2156" s="10"/>
      <c r="B2156" s="26"/>
      <c r="C2156" s="11">
        <v>1990</v>
      </c>
      <c r="D2156" s="32">
        <f>SPFI_CLB14!$D$13</f>
        <v>0.56965100000000002</v>
      </c>
      <c r="E2156" s="32"/>
      <c r="F2156" s="32"/>
      <c r="G2156" s="32"/>
      <c r="H2156" s="32"/>
      <c r="I2156" s="32"/>
      <c r="J2156" s="28">
        <f t="shared" si="1881"/>
        <v>0</v>
      </c>
      <c r="K2156" s="29"/>
      <c r="L2156" s="29"/>
      <c r="M2156" s="29"/>
      <c r="N2156" s="29"/>
      <c r="O2156" s="29"/>
      <c r="P2156" s="30">
        <f t="shared" si="1883"/>
        <v>0</v>
      </c>
      <c r="Q2156" s="31">
        <f t="shared" si="1882"/>
        <v>0</v>
      </c>
    </row>
    <row r="2157" spans="1:17" x14ac:dyDescent="0.2">
      <c r="A2157" s="10"/>
      <c r="B2157" s="26"/>
      <c r="C2157" s="11">
        <v>1991</v>
      </c>
      <c r="D2157" s="32">
        <f>SPFI_CLB14!$D$14</f>
        <v>0.62776900000000002</v>
      </c>
      <c r="E2157" s="32"/>
      <c r="F2157" s="32"/>
      <c r="G2157" s="32"/>
      <c r="H2157" s="32"/>
      <c r="I2157" s="32"/>
      <c r="J2157" s="28">
        <f t="shared" si="1881"/>
        <v>0</v>
      </c>
      <c r="K2157" s="29"/>
      <c r="L2157" s="29"/>
      <c r="M2157" s="29"/>
      <c r="N2157" s="29"/>
      <c r="O2157" s="29"/>
      <c r="P2157" s="30">
        <f t="shared" si="1883"/>
        <v>0</v>
      </c>
      <c r="Q2157" s="31">
        <f t="shared" si="1882"/>
        <v>0</v>
      </c>
    </row>
    <row r="2158" spans="1:17" x14ac:dyDescent="0.2">
      <c r="A2158" s="10"/>
      <c r="B2158" s="26"/>
      <c r="C2158" s="11">
        <v>1992</v>
      </c>
      <c r="D2158" s="32">
        <f>SPFI_CLB14!$D$15</f>
        <v>0.43504100000000001</v>
      </c>
      <c r="E2158" s="32"/>
      <c r="F2158" s="32"/>
      <c r="G2158" s="32"/>
      <c r="H2158" s="32"/>
      <c r="I2158" s="32"/>
      <c r="J2158" s="28">
        <f t="shared" si="1881"/>
        <v>0</v>
      </c>
      <c r="K2158" s="29"/>
      <c r="L2158" s="29"/>
      <c r="M2158" s="29"/>
      <c r="N2158" s="29"/>
      <c r="O2158" s="29"/>
      <c r="P2158" s="30">
        <f t="shared" si="1883"/>
        <v>0</v>
      </c>
      <c r="Q2158" s="31">
        <f t="shared" si="1882"/>
        <v>0</v>
      </c>
    </row>
    <row r="2159" spans="1:17" x14ac:dyDescent="0.2">
      <c r="A2159" s="10"/>
      <c r="B2159" s="26"/>
      <c r="C2159" s="11">
        <v>1993</v>
      </c>
      <c r="D2159" s="32">
        <f>SPFI_CLB14!$D$16</f>
        <v>0.499164</v>
      </c>
      <c r="E2159" s="32"/>
      <c r="F2159" s="32"/>
      <c r="G2159" s="32"/>
      <c r="H2159" s="32"/>
      <c r="I2159" s="32"/>
      <c r="J2159" s="28">
        <f t="shared" si="1881"/>
        <v>0</v>
      </c>
      <c r="K2159" s="29"/>
      <c r="L2159" s="29"/>
      <c r="M2159" s="29"/>
      <c r="N2159" s="29"/>
      <c r="O2159" s="29"/>
      <c r="P2159" s="30">
        <f t="shared" si="1883"/>
        <v>0</v>
      </c>
      <c r="Q2159" s="31">
        <f t="shared" si="1882"/>
        <v>0</v>
      </c>
    </row>
    <row r="2160" spans="1:17" x14ac:dyDescent="0.2">
      <c r="A2160" s="10"/>
      <c r="B2160" s="26"/>
      <c r="C2160" s="11">
        <v>1994</v>
      </c>
      <c r="D2160" s="32">
        <f>SPFI_CLB14!$D$17</f>
        <v>0.59591300000000003</v>
      </c>
      <c r="E2160" s="32"/>
      <c r="F2160" s="32"/>
      <c r="G2160" s="32"/>
      <c r="H2160" s="32"/>
      <c r="I2160" s="32"/>
      <c r="J2160" s="28">
        <f t="shared" si="1881"/>
        <v>0</v>
      </c>
      <c r="K2160" s="29"/>
      <c r="L2160" s="29"/>
      <c r="M2160" s="29"/>
      <c r="N2160" s="29"/>
      <c r="O2160" s="29"/>
      <c r="P2160" s="30">
        <f t="shared" si="1883"/>
        <v>0</v>
      </c>
      <c r="Q2160" s="31">
        <f t="shared" si="1882"/>
        <v>0</v>
      </c>
    </row>
    <row r="2161" spans="1:17" x14ac:dyDescent="0.2">
      <c r="A2161" s="10"/>
      <c r="B2161" s="26"/>
      <c r="C2161" s="11">
        <v>1995</v>
      </c>
      <c r="D2161" s="32">
        <f>SPFI_CLB14!$D$18</f>
        <v>0.25400800000000001</v>
      </c>
      <c r="E2161" s="32"/>
      <c r="F2161" s="32"/>
      <c r="G2161" s="32"/>
      <c r="H2161" s="32"/>
      <c r="I2161" s="32"/>
      <c r="J2161" s="28">
        <f t="shared" ref="J2161" si="1884">D2161*J$69</f>
        <v>0</v>
      </c>
      <c r="K2161" s="29"/>
      <c r="L2161" s="29"/>
      <c r="M2161" s="29"/>
      <c r="N2161" s="29"/>
      <c r="O2161" s="29"/>
      <c r="P2161" s="30">
        <f>SUM(J2161:O2161)</f>
        <v>0</v>
      </c>
      <c r="Q2161" s="31">
        <f t="shared" si="1882"/>
        <v>0</v>
      </c>
    </row>
    <row r="2162" spans="1:17" x14ac:dyDescent="0.2">
      <c r="A2162" s="10"/>
      <c r="B2162" s="26"/>
      <c r="C2162" s="11">
        <v>1996</v>
      </c>
      <c r="D2162" s="32">
        <f>SPFI_CLB14!$D$19</f>
        <v>0</v>
      </c>
      <c r="E2162" s="32"/>
      <c r="F2162" s="32"/>
      <c r="G2162" s="32"/>
      <c r="H2162" s="32"/>
      <c r="I2162" s="32"/>
      <c r="J2162" s="28">
        <f t="shared" ref="J2162" si="1885">D2162*J$69</f>
        <v>0</v>
      </c>
      <c r="K2162" s="29"/>
      <c r="L2162" s="29"/>
      <c r="M2162" s="29"/>
      <c r="N2162" s="29"/>
      <c r="O2162" s="29"/>
      <c r="P2162" s="30">
        <f>SUM(J2162:O2162)</f>
        <v>0</v>
      </c>
      <c r="Q2162" s="31">
        <f t="shared" si="1882"/>
        <v>0</v>
      </c>
    </row>
    <row r="2163" spans="1:17" x14ac:dyDescent="0.2">
      <c r="A2163" s="10"/>
      <c r="B2163" s="26"/>
      <c r="C2163" s="11">
        <v>1997</v>
      </c>
      <c r="D2163" s="32">
        <f>SPFI_CLB14!$D$20</f>
        <v>0.201487</v>
      </c>
      <c r="E2163" s="32"/>
      <c r="F2163" s="32"/>
      <c r="G2163" s="32"/>
      <c r="H2163" s="32"/>
      <c r="I2163" s="32"/>
      <c r="J2163" s="28">
        <f t="shared" ref="J2163" si="1886">D2163*J$69</f>
        <v>0</v>
      </c>
      <c r="K2163" s="29"/>
      <c r="L2163" s="29"/>
      <c r="M2163" s="29"/>
      <c r="N2163" s="29"/>
      <c r="O2163" s="29"/>
      <c r="P2163" s="30">
        <f>SUM(J2163:O2163)</f>
        <v>0</v>
      </c>
      <c r="Q2163" s="31">
        <f t="shared" si="1882"/>
        <v>0</v>
      </c>
    </row>
    <row r="2164" spans="1:17" x14ac:dyDescent="0.2">
      <c r="A2164" s="10"/>
      <c r="B2164" s="26"/>
      <c r="C2164" s="11">
        <v>1998</v>
      </c>
      <c r="D2164" s="32">
        <f>SPFI_CLB14!$D$21</f>
        <v>0.37506400000000001</v>
      </c>
      <c r="E2164" s="32"/>
      <c r="F2164" s="32"/>
      <c r="G2164" s="32"/>
      <c r="H2164" s="32"/>
      <c r="I2164" s="32"/>
      <c r="J2164" s="28">
        <f t="shared" ref="J2164" si="1887">D2164*J$69</f>
        <v>0</v>
      </c>
      <c r="K2164" s="29"/>
      <c r="L2164" s="29"/>
      <c r="M2164" s="29"/>
      <c r="N2164" s="29"/>
      <c r="O2164" s="29"/>
      <c r="P2164" s="30">
        <f>SUM(J2164:O2164)</f>
        <v>0</v>
      </c>
      <c r="Q2164" s="31">
        <f t="shared" si="1882"/>
        <v>0</v>
      </c>
    </row>
    <row r="2165" spans="1:17" x14ac:dyDescent="0.2">
      <c r="A2165" s="10"/>
      <c r="B2165" s="26"/>
      <c r="C2165" s="11">
        <v>1999</v>
      </c>
      <c r="D2165" s="32">
        <f>SPFI_CLB14!$D$22</f>
        <v>0.29823699999999997</v>
      </c>
      <c r="E2165" s="32"/>
      <c r="F2165" s="32"/>
      <c r="G2165" s="32"/>
      <c r="H2165" s="32"/>
      <c r="I2165" s="32"/>
      <c r="J2165" s="28">
        <f t="shared" ref="J2165" si="1888">D2165*J$69</f>
        <v>0</v>
      </c>
      <c r="K2165" s="29"/>
      <c r="L2165" s="29"/>
      <c r="M2165" s="29"/>
      <c r="N2165" s="29"/>
      <c r="O2165" s="29"/>
      <c r="P2165" s="30">
        <f>SUM(J2165:O2165)</f>
        <v>0</v>
      </c>
      <c r="Q2165" s="31">
        <f t="shared" ref="Q2165:Q2170" si="1889">IF(C$69&gt;0,P2165/C$69,0)</f>
        <v>0</v>
      </c>
    </row>
    <row r="2166" spans="1:17" x14ac:dyDescent="0.2">
      <c r="A2166" s="10"/>
      <c r="B2166" s="26"/>
      <c r="C2166" s="11">
        <v>2000</v>
      </c>
      <c r="D2166" s="32">
        <f>SPFI_CLB14!$D$23</f>
        <v>8.4414000000000003E-2</v>
      </c>
      <c r="E2166" s="32"/>
      <c r="F2166" s="32"/>
      <c r="G2166" s="32"/>
      <c r="H2166" s="32"/>
      <c r="I2166" s="32"/>
      <c r="J2166" s="28">
        <f t="shared" ref="J2166" si="1890">D2166*J$69</f>
        <v>0</v>
      </c>
      <c r="K2166" s="29"/>
      <c r="L2166" s="29"/>
      <c r="M2166" s="29"/>
      <c r="N2166" s="29"/>
      <c r="O2166" s="29"/>
      <c r="P2166" s="30">
        <f t="shared" ref="P2166:P2171" si="1891">SUM(J2166:O2166)</f>
        <v>0</v>
      </c>
      <c r="Q2166" s="31">
        <f t="shared" si="1889"/>
        <v>0</v>
      </c>
    </row>
    <row r="2167" spans="1:17" x14ac:dyDescent="0.2">
      <c r="A2167" s="10"/>
      <c r="B2167" s="26"/>
      <c r="C2167" s="11">
        <v>2001</v>
      </c>
      <c r="D2167" s="32">
        <f>SPFI_CLB14!$D$24</f>
        <v>7.8909000000000007E-2</v>
      </c>
      <c r="E2167" s="32"/>
      <c r="F2167" s="32"/>
      <c r="G2167" s="32"/>
      <c r="H2167" s="32"/>
      <c r="I2167" s="32"/>
      <c r="J2167" s="28">
        <f t="shared" ref="J2167" si="1892">D2167*J$69</f>
        <v>0</v>
      </c>
      <c r="K2167" s="29"/>
      <c r="L2167" s="29"/>
      <c r="M2167" s="29"/>
      <c r="N2167" s="29"/>
      <c r="O2167" s="29"/>
      <c r="P2167" s="30">
        <f t="shared" si="1891"/>
        <v>0</v>
      </c>
      <c r="Q2167" s="31">
        <f t="shared" si="1889"/>
        <v>0</v>
      </c>
    </row>
    <row r="2168" spans="1:17" x14ac:dyDescent="0.2">
      <c r="A2168" s="10"/>
      <c r="B2168" s="26"/>
      <c r="C2168" s="11">
        <v>2002</v>
      </c>
      <c r="D2168" s="32">
        <f>SPFI_CLB14!$D$25</f>
        <v>0.29974699999999999</v>
      </c>
      <c r="E2168" s="32"/>
      <c r="F2168" s="32"/>
      <c r="G2168" s="32"/>
      <c r="H2168" s="32"/>
      <c r="I2168" s="32"/>
      <c r="J2168" s="28">
        <f t="shared" ref="J2168" si="1893">D2168*J$69</f>
        <v>0</v>
      </c>
      <c r="K2168" s="29"/>
      <c r="L2168" s="29"/>
      <c r="M2168" s="29"/>
      <c r="N2168" s="29"/>
      <c r="O2168" s="29"/>
      <c r="P2168" s="30">
        <f t="shared" si="1891"/>
        <v>0</v>
      </c>
      <c r="Q2168" s="31">
        <f t="shared" si="1889"/>
        <v>0</v>
      </c>
    </row>
    <row r="2169" spans="1:17" x14ac:dyDescent="0.2">
      <c r="A2169" s="10"/>
      <c r="B2169" s="26"/>
      <c r="C2169" s="11">
        <v>2003</v>
      </c>
      <c r="D2169" s="32">
        <f>SPFI_CLB14!$D$26</f>
        <v>0.20691100000000001</v>
      </c>
      <c r="E2169" s="32"/>
      <c r="F2169" s="32"/>
      <c r="G2169" s="32"/>
      <c r="H2169" s="32"/>
      <c r="I2169" s="32"/>
      <c r="J2169" s="28">
        <f t="shared" ref="J2169" si="1894">D2169*J$69</f>
        <v>0</v>
      </c>
      <c r="K2169" s="29"/>
      <c r="L2169" s="29"/>
      <c r="M2169" s="29"/>
      <c r="N2169" s="29"/>
      <c r="O2169" s="29"/>
      <c r="P2169" s="30">
        <f t="shared" si="1891"/>
        <v>0</v>
      </c>
      <c r="Q2169" s="31">
        <f t="shared" si="1889"/>
        <v>0</v>
      </c>
    </row>
    <row r="2170" spans="1:17" x14ac:dyDescent="0.2">
      <c r="A2170" s="10"/>
      <c r="B2170" s="26"/>
      <c r="C2170" s="11">
        <v>2004</v>
      </c>
      <c r="D2170" s="32">
        <f>SPFI_CLB14!$D$27</f>
        <v>0.269237</v>
      </c>
      <c r="E2170" s="32"/>
      <c r="F2170" s="32"/>
      <c r="G2170" s="32"/>
      <c r="H2170" s="32"/>
      <c r="I2170" s="32"/>
      <c r="J2170" s="28">
        <f t="shared" ref="J2170" si="1895">D2170*J$69</f>
        <v>0</v>
      </c>
      <c r="K2170" s="29"/>
      <c r="L2170" s="29"/>
      <c r="M2170" s="29"/>
      <c r="N2170" s="29"/>
      <c r="O2170" s="29"/>
      <c r="P2170" s="30">
        <f t="shared" si="1891"/>
        <v>0</v>
      </c>
      <c r="Q2170" s="31">
        <f t="shared" si="1889"/>
        <v>0</v>
      </c>
    </row>
    <row r="2171" spans="1:17" x14ac:dyDescent="0.2">
      <c r="A2171" s="10"/>
      <c r="B2171" s="26"/>
      <c r="C2171" s="11">
        <v>2005</v>
      </c>
      <c r="D2171" s="32">
        <f>SPFI_CLB14!$D$28</f>
        <v>0.37848700000000002</v>
      </c>
      <c r="E2171" s="32"/>
      <c r="F2171" s="32"/>
      <c r="G2171" s="32"/>
      <c r="H2171" s="32"/>
      <c r="I2171" s="32"/>
      <c r="J2171" s="28">
        <f t="shared" ref="J2171" si="1896">D2171*J$69</f>
        <v>0</v>
      </c>
      <c r="K2171" s="29"/>
      <c r="L2171" s="29"/>
      <c r="M2171" s="29"/>
      <c r="N2171" s="29"/>
      <c r="O2171" s="29"/>
      <c r="P2171" s="30">
        <f t="shared" si="1891"/>
        <v>0</v>
      </c>
      <c r="Q2171" s="31">
        <f t="shared" ref="Q2171:Q2176" si="1897">IF(C$69&gt;0,P2171/C$69,0)</f>
        <v>0</v>
      </c>
    </row>
    <row r="2172" spans="1:17" x14ac:dyDescent="0.2">
      <c r="A2172" s="10"/>
      <c r="B2172" s="26"/>
      <c r="C2172" s="11">
        <v>2006</v>
      </c>
      <c r="D2172" s="32">
        <f>SPFI_CLB14!$D$29</f>
        <v>0.381023</v>
      </c>
      <c r="E2172" s="32"/>
      <c r="F2172" s="32"/>
      <c r="G2172" s="32"/>
      <c r="H2172" s="32"/>
      <c r="I2172" s="32"/>
      <c r="J2172" s="28">
        <f t="shared" ref="J2172" si="1898">D2172*J$69</f>
        <v>0</v>
      </c>
      <c r="K2172" s="29"/>
      <c r="L2172" s="29"/>
      <c r="M2172" s="29"/>
      <c r="N2172" s="29"/>
      <c r="O2172" s="29"/>
      <c r="P2172" s="30">
        <f t="shared" ref="P2172:P2179" si="1899">SUM(J2172:O2172)</f>
        <v>0</v>
      </c>
      <c r="Q2172" s="31">
        <f t="shared" si="1897"/>
        <v>0</v>
      </c>
    </row>
    <row r="2173" spans="1:17" x14ac:dyDescent="0.2">
      <c r="A2173" s="10"/>
      <c r="B2173" s="26"/>
      <c r="C2173" s="11">
        <v>2007</v>
      </c>
      <c r="D2173" s="32">
        <f>SPFI_CLB14!$D$30</f>
        <v>0.356512</v>
      </c>
      <c r="E2173" s="32"/>
      <c r="F2173" s="32"/>
      <c r="G2173" s="32"/>
      <c r="H2173" s="32"/>
      <c r="I2173" s="32"/>
      <c r="J2173" s="28">
        <f t="shared" ref="J2173" si="1900">D2173*J$69</f>
        <v>0</v>
      </c>
      <c r="K2173" s="29"/>
      <c r="L2173" s="29"/>
      <c r="M2173" s="29"/>
      <c r="N2173" s="29"/>
      <c r="O2173" s="29"/>
      <c r="P2173" s="30">
        <f t="shared" si="1899"/>
        <v>0</v>
      </c>
      <c r="Q2173" s="31">
        <f t="shared" si="1897"/>
        <v>0</v>
      </c>
    </row>
    <row r="2174" spans="1:17" x14ac:dyDescent="0.2">
      <c r="A2174" s="10"/>
      <c r="B2174" s="26"/>
      <c r="C2174" s="11">
        <v>2008</v>
      </c>
      <c r="D2174" s="32">
        <f>SPFI_CLB14!$D$31</f>
        <v>0.25494499999999998</v>
      </c>
      <c r="E2174" s="32"/>
      <c r="F2174" s="32"/>
      <c r="G2174" s="32"/>
      <c r="H2174" s="32"/>
      <c r="I2174" s="32"/>
      <c r="J2174" s="28">
        <f t="shared" ref="J2174" si="1901">D2174*J$69</f>
        <v>0</v>
      </c>
      <c r="K2174" s="29"/>
      <c r="L2174" s="29"/>
      <c r="M2174" s="29"/>
      <c r="N2174" s="29"/>
      <c r="O2174" s="29"/>
      <c r="P2174" s="30">
        <f t="shared" si="1899"/>
        <v>0</v>
      </c>
      <c r="Q2174" s="31">
        <f t="shared" si="1897"/>
        <v>0</v>
      </c>
    </row>
    <row r="2175" spans="1:17" x14ac:dyDescent="0.2">
      <c r="A2175" s="10"/>
      <c r="B2175" s="26"/>
      <c r="C2175" s="11">
        <v>2009</v>
      </c>
      <c r="D2175" s="32">
        <f>SPFI_CLB14!$D$32</f>
        <v>0.52383000000000002</v>
      </c>
      <c r="E2175" s="32"/>
      <c r="F2175" s="32"/>
      <c r="G2175" s="32"/>
      <c r="H2175" s="32"/>
      <c r="I2175" s="32"/>
      <c r="J2175" s="28">
        <f t="shared" ref="J2175" si="1902">D2175*J$69</f>
        <v>0</v>
      </c>
      <c r="K2175" s="29"/>
      <c r="L2175" s="29"/>
      <c r="M2175" s="29"/>
      <c r="N2175" s="29"/>
      <c r="O2175" s="29"/>
      <c r="P2175" s="30">
        <f t="shared" si="1899"/>
        <v>0</v>
      </c>
      <c r="Q2175" s="31">
        <f t="shared" si="1897"/>
        <v>0</v>
      </c>
    </row>
    <row r="2176" spans="1:17" x14ac:dyDescent="0.2">
      <c r="A2176" s="10"/>
      <c r="B2176" s="26"/>
      <c r="C2176" s="11">
        <v>2010</v>
      </c>
      <c r="D2176" s="32">
        <f>SPFI_CLB14!$D$33</f>
        <v>0.31394</v>
      </c>
      <c r="E2176" s="32"/>
      <c r="F2176" s="32"/>
      <c r="G2176" s="32"/>
      <c r="H2176" s="32"/>
      <c r="I2176" s="32"/>
      <c r="J2176" s="28">
        <f t="shared" ref="J2176" si="1903">D2176*J$69</f>
        <v>0</v>
      </c>
      <c r="K2176" s="29"/>
      <c r="L2176" s="29"/>
      <c r="M2176" s="29"/>
      <c r="N2176" s="29"/>
      <c r="O2176" s="29"/>
      <c r="P2176" s="30">
        <f t="shared" si="1899"/>
        <v>0</v>
      </c>
      <c r="Q2176" s="31">
        <f t="shared" si="1897"/>
        <v>0</v>
      </c>
    </row>
    <row r="2177" spans="1:17" x14ac:dyDescent="0.2">
      <c r="A2177" s="10"/>
      <c r="B2177" s="26"/>
      <c r="C2177" s="11">
        <v>2011</v>
      </c>
      <c r="D2177" s="32">
        <f>SPFI_CLB14!$D$34</f>
        <v>0.294348</v>
      </c>
      <c r="E2177" s="32"/>
      <c r="F2177" s="32"/>
      <c r="G2177" s="32"/>
      <c r="H2177" s="32"/>
      <c r="I2177" s="32"/>
      <c r="J2177" s="28">
        <f t="shared" ref="J2177" si="1904">D2177*J$69</f>
        <v>0</v>
      </c>
      <c r="K2177" s="29"/>
      <c r="L2177" s="29"/>
      <c r="M2177" s="29"/>
      <c r="N2177" s="29"/>
      <c r="O2177" s="29"/>
      <c r="P2177" s="30">
        <f t="shared" ref="P2177" si="1905">SUM(J2177:O2177)</f>
        <v>0</v>
      </c>
      <c r="Q2177" s="31">
        <f t="shared" ref="Q2177" si="1906">IF(C$69&gt;0,P2177/C$69,0)</f>
        <v>0</v>
      </c>
    </row>
    <row r="2178" spans="1:17" x14ac:dyDescent="0.2">
      <c r="A2178" s="10"/>
      <c r="B2178" s="26"/>
      <c r="C2178" s="11">
        <v>2012</v>
      </c>
      <c r="D2178" s="32">
        <f>SPFI_CLB14!$D$35</f>
        <v>0.34784100000000001</v>
      </c>
      <c r="E2178" s="32"/>
      <c r="F2178" s="32"/>
      <c r="G2178" s="32"/>
      <c r="H2178" s="32"/>
      <c r="I2178" s="32"/>
      <c r="J2178" s="28">
        <f t="shared" ref="J2178" si="1907">D2178*J$69</f>
        <v>0</v>
      </c>
      <c r="K2178" s="29"/>
      <c r="L2178" s="29"/>
      <c r="M2178" s="29"/>
      <c r="N2178" s="29"/>
      <c r="O2178" s="29"/>
      <c r="P2178" s="30">
        <f t="shared" ref="P2178" si="1908">SUM(J2178:O2178)</f>
        <v>0</v>
      </c>
      <c r="Q2178" s="31">
        <f t="shared" ref="Q2178" si="1909">IF(C$69&gt;0,P2178/C$69,0)</f>
        <v>0</v>
      </c>
    </row>
    <row r="2179" spans="1:17" x14ac:dyDescent="0.2">
      <c r="A2179" s="5" t="s">
        <v>22</v>
      </c>
      <c r="B2179" s="21">
        <v>4</v>
      </c>
      <c r="C2179" s="6">
        <v>1982</v>
      </c>
      <c r="D2179" s="27">
        <f>SPFI_CLB14!$D$5</f>
        <v>0.98153299999999999</v>
      </c>
      <c r="E2179" s="27"/>
      <c r="F2179" s="27"/>
      <c r="G2179" s="27"/>
      <c r="H2179" s="27"/>
      <c r="I2179" s="27"/>
      <c r="J2179" s="33">
        <f t="shared" ref="J2179:J2191" si="1910">D2179*J$70</f>
        <v>0</v>
      </c>
      <c r="K2179" s="27"/>
      <c r="L2179" s="27"/>
      <c r="M2179" s="27"/>
      <c r="N2179" s="27"/>
      <c r="O2179" s="27"/>
      <c r="P2179" s="34">
        <f t="shared" si="1899"/>
        <v>0</v>
      </c>
      <c r="Q2179" s="35">
        <f t="shared" ref="Q2179:Q2195" si="1911">IF(C$70&gt;0,P2179/C$70,0)</f>
        <v>0</v>
      </c>
    </row>
    <row r="2180" spans="1:17" x14ac:dyDescent="0.2">
      <c r="A2180" s="10"/>
      <c r="B2180" s="26"/>
      <c r="C2180" s="11">
        <v>1983</v>
      </c>
      <c r="D2180" s="32">
        <f>SPFI_CLB14!$D$6</f>
        <v>0.93659899999999996</v>
      </c>
      <c r="E2180" s="32"/>
      <c r="F2180" s="32"/>
      <c r="G2180" s="32"/>
      <c r="H2180" s="32"/>
      <c r="I2180" s="32"/>
      <c r="J2180" s="28">
        <f t="shared" si="1910"/>
        <v>0</v>
      </c>
      <c r="K2180" s="29"/>
      <c r="L2180" s="29"/>
      <c r="M2180" s="29"/>
      <c r="N2180" s="29"/>
      <c r="O2180" s="29"/>
      <c r="P2180" s="30">
        <f t="shared" ref="P2180:P2191" si="1912">SUM(J2180:O2180)</f>
        <v>0</v>
      </c>
      <c r="Q2180" s="31">
        <f t="shared" si="1911"/>
        <v>0</v>
      </c>
    </row>
    <row r="2181" spans="1:17" x14ac:dyDescent="0.2">
      <c r="A2181" s="10"/>
      <c r="B2181" s="26"/>
      <c r="C2181" s="11">
        <v>1984</v>
      </c>
      <c r="D2181" s="32">
        <f>SPFI_CLB14!$D$7</f>
        <v>0.92793599999999998</v>
      </c>
      <c r="E2181" s="32"/>
      <c r="F2181" s="32"/>
      <c r="G2181" s="32"/>
      <c r="H2181" s="32"/>
      <c r="I2181" s="32"/>
      <c r="J2181" s="28">
        <f t="shared" si="1910"/>
        <v>0</v>
      </c>
      <c r="K2181" s="29"/>
      <c r="L2181" s="29"/>
      <c r="M2181" s="29"/>
      <c r="N2181" s="29"/>
      <c r="O2181" s="29"/>
      <c r="P2181" s="30">
        <f t="shared" si="1912"/>
        <v>0</v>
      </c>
      <c r="Q2181" s="31">
        <f t="shared" si="1911"/>
        <v>0</v>
      </c>
    </row>
    <row r="2182" spans="1:17" x14ac:dyDescent="0.2">
      <c r="A2182" s="10"/>
      <c r="B2182" s="26"/>
      <c r="C2182" s="11">
        <v>1985</v>
      </c>
      <c r="D2182" s="32">
        <f>SPFI_CLB14!$D$8</f>
        <v>0.90386500000000003</v>
      </c>
      <c r="E2182" s="32"/>
      <c r="F2182" s="32"/>
      <c r="G2182" s="32"/>
      <c r="H2182" s="32"/>
      <c r="I2182" s="32"/>
      <c r="J2182" s="28">
        <f t="shared" si="1910"/>
        <v>0</v>
      </c>
      <c r="K2182" s="29"/>
      <c r="L2182" s="29"/>
      <c r="M2182" s="29"/>
      <c r="N2182" s="29"/>
      <c r="O2182" s="29"/>
      <c r="P2182" s="30">
        <f t="shared" si="1912"/>
        <v>0</v>
      </c>
      <c r="Q2182" s="31">
        <f t="shared" si="1911"/>
        <v>0</v>
      </c>
    </row>
    <row r="2183" spans="1:17" x14ac:dyDescent="0.2">
      <c r="A2183" s="10"/>
      <c r="B2183" s="26"/>
      <c r="C2183" s="11">
        <v>1986</v>
      </c>
      <c r="D2183" s="32">
        <f>SPFI_CLB14!$D$9</f>
        <v>0.73087500000000005</v>
      </c>
      <c r="E2183" s="32"/>
      <c r="F2183" s="32"/>
      <c r="G2183" s="32"/>
      <c r="H2183" s="32"/>
      <c r="I2183" s="32"/>
      <c r="J2183" s="28">
        <f t="shared" si="1910"/>
        <v>0</v>
      </c>
      <c r="K2183" s="29"/>
      <c r="L2183" s="29"/>
      <c r="M2183" s="29"/>
      <c r="N2183" s="29"/>
      <c r="O2183" s="29"/>
      <c r="P2183" s="30">
        <f t="shared" si="1912"/>
        <v>0</v>
      </c>
      <c r="Q2183" s="31">
        <f t="shared" si="1911"/>
        <v>0</v>
      </c>
    </row>
    <row r="2184" spans="1:17" x14ac:dyDescent="0.2">
      <c r="A2184" s="10"/>
      <c r="B2184" s="26"/>
      <c r="C2184" s="11">
        <v>1987</v>
      </c>
      <c r="D2184" s="32">
        <f>SPFI_CLB14!$D$10</f>
        <v>0.71733499999999994</v>
      </c>
      <c r="E2184" s="32"/>
      <c r="F2184" s="32"/>
      <c r="G2184" s="32"/>
      <c r="H2184" s="32"/>
      <c r="I2184" s="32"/>
      <c r="J2184" s="28">
        <f t="shared" si="1910"/>
        <v>0</v>
      </c>
      <c r="K2184" s="29"/>
      <c r="L2184" s="29"/>
      <c r="M2184" s="29"/>
      <c r="N2184" s="29"/>
      <c r="O2184" s="29"/>
      <c r="P2184" s="30">
        <f t="shared" si="1912"/>
        <v>0</v>
      </c>
      <c r="Q2184" s="31">
        <f t="shared" si="1911"/>
        <v>0</v>
      </c>
    </row>
    <row r="2185" spans="1:17" x14ac:dyDescent="0.2">
      <c r="A2185" s="10"/>
      <c r="B2185" s="26"/>
      <c r="C2185" s="11">
        <v>1988</v>
      </c>
      <c r="D2185" s="32">
        <f>SPFI_CLB14!$D$11</f>
        <v>0.64558800000000005</v>
      </c>
      <c r="E2185" s="32"/>
      <c r="F2185" s="32"/>
      <c r="G2185" s="32"/>
      <c r="H2185" s="32"/>
      <c r="I2185" s="32"/>
      <c r="J2185" s="28">
        <f t="shared" si="1910"/>
        <v>0</v>
      </c>
      <c r="K2185" s="29"/>
      <c r="L2185" s="29"/>
      <c r="M2185" s="29"/>
      <c r="N2185" s="29"/>
      <c r="O2185" s="29"/>
      <c r="P2185" s="30">
        <f t="shared" si="1912"/>
        <v>0</v>
      </c>
      <c r="Q2185" s="31">
        <f t="shared" si="1911"/>
        <v>0</v>
      </c>
    </row>
    <row r="2186" spans="1:17" x14ac:dyDescent="0.2">
      <c r="A2186" s="10"/>
      <c r="B2186" s="26"/>
      <c r="C2186" s="11">
        <v>1989</v>
      </c>
      <c r="D2186" s="32">
        <f>SPFI_CLB14!$D$12</f>
        <v>0.65287700000000004</v>
      </c>
      <c r="E2186" s="32"/>
      <c r="F2186" s="32"/>
      <c r="G2186" s="32"/>
      <c r="H2186" s="32"/>
      <c r="I2186" s="32"/>
      <c r="J2186" s="28">
        <f t="shared" si="1910"/>
        <v>0</v>
      </c>
      <c r="K2186" s="29"/>
      <c r="L2186" s="29"/>
      <c r="M2186" s="29"/>
      <c r="N2186" s="29"/>
      <c r="O2186" s="29"/>
      <c r="P2186" s="30">
        <f t="shared" si="1912"/>
        <v>0</v>
      </c>
      <c r="Q2186" s="31">
        <f t="shared" si="1911"/>
        <v>0</v>
      </c>
    </row>
    <row r="2187" spans="1:17" x14ac:dyDescent="0.2">
      <c r="A2187" s="10"/>
      <c r="B2187" s="26"/>
      <c r="C2187" s="11">
        <v>1990</v>
      </c>
      <c r="D2187" s="32">
        <f>SPFI_CLB14!$D$13</f>
        <v>0.56965100000000002</v>
      </c>
      <c r="E2187" s="32"/>
      <c r="F2187" s="32"/>
      <c r="G2187" s="32"/>
      <c r="H2187" s="32"/>
      <c r="I2187" s="32"/>
      <c r="J2187" s="28">
        <f t="shared" si="1910"/>
        <v>0</v>
      </c>
      <c r="K2187" s="29"/>
      <c r="L2187" s="29"/>
      <c r="M2187" s="29"/>
      <c r="N2187" s="29"/>
      <c r="O2187" s="29"/>
      <c r="P2187" s="30">
        <f t="shared" si="1912"/>
        <v>0</v>
      </c>
      <c r="Q2187" s="31">
        <f t="shared" si="1911"/>
        <v>0</v>
      </c>
    </row>
    <row r="2188" spans="1:17" x14ac:dyDescent="0.2">
      <c r="A2188" s="10"/>
      <c r="B2188" s="26"/>
      <c r="C2188" s="11">
        <v>1991</v>
      </c>
      <c r="D2188" s="32">
        <f>SPFI_CLB14!$D$14</f>
        <v>0.62776900000000002</v>
      </c>
      <c r="E2188" s="32"/>
      <c r="F2188" s="32"/>
      <c r="G2188" s="32"/>
      <c r="H2188" s="32"/>
      <c r="I2188" s="32"/>
      <c r="J2188" s="28">
        <f t="shared" si="1910"/>
        <v>0</v>
      </c>
      <c r="K2188" s="29"/>
      <c r="L2188" s="29"/>
      <c r="M2188" s="29"/>
      <c r="N2188" s="29"/>
      <c r="O2188" s="29"/>
      <c r="P2188" s="30">
        <f t="shared" si="1912"/>
        <v>0</v>
      </c>
      <c r="Q2188" s="31">
        <f t="shared" si="1911"/>
        <v>0</v>
      </c>
    </row>
    <row r="2189" spans="1:17" x14ac:dyDescent="0.2">
      <c r="A2189" s="10"/>
      <c r="B2189" s="26"/>
      <c r="C2189" s="11">
        <v>1992</v>
      </c>
      <c r="D2189" s="32">
        <f>SPFI_CLB14!$D$15</f>
        <v>0.43504100000000001</v>
      </c>
      <c r="E2189" s="32"/>
      <c r="F2189" s="32"/>
      <c r="G2189" s="32"/>
      <c r="H2189" s="32"/>
      <c r="I2189" s="32"/>
      <c r="J2189" s="28">
        <f t="shared" si="1910"/>
        <v>0</v>
      </c>
      <c r="K2189" s="29"/>
      <c r="L2189" s="29"/>
      <c r="M2189" s="29"/>
      <c r="N2189" s="29"/>
      <c r="O2189" s="29"/>
      <c r="P2189" s="30">
        <f t="shared" si="1912"/>
        <v>0</v>
      </c>
      <c r="Q2189" s="31">
        <f t="shared" si="1911"/>
        <v>0</v>
      </c>
    </row>
    <row r="2190" spans="1:17" x14ac:dyDescent="0.2">
      <c r="A2190" s="10"/>
      <c r="B2190" s="26"/>
      <c r="C2190" s="11">
        <v>1993</v>
      </c>
      <c r="D2190" s="32">
        <f>SPFI_CLB14!$D$16</f>
        <v>0.499164</v>
      </c>
      <c r="E2190" s="32"/>
      <c r="F2190" s="32"/>
      <c r="G2190" s="32"/>
      <c r="H2190" s="32"/>
      <c r="I2190" s="32"/>
      <c r="J2190" s="28">
        <f t="shared" si="1910"/>
        <v>0</v>
      </c>
      <c r="K2190" s="29"/>
      <c r="L2190" s="29"/>
      <c r="M2190" s="29"/>
      <c r="N2190" s="29"/>
      <c r="O2190" s="29"/>
      <c r="P2190" s="30">
        <f t="shared" si="1912"/>
        <v>0</v>
      </c>
      <c r="Q2190" s="31">
        <f t="shared" si="1911"/>
        <v>0</v>
      </c>
    </row>
    <row r="2191" spans="1:17" x14ac:dyDescent="0.2">
      <c r="A2191" s="10"/>
      <c r="B2191" s="26"/>
      <c r="C2191" s="11">
        <v>1994</v>
      </c>
      <c r="D2191" s="32">
        <f>SPFI_CLB14!$D$17</f>
        <v>0.59591300000000003</v>
      </c>
      <c r="E2191" s="32"/>
      <c r="F2191" s="32"/>
      <c r="G2191" s="32"/>
      <c r="H2191" s="32"/>
      <c r="I2191" s="32"/>
      <c r="J2191" s="28">
        <f t="shared" si="1910"/>
        <v>0</v>
      </c>
      <c r="K2191" s="29"/>
      <c r="L2191" s="29"/>
      <c r="M2191" s="29"/>
      <c r="N2191" s="29"/>
      <c r="O2191" s="29"/>
      <c r="P2191" s="30">
        <f t="shared" si="1912"/>
        <v>0</v>
      </c>
      <c r="Q2191" s="31">
        <f t="shared" si="1911"/>
        <v>0</v>
      </c>
    </row>
    <row r="2192" spans="1:17" x14ac:dyDescent="0.2">
      <c r="A2192" s="10"/>
      <c r="B2192" s="26"/>
      <c r="C2192" s="11">
        <v>1995</v>
      </c>
      <c r="D2192" s="32">
        <f>SPFI_CLB14!$D$18</f>
        <v>0.25400800000000001</v>
      </c>
      <c r="E2192" s="32"/>
      <c r="F2192" s="32"/>
      <c r="G2192" s="32"/>
      <c r="H2192" s="32"/>
      <c r="I2192" s="32"/>
      <c r="J2192" s="28">
        <f t="shared" ref="J2192" si="1913">D2192*J$70</f>
        <v>0</v>
      </c>
      <c r="K2192" s="29"/>
      <c r="L2192" s="29"/>
      <c r="M2192" s="29"/>
      <c r="N2192" s="29"/>
      <c r="O2192" s="29"/>
      <c r="P2192" s="30">
        <f>SUM(J2192:O2192)</f>
        <v>0</v>
      </c>
      <c r="Q2192" s="31">
        <f t="shared" si="1911"/>
        <v>0</v>
      </c>
    </row>
    <row r="2193" spans="1:17" x14ac:dyDescent="0.2">
      <c r="A2193" s="10"/>
      <c r="B2193" s="26"/>
      <c r="C2193" s="11">
        <v>1996</v>
      </c>
      <c r="D2193" s="32">
        <f>SPFI_CLB14!$D$19</f>
        <v>0</v>
      </c>
      <c r="E2193" s="32"/>
      <c r="F2193" s="32"/>
      <c r="G2193" s="32"/>
      <c r="H2193" s="32"/>
      <c r="I2193" s="32"/>
      <c r="J2193" s="28">
        <f t="shared" ref="J2193" si="1914">D2193*J$70</f>
        <v>0</v>
      </c>
      <c r="K2193" s="29"/>
      <c r="L2193" s="29"/>
      <c r="M2193" s="29"/>
      <c r="N2193" s="29"/>
      <c r="O2193" s="29"/>
      <c r="P2193" s="30">
        <f>SUM(J2193:O2193)</f>
        <v>0</v>
      </c>
      <c r="Q2193" s="31">
        <f t="shared" si="1911"/>
        <v>0</v>
      </c>
    </row>
    <row r="2194" spans="1:17" x14ac:dyDescent="0.2">
      <c r="A2194" s="10"/>
      <c r="B2194" s="26"/>
      <c r="C2194" s="11">
        <v>1997</v>
      </c>
      <c r="D2194" s="32">
        <f>SPFI_CLB14!$D$20</f>
        <v>0.201487</v>
      </c>
      <c r="E2194" s="32"/>
      <c r="F2194" s="32"/>
      <c r="G2194" s="32"/>
      <c r="H2194" s="32"/>
      <c r="I2194" s="32"/>
      <c r="J2194" s="28">
        <f t="shared" ref="J2194" si="1915">D2194*J$70</f>
        <v>0</v>
      </c>
      <c r="K2194" s="29"/>
      <c r="L2194" s="29"/>
      <c r="M2194" s="29"/>
      <c r="N2194" s="29"/>
      <c r="O2194" s="29"/>
      <c r="P2194" s="30">
        <f>SUM(J2194:O2194)</f>
        <v>0</v>
      </c>
      <c r="Q2194" s="31">
        <f t="shared" si="1911"/>
        <v>0</v>
      </c>
    </row>
    <row r="2195" spans="1:17" x14ac:dyDescent="0.2">
      <c r="A2195" s="10"/>
      <c r="B2195" s="26"/>
      <c r="C2195" s="11">
        <v>1998</v>
      </c>
      <c r="D2195" s="32">
        <f>SPFI_CLB14!$D$21</f>
        <v>0.37506400000000001</v>
      </c>
      <c r="E2195" s="32"/>
      <c r="F2195" s="32"/>
      <c r="G2195" s="32"/>
      <c r="H2195" s="32"/>
      <c r="I2195" s="32"/>
      <c r="J2195" s="28">
        <f t="shared" ref="J2195" si="1916">D2195*J$70</f>
        <v>0</v>
      </c>
      <c r="K2195" s="29"/>
      <c r="L2195" s="29"/>
      <c r="M2195" s="29"/>
      <c r="N2195" s="29"/>
      <c r="O2195" s="29"/>
      <c r="P2195" s="30">
        <f>SUM(J2195:O2195)</f>
        <v>0</v>
      </c>
      <c r="Q2195" s="31">
        <f t="shared" si="1911"/>
        <v>0</v>
      </c>
    </row>
    <row r="2196" spans="1:17" x14ac:dyDescent="0.2">
      <c r="A2196" s="10"/>
      <c r="B2196" s="26"/>
      <c r="C2196" s="11">
        <v>1999</v>
      </c>
      <c r="D2196" s="32">
        <f>SPFI_CLB14!$D$22</f>
        <v>0.29823699999999997</v>
      </c>
      <c r="E2196" s="32"/>
      <c r="F2196" s="32"/>
      <c r="G2196" s="32"/>
      <c r="H2196" s="32"/>
      <c r="I2196" s="32"/>
      <c r="J2196" s="28">
        <f t="shared" ref="J2196" si="1917">D2196*J$70</f>
        <v>0</v>
      </c>
      <c r="K2196" s="29"/>
      <c r="L2196" s="29"/>
      <c r="M2196" s="29"/>
      <c r="N2196" s="29"/>
      <c r="O2196" s="29"/>
      <c r="P2196" s="30">
        <f>SUM(J2196:O2196)</f>
        <v>0</v>
      </c>
      <c r="Q2196" s="31">
        <f t="shared" ref="Q2196:Q2201" si="1918">IF(C$70&gt;0,P2196/C$70,0)</f>
        <v>0</v>
      </c>
    </row>
    <row r="2197" spans="1:17" x14ac:dyDescent="0.2">
      <c r="A2197" s="10"/>
      <c r="B2197" s="26"/>
      <c r="C2197" s="11">
        <v>2000</v>
      </c>
      <c r="D2197" s="32">
        <f>SPFI_CLB14!$D$23</f>
        <v>8.4414000000000003E-2</v>
      </c>
      <c r="E2197" s="32"/>
      <c r="F2197" s="32"/>
      <c r="G2197" s="32"/>
      <c r="H2197" s="32"/>
      <c r="I2197" s="32"/>
      <c r="J2197" s="28">
        <f t="shared" ref="J2197" si="1919">D2197*J$70</f>
        <v>0</v>
      </c>
      <c r="K2197" s="29"/>
      <c r="L2197" s="29"/>
      <c r="M2197" s="29"/>
      <c r="N2197" s="29"/>
      <c r="O2197" s="29"/>
      <c r="P2197" s="30">
        <f t="shared" ref="P2197:P2202" si="1920">SUM(J2197:O2197)</f>
        <v>0</v>
      </c>
      <c r="Q2197" s="31">
        <f t="shared" si="1918"/>
        <v>0</v>
      </c>
    </row>
    <row r="2198" spans="1:17" x14ac:dyDescent="0.2">
      <c r="A2198" s="10"/>
      <c r="B2198" s="26"/>
      <c r="C2198" s="11">
        <v>2001</v>
      </c>
      <c r="D2198" s="32">
        <f>SPFI_CLB14!$D$24</f>
        <v>7.8909000000000007E-2</v>
      </c>
      <c r="E2198" s="32"/>
      <c r="F2198" s="32"/>
      <c r="G2198" s="32"/>
      <c r="H2198" s="32"/>
      <c r="I2198" s="32"/>
      <c r="J2198" s="28">
        <f t="shared" ref="J2198" si="1921">D2198*J$70</f>
        <v>0</v>
      </c>
      <c r="K2198" s="29"/>
      <c r="L2198" s="29"/>
      <c r="M2198" s="29"/>
      <c r="N2198" s="29"/>
      <c r="O2198" s="29"/>
      <c r="P2198" s="30">
        <f t="shared" si="1920"/>
        <v>0</v>
      </c>
      <c r="Q2198" s="31">
        <f t="shared" si="1918"/>
        <v>0</v>
      </c>
    </row>
    <row r="2199" spans="1:17" x14ac:dyDescent="0.2">
      <c r="A2199" s="10"/>
      <c r="B2199" s="26"/>
      <c r="C2199" s="11">
        <v>2002</v>
      </c>
      <c r="D2199" s="32">
        <f>SPFI_CLB14!$D$25</f>
        <v>0.29974699999999999</v>
      </c>
      <c r="E2199" s="32"/>
      <c r="F2199" s="32"/>
      <c r="G2199" s="32"/>
      <c r="H2199" s="32"/>
      <c r="I2199" s="32"/>
      <c r="J2199" s="28">
        <f t="shared" ref="J2199" si="1922">D2199*J$70</f>
        <v>0</v>
      </c>
      <c r="K2199" s="29"/>
      <c r="L2199" s="29"/>
      <c r="M2199" s="29"/>
      <c r="N2199" s="29"/>
      <c r="O2199" s="29"/>
      <c r="P2199" s="30">
        <f t="shared" si="1920"/>
        <v>0</v>
      </c>
      <c r="Q2199" s="31">
        <f t="shared" si="1918"/>
        <v>0</v>
      </c>
    </row>
    <row r="2200" spans="1:17" x14ac:dyDescent="0.2">
      <c r="A2200" s="10"/>
      <c r="B2200" s="26"/>
      <c r="C2200" s="11">
        <v>2003</v>
      </c>
      <c r="D2200" s="32">
        <f>SPFI_CLB14!$D$26</f>
        <v>0.20691100000000001</v>
      </c>
      <c r="E2200" s="32"/>
      <c r="F2200" s="32"/>
      <c r="G2200" s="32"/>
      <c r="H2200" s="32"/>
      <c r="I2200" s="32"/>
      <c r="J2200" s="28">
        <f t="shared" ref="J2200" si="1923">D2200*J$70</f>
        <v>0</v>
      </c>
      <c r="K2200" s="29"/>
      <c r="L2200" s="29"/>
      <c r="M2200" s="29"/>
      <c r="N2200" s="29"/>
      <c r="O2200" s="29"/>
      <c r="P2200" s="30">
        <f t="shared" si="1920"/>
        <v>0</v>
      </c>
      <c r="Q2200" s="31">
        <f t="shared" si="1918"/>
        <v>0</v>
      </c>
    </row>
    <row r="2201" spans="1:17" x14ac:dyDescent="0.2">
      <c r="A2201" s="10"/>
      <c r="B2201" s="26"/>
      <c r="C2201" s="11">
        <v>2004</v>
      </c>
      <c r="D2201" s="32">
        <f>SPFI_CLB14!$D$27</f>
        <v>0.269237</v>
      </c>
      <c r="E2201" s="32"/>
      <c r="F2201" s="32"/>
      <c r="G2201" s="32"/>
      <c r="H2201" s="32"/>
      <c r="I2201" s="32"/>
      <c r="J2201" s="28">
        <f t="shared" ref="J2201" si="1924">D2201*J$70</f>
        <v>0</v>
      </c>
      <c r="K2201" s="29"/>
      <c r="L2201" s="29"/>
      <c r="M2201" s="29"/>
      <c r="N2201" s="29"/>
      <c r="O2201" s="29"/>
      <c r="P2201" s="30">
        <f t="shared" si="1920"/>
        <v>0</v>
      </c>
      <c r="Q2201" s="31">
        <f t="shared" si="1918"/>
        <v>0</v>
      </c>
    </row>
    <row r="2202" spans="1:17" x14ac:dyDescent="0.2">
      <c r="A2202" s="10"/>
      <c r="B2202" s="26"/>
      <c r="C2202" s="11">
        <v>2005</v>
      </c>
      <c r="D2202" s="32">
        <f>SPFI_CLB14!$D$28</f>
        <v>0.37848700000000002</v>
      </c>
      <c r="E2202" s="32"/>
      <c r="F2202" s="32"/>
      <c r="G2202" s="32"/>
      <c r="H2202" s="32"/>
      <c r="I2202" s="32"/>
      <c r="J2202" s="28">
        <f t="shared" ref="J2202" si="1925">D2202*J$70</f>
        <v>0</v>
      </c>
      <c r="K2202" s="29"/>
      <c r="L2202" s="29"/>
      <c r="M2202" s="29"/>
      <c r="N2202" s="29"/>
      <c r="O2202" s="29"/>
      <c r="P2202" s="30">
        <f t="shared" si="1920"/>
        <v>0</v>
      </c>
      <c r="Q2202" s="31">
        <f t="shared" ref="Q2202:Q2207" si="1926">IF(C$70&gt;0,P2202/C$70,0)</f>
        <v>0</v>
      </c>
    </row>
    <row r="2203" spans="1:17" x14ac:dyDescent="0.2">
      <c r="A2203" s="10"/>
      <c r="B2203" s="26"/>
      <c r="C2203" s="11">
        <v>2006</v>
      </c>
      <c r="D2203" s="32">
        <f>SPFI_CLB14!$D$29</f>
        <v>0.381023</v>
      </c>
      <c r="E2203" s="32"/>
      <c r="F2203" s="32"/>
      <c r="G2203" s="32"/>
      <c r="H2203" s="32"/>
      <c r="I2203" s="32"/>
      <c r="J2203" s="28">
        <f t="shared" ref="J2203" si="1927">D2203*J$70</f>
        <v>0</v>
      </c>
      <c r="K2203" s="29"/>
      <c r="L2203" s="29"/>
      <c r="M2203" s="29"/>
      <c r="N2203" s="29"/>
      <c r="O2203" s="29"/>
      <c r="P2203" s="30">
        <f t="shared" ref="P2203:P2210" si="1928">SUM(J2203:O2203)</f>
        <v>0</v>
      </c>
      <c r="Q2203" s="31">
        <f t="shared" si="1926"/>
        <v>0</v>
      </c>
    </row>
    <row r="2204" spans="1:17" x14ac:dyDescent="0.2">
      <c r="A2204" s="10"/>
      <c r="B2204" s="26"/>
      <c r="C2204" s="11">
        <v>2007</v>
      </c>
      <c r="D2204" s="32">
        <f>SPFI_CLB14!$D$30</f>
        <v>0.356512</v>
      </c>
      <c r="E2204" s="32"/>
      <c r="F2204" s="32"/>
      <c r="G2204" s="32"/>
      <c r="H2204" s="32"/>
      <c r="I2204" s="32"/>
      <c r="J2204" s="28">
        <f t="shared" ref="J2204" si="1929">D2204*J$70</f>
        <v>0</v>
      </c>
      <c r="K2204" s="29"/>
      <c r="L2204" s="29"/>
      <c r="M2204" s="29"/>
      <c r="N2204" s="29"/>
      <c r="O2204" s="29"/>
      <c r="P2204" s="30">
        <f t="shared" si="1928"/>
        <v>0</v>
      </c>
      <c r="Q2204" s="31">
        <f t="shared" si="1926"/>
        <v>0</v>
      </c>
    </row>
    <row r="2205" spans="1:17" x14ac:dyDescent="0.2">
      <c r="A2205" s="10"/>
      <c r="B2205" s="26"/>
      <c r="C2205" s="11">
        <v>2008</v>
      </c>
      <c r="D2205" s="32">
        <f>SPFI_CLB14!$D$31</f>
        <v>0.25494499999999998</v>
      </c>
      <c r="E2205" s="32"/>
      <c r="F2205" s="32"/>
      <c r="G2205" s="32"/>
      <c r="H2205" s="32"/>
      <c r="I2205" s="32"/>
      <c r="J2205" s="28">
        <f t="shared" ref="J2205" si="1930">D2205*J$70</f>
        <v>0</v>
      </c>
      <c r="K2205" s="29"/>
      <c r="L2205" s="29"/>
      <c r="M2205" s="29"/>
      <c r="N2205" s="29"/>
      <c r="O2205" s="29"/>
      <c r="P2205" s="30">
        <f t="shared" si="1928"/>
        <v>0</v>
      </c>
      <c r="Q2205" s="31">
        <f t="shared" si="1926"/>
        <v>0</v>
      </c>
    </row>
    <row r="2206" spans="1:17" x14ac:dyDescent="0.2">
      <c r="A2206" s="10"/>
      <c r="B2206" s="26"/>
      <c r="C2206" s="11">
        <v>2009</v>
      </c>
      <c r="D2206" s="32">
        <f>SPFI_CLB14!$D$32</f>
        <v>0.52383000000000002</v>
      </c>
      <c r="E2206" s="32"/>
      <c r="F2206" s="32"/>
      <c r="G2206" s="32"/>
      <c r="H2206" s="32"/>
      <c r="I2206" s="32"/>
      <c r="J2206" s="28">
        <f t="shared" ref="J2206" si="1931">D2206*J$70</f>
        <v>0</v>
      </c>
      <c r="K2206" s="29"/>
      <c r="L2206" s="29"/>
      <c r="M2206" s="29"/>
      <c r="N2206" s="29"/>
      <c r="O2206" s="29"/>
      <c r="P2206" s="30">
        <f t="shared" si="1928"/>
        <v>0</v>
      </c>
      <c r="Q2206" s="31">
        <f t="shared" si="1926"/>
        <v>0</v>
      </c>
    </row>
    <row r="2207" spans="1:17" x14ac:dyDescent="0.2">
      <c r="A2207" s="10"/>
      <c r="B2207" s="26"/>
      <c r="C2207" s="11">
        <v>2010</v>
      </c>
      <c r="D2207" s="32">
        <f>SPFI_CLB14!$D$33</f>
        <v>0.31394</v>
      </c>
      <c r="E2207" s="32"/>
      <c r="F2207" s="32"/>
      <c r="G2207" s="32"/>
      <c r="H2207" s="32"/>
      <c r="I2207" s="32"/>
      <c r="J2207" s="28">
        <f t="shared" ref="J2207" si="1932">D2207*J$70</f>
        <v>0</v>
      </c>
      <c r="K2207" s="29"/>
      <c r="L2207" s="29"/>
      <c r="M2207" s="29"/>
      <c r="N2207" s="29"/>
      <c r="O2207" s="29"/>
      <c r="P2207" s="30">
        <f t="shared" si="1928"/>
        <v>0</v>
      </c>
      <c r="Q2207" s="31">
        <f t="shared" si="1926"/>
        <v>0</v>
      </c>
    </row>
    <row r="2208" spans="1:17" x14ac:dyDescent="0.2">
      <c r="A2208" s="10"/>
      <c r="B2208" s="26"/>
      <c r="C2208" s="11">
        <v>2011</v>
      </c>
      <c r="D2208" s="32">
        <f>SPFI_CLB14!$D$34</f>
        <v>0.294348</v>
      </c>
      <c r="E2208" s="32"/>
      <c r="F2208" s="32"/>
      <c r="G2208" s="32"/>
      <c r="H2208" s="32"/>
      <c r="I2208" s="32"/>
      <c r="J2208" s="28">
        <f t="shared" ref="J2208" si="1933">D2208*J$70</f>
        <v>0</v>
      </c>
      <c r="K2208" s="29"/>
      <c r="L2208" s="29"/>
      <c r="M2208" s="29"/>
      <c r="N2208" s="29"/>
      <c r="O2208" s="29"/>
      <c r="P2208" s="30">
        <f t="shared" ref="P2208" si="1934">SUM(J2208:O2208)</f>
        <v>0</v>
      </c>
      <c r="Q2208" s="31">
        <f t="shared" ref="Q2208" si="1935">IF(C$70&gt;0,P2208/C$70,0)</f>
        <v>0</v>
      </c>
    </row>
    <row r="2209" spans="1:17" x14ac:dyDescent="0.2">
      <c r="A2209" s="10"/>
      <c r="B2209" s="26"/>
      <c r="C2209" s="11">
        <v>2012</v>
      </c>
      <c r="D2209" s="32">
        <f>SPFI_CLB14!$D$35</f>
        <v>0.34784100000000001</v>
      </c>
      <c r="E2209" s="32"/>
      <c r="F2209" s="32"/>
      <c r="G2209" s="32"/>
      <c r="H2209" s="32"/>
      <c r="I2209" s="32"/>
      <c r="J2209" s="28">
        <f t="shared" ref="J2209" si="1936">D2209*J$70</f>
        <v>0</v>
      </c>
      <c r="K2209" s="29"/>
      <c r="L2209" s="29"/>
      <c r="M2209" s="29"/>
      <c r="N2209" s="29"/>
      <c r="O2209" s="29"/>
      <c r="P2209" s="30">
        <f t="shared" ref="P2209" si="1937">SUM(J2209:O2209)</f>
        <v>0</v>
      </c>
      <c r="Q2209" s="31">
        <f t="shared" ref="Q2209" si="1938">IF(C$70&gt;0,P2209/C$70,0)</f>
        <v>0</v>
      </c>
    </row>
    <row r="2210" spans="1:17" x14ac:dyDescent="0.2">
      <c r="A2210" s="5" t="s">
        <v>22</v>
      </c>
      <c r="B2210" s="21">
        <v>5</v>
      </c>
      <c r="C2210" s="6">
        <v>1982</v>
      </c>
      <c r="D2210" s="27">
        <f>SPFI_CLB14!$D$5</f>
        <v>0.98153299999999999</v>
      </c>
      <c r="E2210" s="27"/>
      <c r="F2210" s="27"/>
      <c r="G2210" s="27"/>
      <c r="H2210" s="27"/>
      <c r="I2210" s="27"/>
      <c r="J2210" s="33">
        <f t="shared" ref="J2210:J2222" si="1939">D2210*J$71</f>
        <v>0</v>
      </c>
      <c r="K2210" s="27"/>
      <c r="L2210" s="27"/>
      <c r="M2210" s="27"/>
      <c r="N2210" s="27"/>
      <c r="O2210" s="27"/>
      <c r="P2210" s="34">
        <f t="shared" si="1928"/>
        <v>0</v>
      </c>
      <c r="Q2210" s="35">
        <f t="shared" ref="Q2210:Q2226" si="1940">IF(C$71&gt;0,P2210/C$71,0)</f>
        <v>0</v>
      </c>
    </row>
    <row r="2211" spans="1:17" x14ac:dyDescent="0.2">
      <c r="A2211" s="10"/>
      <c r="B2211" s="26"/>
      <c r="C2211" s="11">
        <v>1983</v>
      </c>
      <c r="D2211" s="32">
        <f>SPFI_CLB14!$D$6</f>
        <v>0.93659899999999996</v>
      </c>
      <c r="E2211" s="32"/>
      <c r="F2211" s="32"/>
      <c r="G2211" s="32"/>
      <c r="H2211" s="32"/>
      <c r="I2211" s="32"/>
      <c r="J2211" s="28">
        <f t="shared" si="1939"/>
        <v>0</v>
      </c>
      <c r="K2211" s="29"/>
      <c r="L2211" s="29"/>
      <c r="M2211" s="29"/>
      <c r="N2211" s="29"/>
      <c r="O2211" s="29"/>
      <c r="P2211" s="30">
        <f t="shared" ref="P2211:P2222" si="1941">SUM(J2211:O2211)</f>
        <v>0</v>
      </c>
      <c r="Q2211" s="31">
        <f t="shared" si="1940"/>
        <v>0</v>
      </c>
    </row>
    <row r="2212" spans="1:17" x14ac:dyDescent="0.2">
      <c r="A2212" s="10"/>
      <c r="B2212" s="26"/>
      <c r="C2212" s="11">
        <v>1984</v>
      </c>
      <c r="D2212" s="32">
        <f>SPFI_CLB14!$D$7</f>
        <v>0.92793599999999998</v>
      </c>
      <c r="E2212" s="32"/>
      <c r="F2212" s="32"/>
      <c r="G2212" s="32"/>
      <c r="H2212" s="32"/>
      <c r="I2212" s="32"/>
      <c r="J2212" s="28">
        <f t="shared" si="1939"/>
        <v>0</v>
      </c>
      <c r="K2212" s="29"/>
      <c r="L2212" s="29"/>
      <c r="M2212" s="29"/>
      <c r="N2212" s="29"/>
      <c r="O2212" s="29"/>
      <c r="P2212" s="30">
        <f t="shared" si="1941"/>
        <v>0</v>
      </c>
      <c r="Q2212" s="31">
        <f t="shared" si="1940"/>
        <v>0</v>
      </c>
    </row>
    <row r="2213" spans="1:17" x14ac:dyDescent="0.2">
      <c r="A2213" s="10"/>
      <c r="B2213" s="26"/>
      <c r="C2213" s="11">
        <v>1985</v>
      </c>
      <c r="D2213" s="32">
        <f>SPFI_CLB14!$D$8</f>
        <v>0.90386500000000003</v>
      </c>
      <c r="E2213" s="32"/>
      <c r="F2213" s="32"/>
      <c r="G2213" s="32"/>
      <c r="H2213" s="32"/>
      <c r="I2213" s="32"/>
      <c r="J2213" s="28">
        <f t="shared" si="1939"/>
        <v>0</v>
      </c>
      <c r="K2213" s="29"/>
      <c r="L2213" s="29"/>
      <c r="M2213" s="29"/>
      <c r="N2213" s="29"/>
      <c r="O2213" s="29"/>
      <c r="P2213" s="30">
        <f t="shared" si="1941"/>
        <v>0</v>
      </c>
      <c r="Q2213" s="31">
        <f t="shared" si="1940"/>
        <v>0</v>
      </c>
    </row>
    <row r="2214" spans="1:17" x14ac:dyDescent="0.2">
      <c r="A2214" s="10"/>
      <c r="B2214" s="26"/>
      <c r="C2214" s="11">
        <v>1986</v>
      </c>
      <c r="D2214" s="32">
        <f>SPFI_CLB14!$D$9</f>
        <v>0.73087500000000005</v>
      </c>
      <c r="E2214" s="32"/>
      <c r="F2214" s="32"/>
      <c r="G2214" s="32"/>
      <c r="H2214" s="32"/>
      <c r="I2214" s="32"/>
      <c r="J2214" s="28">
        <f t="shared" si="1939"/>
        <v>0</v>
      </c>
      <c r="K2214" s="29"/>
      <c r="L2214" s="29"/>
      <c r="M2214" s="29"/>
      <c r="N2214" s="29"/>
      <c r="O2214" s="29"/>
      <c r="P2214" s="30">
        <f t="shared" si="1941"/>
        <v>0</v>
      </c>
      <c r="Q2214" s="31">
        <f t="shared" si="1940"/>
        <v>0</v>
      </c>
    </row>
    <row r="2215" spans="1:17" x14ac:dyDescent="0.2">
      <c r="A2215" s="10"/>
      <c r="B2215" s="26"/>
      <c r="C2215" s="11">
        <v>1987</v>
      </c>
      <c r="D2215" s="32">
        <f>SPFI_CLB14!$D$10</f>
        <v>0.71733499999999994</v>
      </c>
      <c r="E2215" s="32"/>
      <c r="F2215" s="32"/>
      <c r="G2215" s="32"/>
      <c r="H2215" s="32"/>
      <c r="I2215" s="32"/>
      <c r="J2215" s="28">
        <f t="shared" si="1939"/>
        <v>0</v>
      </c>
      <c r="K2215" s="29"/>
      <c r="L2215" s="29"/>
      <c r="M2215" s="29"/>
      <c r="N2215" s="29"/>
      <c r="O2215" s="29"/>
      <c r="P2215" s="30">
        <f t="shared" si="1941"/>
        <v>0</v>
      </c>
      <c r="Q2215" s="31">
        <f t="shared" si="1940"/>
        <v>0</v>
      </c>
    </row>
    <row r="2216" spans="1:17" x14ac:dyDescent="0.2">
      <c r="A2216" s="10"/>
      <c r="B2216" s="26"/>
      <c r="C2216" s="11">
        <v>1988</v>
      </c>
      <c r="D2216" s="32">
        <f>SPFI_CLB14!$D$11</f>
        <v>0.64558800000000005</v>
      </c>
      <c r="E2216" s="32"/>
      <c r="F2216" s="32"/>
      <c r="G2216" s="32"/>
      <c r="H2216" s="32"/>
      <c r="I2216" s="32"/>
      <c r="J2216" s="28">
        <f t="shared" si="1939"/>
        <v>0</v>
      </c>
      <c r="K2216" s="29"/>
      <c r="L2216" s="29"/>
      <c r="M2216" s="29"/>
      <c r="N2216" s="29"/>
      <c r="O2216" s="29"/>
      <c r="P2216" s="30">
        <f t="shared" si="1941"/>
        <v>0</v>
      </c>
      <c r="Q2216" s="31">
        <f t="shared" si="1940"/>
        <v>0</v>
      </c>
    </row>
    <row r="2217" spans="1:17" x14ac:dyDescent="0.2">
      <c r="A2217" s="10"/>
      <c r="B2217" s="26"/>
      <c r="C2217" s="11">
        <v>1989</v>
      </c>
      <c r="D2217" s="32">
        <f>SPFI_CLB14!$D$12</f>
        <v>0.65287700000000004</v>
      </c>
      <c r="E2217" s="32"/>
      <c r="F2217" s="32"/>
      <c r="G2217" s="32"/>
      <c r="H2217" s="32"/>
      <c r="I2217" s="32"/>
      <c r="J2217" s="28">
        <f t="shared" si="1939"/>
        <v>0</v>
      </c>
      <c r="K2217" s="29"/>
      <c r="L2217" s="29"/>
      <c r="M2217" s="29"/>
      <c r="N2217" s="29"/>
      <c r="O2217" s="29"/>
      <c r="P2217" s="30">
        <f t="shared" si="1941"/>
        <v>0</v>
      </c>
      <c r="Q2217" s="31">
        <f t="shared" si="1940"/>
        <v>0</v>
      </c>
    </row>
    <row r="2218" spans="1:17" x14ac:dyDescent="0.2">
      <c r="A2218" s="10"/>
      <c r="B2218" s="26"/>
      <c r="C2218" s="11">
        <v>1990</v>
      </c>
      <c r="D2218" s="32">
        <f>SPFI_CLB14!$D$13</f>
        <v>0.56965100000000002</v>
      </c>
      <c r="E2218" s="32"/>
      <c r="F2218" s="32"/>
      <c r="G2218" s="32"/>
      <c r="H2218" s="32"/>
      <c r="I2218" s="32"/>
      <c r="J2218" s="28">
        <f t="shared" si="1939"/>
        <v>0</v>
      </c>
      <c r="K2218" s="29"/>
      <c r="L2218" s="29"/>
      <c r="M2218" s="29"/>
      <c r="N2218" s="29"/>
      <c r="O2218" s="29"/>
      <c r="P2218" s="30">
        <f t="shared" si="1941"/>
        <v>0</v>
      </c>
      <c r="Q2218" s="31">
        <f t="shared" si="1940"/>
        <v>0</v>
      </c>
    </row>
    <row r="2219" spans="1:17" x14ac:dyDescent="0.2">
      <c r="A2219" s="10"/>
      <c r="B2219" s="26"/>
      <c r="C2219" s="11">
        <v>1991</v>
      </c>
      <c r="D2219" s="32">
        <f>SPFI_CLB14!$D$14</f>
        <v>0.62776900000000002</v>
      </c>
      <c r="E2219" s="32"/>
      <c r="F2219" s="32"/>
      <c r="G2219" s="32"/>
      <c r="H2219" s="32"/>
      <c r="I2219" s="32"/>
      <c r="J2219" s="28">
        <f t="shared" si="1939"/>
        <v>0</v>
      </c>
      <c r="K2219" s="29"/>
      <c r="L2219" s="29"/>
      <c r="M2219" s="29"/>
      <c r="N2219" s="29"/>
      <c r="O2219" s="29"/>
      <c r="P2219" s="30">
        <f t="shared" si="1941"/>
        <v>0</v>
      </c>
      <c r="Q2219" s="31">
        <f t="shared" si="1940"/>
        <v>0</v>
      </c>
    </row>
    <row r="2220" spans="1:17" x14ac:dyDescent="0.2">
      <c r="A2220" s="10"/>
      <c r="B2220" s="26"/>
      <c r="C2220" s="11">
        <v>1992</v>
      </c>
      <c r="D2220" s="32">
        <f>SPFI_CLB14!$D$15</f>
        <v>0.43504100000000001</v>
      </c>
      <c r="E2220" s="32"/>
      <c r="F2220" s="32"/>
      <c r="G2220" s="32"/>
      <c r="H2220" s="32"/>
      <c r="I2220" s="32"/>
      <c r="J2220" s="28">
        <f t="shared" si="1939"/>
        <v>0</v>
      </c>
      <c r="K2220" s="29"/>
      <c r="L2220" s="29"/>
      <c r="M2220" s="29"/>
      <c r="N2220" s="29"/>
      <c r="O2220" s="29"/>
      <c r="P2220" s="30">
        <f t="shared" si="1941"/>
        <v>0</v>
      </c>
      <c r="Q2220" s="31">
        <f t="shared" si="1940"/>
        <v>0</v>
      </c>
    </row>
    <row r="2221" spans="1:17" x14ac:dyDescent="0.2">
      <c r="A2221" s="10"/>
      <c r="B2221" s="26"/>
      <c r="C2221" s="11">
        <v>1993</v>
      </c>
      <c r="D2221" s="32">
        <f>SPFI_CLB14!$D$16</f>
        <v>0.499164</v>
      </c>
      <c r="E2221" s="32"/>
      <c r="F2221" s="32"/>
      <c r="G2221" s="32"/>
      <c r="H2221" s="32"/>
      <c r="I2221" s="32"/>
      <c r="J2221" s="28">
        <f t="shared" si="1939"/>
        <v>0</v>
      </c>
      <c r="K2221" s="29"/>
      <c r="L2221" s="29"/>
      <c r="M2221" s="29"/>
      <c r="N2221" s="29"/>
      <c r="O2221" s="29"/>
      <c r="P2221" s="30">
        <f t="shared" si="1941"/>
        <v>0</v>
      </c>
      <c r="Q2221" s="31">
        <f t="shared" si="1940"/>
        <v>0</v>
      </c>
    </row>
    <row r="2222" spans="1:17" x14ac:dyDescent="0.2">
      <c r="A2222" s="10"/>
      <c r="B2222" s="26" t="s">
        <v>48</v>
      </c>
      <c r="C2222" s="11">
        <v>1994</v>
      </c>
      <c r="D2222" s="32">
        <f>SPFI_CLB14!$D$17</f>
        <v>0.59591300000000003</v>
      </c>
      <c r="E2222" s="32"/>
      <c r="F2222" s="32"/>
      <c r="G2222" s="32"/>
      <c r="H2222" s="32"/>
      <c r="I2222" s="32"/>
      <c r="J2222" s="28">
        <f t="shared" si="1939"/>
        <v>0</v>
      </c>
      <c r="K2222" s="29"/>
      <c r="L2222" s="29"/>
      <c r="M2222" s="29"/>
      <c r="N2222" s="29"/>
      <c r="O2222" s="29"/>
      <c r="P2222" s="30">
        <f t="shared" si="1941"/>
        <v>0</v>
      </c>
      <c r="Q2222" s="31">
        <f t="shared" si="1940"/>
        <v>0</v>
      </c>
    </row>
    <row r="2223" spans="1:17" x14ac:dyDescent="0.2">
      <c r="A2223" s="10"/>
      <c r="B2223" s="26"/>
      <c r="C2223" s="11">
        <v>1995</v>
      </c>
      <c r="D2223" s="32">
        <f>SPFI_CLB14!$D$18</f>
        <v>0.25400800000000001</v>
      </c>
      <c r="E2223" s="32"/>
      <c r="F2223" s="32"/>
      <c r="G2223" s="32"/>
      <c r="H2223" s="32"/>
      <c r="I2223" s="32"/>
      <c r="J2223" s="28">
        <f t="shared" ref="J2223" si="1942">D2223*J$71</f>
        <v>0</v>
      </c>
      <c r="K2223" s="29"/>
      <c r="L2223" s="29"/>
      <c r="M2223" s="29"/>
      <c r="N2223" s="29"/>
      <c r="O2223" s="29"/>
      <c r="P2223" s="30">
        <f>SUM(J2223:O2223)</f>
        <v>0</v>
      </c>
      <c r="Q2223" s="31">
        <f t="shared" si="1940"/>
        <v>0</v>
      </c>
    </row>
    <row r="2224" spans="1:17" x14ac:dyDescent="0.2">
      <c r="A2224" s="10"/>
      <c r="B2224" s="26"/>
      <c r="C2224" s="11">
        <v>1996</v>
      </c>
      <c r="D2224" s="32">
        <f>SPFI_CLB14!$D$19</f>
        <v>0</v>
      </c>
      <c r="E2224" s="32"/>
      <c r="F2224" s="32"/>
      <c r="G2224" s="32"/>
      <c r="H2224" s="32"/>
      <c r="I2224" s="32"/>
      <c r="J2224" s="28">
        <f t="shared" ref="J2224" si="1943">D2224*J$71</f>
        <v>0</v>
      </c>
      <c r="K2224" s="29"/>
      <c r="L2224" s="29"/>
      <c r="M2224" s="29"/>
      <c r="N2224" s="29"/>
      <c r="O2224" s="29"/>
      <c r="P2224" s="30">
        <f>SUM(J2224:O2224)</f>
        <v>0</v>
      </c>
      <c r="Q2224" s="31">
        <f t="shared" si="1940"/>
        <v>0</v>
      </c>
    </row>
    <row r="2225" spans="1:17" x14ac:dyDescent="0.2">
      <c r="A2225" s="10"/>
      <c r="B2225" s="26"/>
      <c r="C2225" s="11">
        <v>1997</v>
      </c>
      <c r="D2225" s="32">
        <f>SPFI_CLB14!$D$20</f>
        <v>0.201487</v>
      </c>
      <c r="E2225" s="32"/>
      <c r="F2225" s="32"/>
      <c r="G2225" s="32"/>
      <c r="H2225" s="32"/>
      <c r="I2225" s="32"/>
      <c r="J2225" s="28">
        <f t="shared" ref="J2225" si="1944">D2225*J$71</f>
        <v>0</v>
      </c>
      <c r="K2225" s="29"/>
      <c r="L2225" s="29"/>
      <c r="M2225" s="29"/>
      <c r="N2225" s="29"/>
      <c r="O2225" s="29"/>
      <c r="P2225" s="30">
        <f>SUM(J2225:O2225)</f>
        <v>0</v>
      </c>
      <c r="Q2225" s="31">
        <f t="shared" si="1940"/>
        <v>0</v>
      </c>
    </row>
    <row r="2226" spans="1:17" x14ac:dyDescent="0.2">
      <c r="A2226" s="10"/>
      <c r="B2226" s="26"/>
      <c r="C2226" s="11">
        <v>1998</v>
      </c>
      <c r="D2226" s="32">
        <f>SPFI_CLB14!$D$21</f>
        <v>0.37506400000000001</v>
      </c>
      <c r="E2226" s="32"/>
      <c r="F2226" s="32"/>
      <c r="G2226" s="32"/>
      <c r="H2226" s="32"/>
      <c r="I2226" s="32"/>
      <c r="J2226" s="28">
        <f t="shared" ref="J2226" si="1945">D2226*J$71</f>
        <v>0</v>
      </c>
      <c r="K2226" s="29"/>
      <c r="L2226" s="29"/>
      <c r="M2226" s="29"/>
      <c r="N2226" s="29"/>
      <c r="O2226" s="29"/>
      <c r="P2226" s="30">
        <f>SUM(J2226:O2226)</f>
        <v>0</v>
      </c>
      <c r="Q2226" s="31">
        <f t="shared" si="1940"/>
        <v>0</v>
      </c>
    </row>
    <row r="2227" spans="1:17" x14ac:dyDescent="0.2">
      <c r="A2227" s="10"/>
      <c r="B2227" s="26"/>
      <c r="C2227" s="11">
        <v>1999</v>
      </c>
      <c r="D2227" s="32">
        <f>SPFI_CLB14!$D$22</f>
        <v>0.29823699999999997</v>
      </c>
      <c r="E2227" s="32"/>
      <c r="F2227" s="32"/>
      <c r="G2227" s="32"/>
      <c r="H2227" s="32"/>
      <c r="I2227" s="32"/>
      <c r="J2227" s="28">
        <f t="shared" ref="J2227" si="1946">D2227*J$71</f>
        <v>0</v>
      </c>
      <c r="K2227" s="29"/>
      <c r="L2227" s="29"/>
      <c r="M2227" s="29"/>
      <c r="N2227" s="29"/>
      <c r="O2227" s="29"/>
      <c r="P2227" s="30">
        <f>SUM(J2227:O2227)</f>
        <v>0</v>
      </c>
      <c r="Q2227" s="31">
        <f t="shared" ref="Q2227:Q2232" si="1947">IF(C$71&gt;0,P2227/C$71,0)</f>
        <v>0</v>
      </c>
    </row>
    <row r="2228" spans="1:17" x14ac:dyDescent="0.2">
      <c r="A2228" s="10"/>
      <c r="B2228" s="26"/>
      <c r="C2228" s="11">
        <v>2000</v>
      </c>
      <c r="D2228" s="32">
        <f>SPFI_CLB14!$D$23</f>
        <v>8.4414000000000003E-2</v>
      </c>
      <c r="E2228" s="32"/>
      <c r="F2228" s="32"/>
      <c r="G2228" s="32"/>
      <c r="H2228" s="32"/>
      <c r="I2228" s="32"/>
      <c r="J2228" s="28">
        <f t="shared" ref="J2228" si="1948">D2228*J$71</f>
        <v>0</v>
      </c>
      <c r="K2228" s="29"/>
      <c r="L2228" s="29"/>
      <c r="M2228" s="29"/>
      <c r="N2228" s="29"/>
      <c r="O2228" s="29"/>
      <c r="P2228" s="30">
        <f t="shared" ref="P2228:P2233" si="1949">SUM(J2228:O2228)</f>
        <v>0</v>
      </c>
      <c r="Q2228" s="31">
        <f t="shared" si="1947"/>
        <v>0</v>
      </c>
    </row>
    <row r="2229" spans="1:17" x14ac:dyDescent="0.2">
      <c r="A2229" s="10"/>
      <c r="B2229" s="26"/>
      <c r="C2229" s="11">
        <v>2001</v>
      </c>
      <c r="D2229" s="32">
        <f>SPFI_CLB14!$D$24</f>
        <v>7.8909000000000007E-2</v>
      </c>
      <c r="E2229" s="32"/>
      <c r="F2229" s="32"/>
      <c r="G2229" s="32"/>
      <c r="H2229" s="32"/>
      <c r="I2229" s="32"/>
      <c r="J2229" s="28">
        <f t="shared" ref="J2229" si="1950">D2229*J$71</f>
        <v>0</v>
      </c>
      <c r="K2229" s="29"/>
      <c r="L2229" s="29"/>
      <c r="M2229" s="29"/>
      <c r="N2229" s="29"/>
      <c r="O2229" s="29"/>
      <c r="P2229" s="30">
        <f t="shared" si="1949"/>
        <v>0</v>
      </c>
      <c r="Q2229" s="31">
        <f t="shared" si="1947"/>
        <v>0</v>
      </c>
    </row>
    <row r="2230" spans="1:17" x14ac:dyDescent="0.2">
      <c r="A2230" s="10"/>
      <c r="B2230" s="26"/>
      <c r="C2230" s="11">
        <v>2002</v>
      </c>
      <c r="D2230" s="32">
        <f>SPFI_CLB14!$D$25</f>
        <v>0.29974699999999999</v>
      </c>
      <c r="E2230" s="32"/>
      <c r="F2230" s="32"/>
      <c r="G2230" s="32"/>
      <c r="H2230" s="32"/>
      <c r="I2230" s="32"/>
      <c r="J2230" s="28">
        <f t="shared" ref="J2230" si="1951">D2230*J$71</f>
        <v>0</v>
      </c>
      <c r="K2230" s="29"/>
      <c r="L2230" s="29"/>
      <c r="M2230" s="29"/>
      <c r="N2230" s="29"/>
      <c r="O2230" s="29"/>
      <c r="P2230" s="30">
        <f t="shared" si="1949"/>
        <v>0</v>
      </c>
      <c r="Q2230" s="31">
        <f t="shared" si="1947"/>
        <v>0</v>
      </c>
    </row>
    <row r="2231" spans="1:17" x14ac:dyDescent="0.2">
      <c r="A2231" s="10"/>
      <c r="B2231" s="26"/>
      <c r="C2231" s="11">
        <v>2003</v>
      </c>
      <c r="D2231" s="32">
        <f>SPFI_CLB14!$D$26</f>
        <v>0.20691100000000001</v>
      </c>
      <c r="E2231" s="32"/>
      <c r="F2231" s="32"/>
      <c r="G2231" s="32"/>
      <c r="H2231" s="32"/>
      <c r="I2231" s="32"/>
      <c r="J2231" s="28">
        <f t="shared" ref="J2231" si="1952">D2231*J$71</f>
        <v>0</v>
      </c>
      <c r="K2231" s="29"/>
      <c r="L2231" s="29"/>
      <c r="M2231" s="29"/>
      <c r="N2231" s="29"/>
      <c r="O2231" s="29"/>
      <c r="P2231" s="30">
        <f t="shared" si="1949"/>
        <v>0</v>
      </c>
      <c r="Q2231" s="31">
        <f t="shared" si="1947"/>
        <v>0</v>
      </c>
    </row>
    <row r="2232" spans="1:17" x14ac:dyDescent="0.2">
      <c r="A2232" s="10"/>
      <c r="B2232" s="26"/>
      <c r="C2232" s="11">
        <v>2004</v>
      </c>
      <c r="D2232" s="32">
        <f>SPFI_CLB14!$D$27</f>
        <v>0.269237</v>
      </c>
      <c r="E2232" s="32"/>
      <c r="F2232" s="32"/>
      <c r="G2232" s="32"/>
      <c r="H2232" s="32"/>
      <c r="I2232" s="32"/>
      <c r="J2232" s="28">
        <f t="shared" ref="J2232" si="1953">D2232*J$71</f>
        <v>0</v>
      </c>
      <c r="K2232" s="29"/>
      <c r="L2232" s="29"/>
      <c r="M2232" s="29"/>
      <c r="N2232" s="29"/>
      <c r="O2232" s="29"/>
      <c r="P2232" s="30">
        <f t="shared" si="1949"/>
        <v>0</v>
      </c>
      <c r="Q2232" s="31">
        <f t="shared" si="1947"/>
        <v>0</v>
      </c>
    </row>
    <row r="2233" spans="1:17" x14ac:dyDescent="0.2">
      <c r="A2233" s="10"/>
      <c r="B2233" s="26"/>
      <c r="C2233" s="11">
        <v>2005</v>
      </c>
      <c r="D2233" s="32">
        <f>SPFI_CLB14!$D$28</f>
        <v>0.37848700000000002</v>
      </c>
      <c r="E2233" s="32"/>
      <c r="F2233" s="32"/>
      <c r="G2233" s="32"/>
      <c r="H2233" s="32"/>
      <c r="I2233" s="32"/>
      <c r="J2233" s="28">
        <f t="shared" ref="J2233" si="1954">D2233*J$71</f>
        <v>0</v>
      </c>
      <c r="K2233" s="29"/>
      <c r="L2233" s="29"/>
      <c r="M2233" s="29"/>
      <c r="N2233" s="29"/>
      <c r="O2233" s="29"/>
      <c r="P2233" s="30">
        <f t="shared" si="1949"/>
        <v>0</v>
      </c>
      <c r="Q2233" s="31">
        <f t="shared" ref="Q2233:Q2238" si="1955">IF(C$71&gt;0,P2233/C$71,0)</f>
        <v>0</v>
      </c>
    </row>
    <row r="2234" spans="1:17" x14ac:dyDescent="0.2">
      <c r="A2234" s="10"/>
      <c r="B2234" s="26"/>
      <c r="C2234" s="11">
        <v>2006</v>
      </c>
      <c r="D2234" s="32">
        <f>SPFI_CLB14!$D$29</f>
        <v>0.381023</v>
      </c>
      <c r="E2234" s="32"/>
      <c r="F2234" s="32"/>
      <c r="G2234" s="32"/>
      <c r="H2234" s="32"/>
      <c r="I2234" s="32"/>
      <c r="J2234" s="28">
        <f t="shared" ref="J2234" si="1956">D2234*J$71</f>
        <v>0</v>
      </c>
      <c r="K2234" s="29"/>
      <c r="L2234" s="29"/>
      <c r="M2234" s="29"/>
      <c r="N2234" s="29"/>
      <c r="O2234" s="29"/>
      <c r="P2234" s="30">
        <f t="shared" ref="P2234:P2241" si="1957">SUM(J2234:O2234)</f>
        <v>0</v>
      </c>
      <c r="Q2234" s="31">
        <f t="shared" si="1955"/>
        <v>0</v>
      </c>
    </row>
    <row r="2235" spans="1:17" x14ac:dyDescent="0.2">
      <c r="A2235" s="10"/>
      <c r="B2235" s="26"/>
      <c r="C2235" s="11">
        <v>2007</v>
      </c>
      <c r="D2235" s="32">
        <f>SPFI_CLB14!$D$30</f>
        <v>0.356512</v>
      </c>
      <c r="E2235" s="32"/>
      <c r="F2235" s="32"/>
      <c r="G2235" s="32"/>
      <c r="H2235" s="32"/>
      <c r="I2235" s="32"/>
      <c r="J2235" s="28">
        <f t="shared" ref="J2235" si="1958">D2235*J$71</f>
        <v>0</v>
      </c>
      <c r="K2235" s="29"/>
      <c r="L2235" s="29"/>
      <c r="M2235" s="29"/>
      <c r="N2235" s="29"/>
      <c r="O2235" s="29"/>
      <c r="P2235" s="30">
        <f t="shared" si="1957"/>
        <v>0</v>
      </c>
      <c r="Q2235" s="31">
        <f t="shared" si="1955"/>
        <v>0</v>
      </c>
    </row>
    <row r="2236" spans="1:17" x14ac:dyDescent="0.2">
      <c r="A2236" s="10"/>
      <c r="B2236" s="26"/>
      <c r="C2236" s="11">
        <v>2008</v>
      </c>
      <c r="D2236" s="32">
        <f>SPFI_CLB14!$D$31</f>
        <v>0.25494499999999998</v>
      </c>
      <c r="E2236" s="32"/>
      <c r="F2236" s="32"/>
      <c r="G2236" s="32"/>
      <c r="H2236" s="32"/>
      <c r="I2236" s="32"/>
      <c r="J2236" s="28">
        <f t="shared" ref="J2236" si="1959">D2236*J$71</f>
        <v>0</v>
      </c>
      <c r="K2236" s="29"/>
      <c r="L2236" s="29"/>
      <c r="M2236" s="29"/>
      <c r="N2236" s="29"/>
      <c r="O2236" s="29"/>
      <c r="P2236" s="30">
        <f t="shared" si="1957"/>
        <v>0</v>
      </c>
      <c r="Q2236" s="31">
        <f t="shared" si="1955"/>
        <v>0</v>
      </c>
    </row>
    <row r="2237" spans="1:17" x14ac:dyDescent="0.2">
      <c r="A2237" s="10"/>
      <c r="B2237" s="26"/>
      <c r="C2237" s="11">
        <v>2009</v>
      </c>
      <c r="D2237" s="32">
        <f>SPFI_CLB14!$D$32</f>
        <v>0.52383000000000002</v>
      </c>
      <c r="E2237" s="32"/>
      <c r="F2237" s="32"/>
      <c r="G2237" s="32"/>
      <c r="H2237" s="32"/>
      <c r="I2237" s="32"/>
      <c r="J2237" s="28">
        <f t="shared" ref="J2237" si="1960">D2237*J$71</f>
        <v>0</v>
      </c>
      <c r="K2237" s="29"/>
      <c r="L2237" s="29"/>
      <c r="M2237" s="29"/>
      <c r="N2237" s="29"/>
      <c r="O2237" s="29"/>
      <c r="P2237" s="30">
        <f t="shared" si="1957"/>
        <v>0</v>
      </c>
      <c r="Q2237" s="31">
        <f t="shared" si="1955"/>
        <v>0</v>
      </c>
    </row>
    <row r="2238" spans="1:17" x14ac:dyDescent="0.2">
      <c r="A2238" s="10"/>
      <c r="B2238" s="26"/>
      <c r="C2238" s="11">
        <v>2010</v>
      </c>
      <c r="D2238" s="32">
        <f>SPFI_CLB14!$D$33</f>
        <v>0.31394</v>
      </c>
      <c r="E2238" s="32"/>
      <c r="F2238" s="32"/>
      <c r="G2238" s="32"/>
      <c r="H2238" s="32"/>
      <c r="I2238" s="32"/>
      <c r="J2238" s="28">
        <f t="shared" ref="J2238" si="1961">D2238*J$71</f>
        <v>0</v>
      </c>
      <c r="K2238" s="29"/>
      <c r="L2238" s="29"/>
      <c r="M2238" s="29"/>
      <c r="N2238" s="29"/>
      <c r="O2238" s="29"/>
      <c r="P2238" s="30">
        <f t="shared" si="1957"/>
        <v>0</v>
      </c>
      <c r="Q2238" s="31">
        <f t="shared" si="1955"/>
        <v>0</v>
      </c>
    </row>
    <row r="2239" spans="1:17" x14ac:dyDescent="0.2">
      <c r="A2239" s="10"/>
      <c r="B2239" s="26"/>
      <c r="C2239" s="11">
        <v>2011</v>
      </c>
      <c r="D2239" s="32">
        <f>SPFI_CLB14!$D$34</f>
        <v>0.294348</v>
      </c>
      <c r="E2239" s="32"/>
      <c r="F2239" s="32"/>
      <c r="G2239" s="32"/>
      <c r="H2239" s="32"/>
      <c r="I2239" s="32"/>
      <c r="J2239" s="28">
        <f t="shared" ref="J2239" si="1962">D2239*J$71</f>
        <v>0</v>
      </c>
      <c r="K2239" s="29"/>
      <c r="L2239" s="29"/>
      <c r="M2239" s="29"/>
      <c r="N2239" s="29"/>
      <c r="O2239" s="29"/>
      <c r="P2239" s="30">
        <f t="shared" ref="P2239" si="1963">SUM(J2239:O2239)</f>
        <v>0</v>
      </c>
      <c r="Q2239" s="31">
        <f t="shared" ref="Q2239" si="1964">IF(C$71&gt;0,P2239/C$71,0)</f>
        <v>0</v>
      </c>
    </row>
    <row r="2240" spans="1:17" x14ac:dyDescent="0.2">
      <c r="A2240" s="10"/>
      <c r="B2240" s="26"/>
      <c r="C2240" s="11">
        <v>2012</v>
      </c>
      <c r="D2240" s="32">
        <f>SPFI_CLB14!$D$35</f>
        <v>0.34784100000000001</v>
      </c>
      <c r="E2240" s="32"/>
      <c r="F2240" s="32"/>
      <c r="G2240" s="32"/>
      <c r="H2240" s="32"/>
      <c r="I2240" s="32"/>
      <c r="J2240" s="28">
        <f t="shared" ref="J2240" si="1965">D2240*J$71</f>
        <v>0</v>
      </c>
      <c r="K2240" s="29"/>
      <c r="L2240" s="29"/>
      <c r="M2240" s="29"/>
      <c r="N2240" s="29"/>
      <c r="O2240" s="29"/>
      <c r="P2240" s="30">
        <f t="shared" ref="P2240" si="1966">SUM(J2240:O2240)</f>
        <v>0</v>
      </c>
      <c r="Q2240" s="31">
        <f t="shared" ref="Q2240" si="1967">IF(C$71&gt;0,P2240/C$71,0)</f>
        <v>0</v>
      </c>
    </row>
    <row r="2241" spans="1:17" x14ac:dyDescent="0.2">
      <c r="A2241" s="5" t="s">
        <v>23</v>
      </c>
      <c r="B2241" s="21">
        <v>2</v>
      </c>
      <c r="C2241" s="6">
        <v>1982</v>
      </c>
      <c r="D2241" s="27">
        <f>SPFI_CLB14!$D$5</f>
        <v>0.98153299999999999</v>
      </c>
      <c r="E2241" s="27"/>
      <c r="F2241" s="27"/>
      <c r="G2241" s="27"/>
      <c r="H2241" s="27"/>
      <c r="I2241" s="27"/>
      <c r="J2241" s="33">
        <f t="shared" ref="J2241:J2253" si="1968">D2241*J$72</f>
        <v>0</v>
      </c>
      <c r="K2241" s="27"/>
      <c r="L2241" s="27"/>
      <c r="M2241" s="27"/>
      <c r="N2241" s="27"/>
      <c r="O2241" s="27"/>
      <c r="P2241" s="34">
        <f t="shared" si="1957"/>
        <v>0</v>
      </c>
      <c r="Q2241" s="35">
        <f t="shared" ref="Q2241:Q2257" si="1969">IF(C$72&gt;0,P2241/C$72,0)</f>
        <v>0</v>
      </c>
    </row>
    <row r="2242" spans="1:17" x14ac:dyDescent="0.2">
      <c r="A2242" s="10"/>
      <c r="B2242" s="26"/>
      <c r="C2242" s="11">
        <v>1983</v>
      </c>
      <c r="D2242" s="32">
        <f>SPFI_CLB14!$D$6</f>
        <v>0.93659899999999996</v>
      </c>
      <c r="E2242" s="32"/>
      <c r="F2242" s="32"/>
      <c r="G2242" s="32"/>
      <c r="H2242" s="32"/>
      <c r="I2242" s="32"/>
      <c r="J2242" s="28">
        <f t="shared" si="1968"/>
        <v>0</v>
      </c>
      <c r="K2242" s="29"/>
      <c r="L2242" s="29"/>
      <c r="M2242" s="29"/>
      <c r="N2242" s="29"/>
      <c r="O2242" s="29"/>
      <c r="P2242" s="30">
        <f t="shared" ref="P2242:P2253" si="1970">SUM(J2242:O2242)</f>
        <v>0</v>
      </c>
      <c r="Q2242" s="31">
        <f t="shared" si="1969"/>
        <v>0</v>
      </c>
    </row>
    <row r="2243" spans="1:17" x14ac:dyDescent="0.2">
      <c r="A2243" s="10"/>
      <c r="B2243" s="26"/>
      <c r="C2243" s="11">
        <v>1984</v>
      </c>
      <c r="D2243" s="32">
        <f>SPFI_CLB14!$D$7</f>
        <v>0.92793599999999998</v>
      </c>
      <c r="E2243" s="32"/>
      <c r="F2243" s="32"/>
      <c r="G2243" s="32"/>
      <c r="H2243" s="32"/>
      <c r="I2243" s="32"/>
      <c r="J2243" s="28">
        <f t="shared" si="1968"/>
        <v>0</v>
      </c>
      <c r="K2243" s="29"/>
      <c r="L2243" s="29"/>
      <c r="M2243" s="29"/>
      <c r="N2243" s="29"/>
      <c r="O2243" s="29"/>
      <c r="P2243" s="30">
        <f t="shared" si="1970"/>
        <v>0</v>
      </c>
      <c r="Q2243" s="31">
        <f t="shared" si="1969"/>
        <v>0</v>
      </c>
    </row>
    <row r="2244" spans="1:17" x14ac:dyDescent="0.2">
      <c r="A2244" s="10"/>
      <c r="B2244" s="26"/>
      <c r="C2244" s="11">
        <v>1985</v>
      </c>
      <c r="D2244" s="32">
        <f>SPFI_CLB14!$D$8</f>
        <v>0.90386500000000003</v>
      </c>
      <c r="E2244" s="32"/>
      <c r="F2244" s="32"/>
      <c r="G2244" s="32"/>
      <c r="H2244" s="32"/>
      <c r="I2244" s="32"/>
      <c r="J2244" s="28">
        <f t="shared" si="1968"/>
        <v>0</v>
      </c>
      <c r="K2244" s="29"/>
      <c r="L2244" s="29"/>
      <c r="M2244" s="29"/>
      <c r="N2244" s="29"/>
      <c r="O2244" s="29"/>
      <c r="P2244" s="30">
        <f t="shared" si="1970"/>
        <v>0</v>
      </c>
      <c r="Q2244" s="31">
        <f t="shared" si="1969"/>
        <v>0</v>
      </c>
    </row>
    <row r="2245" spans="1:17" x14ac:dyDescent="0.2">
      <c r="A2245" s="10"/>
      <c r="B2245" s="26"/>
      <c r="C2245" s="11">
        <v>1986</v>
      </c>
      <c r="D2245" s="32">
        <f>SPFI_CLB14!$D$9</f>
        <v>0.73087500000000005</v>
      </c>
      <c r="E2245" s="32"/>
      <c r="F2245" s="32"/>
      <c r="G2245" s="32"/>
      <c r="H2245" s="32"/>
      <c r="I2245" s="32"/>
      <c r="J2245" s="28">
        <f t="shared" si="1968"/>
        <v>0</v>
      </c>
      <c r="K2245" s="29"/>
      <c r="L2245" s="29"/>
      <c r="M2245" s="29"/>
      <c r="N2245" s="29"/>
      <c r="O2245" s="29"/>
      <c r="P2245" s="30">
        <f t="shared" si="1970"/>
        <v>0</v>
      </c>
      <c r="Q2245" s="31">
        <f t="shared" si="1969"/>
        <v>0</v>
      </c>
    </row>
    <row r="2246" spans="1:17" x14ac:dyDescent="0.2">
      <c r="A2246" s="10"/>
      <c r="B2246" s="26"/>
      <c r="C2246" s="11">
        <v>1987</v>
      </c>
      <c r="D2246" s="32">
        <f>SPFI_CLB14!$D$10</f>
        <v>0.71733499999999994</v>
      </c>
      <c r="E2246" s="32"/>
      <c r="F2246" s="32"/>
      <c r="G2246" s="32"/>
      <c r="H2246" s="32"/>
      <c r="I2246" s="32"/>
      <c r="J2246" s="28">
        <f t="shared" si="1968"/>
        <v>0</v>
      </c>
      <c r="K2246" s="29"/>
      <c r="L2246" s="29"/>
      <c r="M2246" s="29"/>
      <c r="N2246" s="29"/>
      <c r="O2246" s="29"/>
      <c r="P2246" s="30">
        <f t="shared" si="1970"/>
        <v>0</v>
      </c>
      <c r="Q2246" s="31">
        <f t="shared" si="1969"/>
        <v>0</v>
      </c>
    </row>
    <row r="2247" spans="1:17" x14ac:dyDescent="0.2">
      <c r="A2247" s="10"/>
      <c r="B2247" s="26"/>
      <c r="C2247" s="11">
        <v>1988</v>
      </c>
      <c r="D2247" s="32">
        <f>SPFI_CLB14!$D$11</f>
        <v>0.64558800000000005</v>
      </c>
      <c r="E2247" s="32"/>
      <c r="F2247" s="32"/>
      <c r="G2247" s="32"/>
      <c r="H2247" s="32"/>
      <c r="I2247" s="32"/>
      <c r="J2247" s="28">
        <f t="shared" si="1968"/>
        <v>0</v>
      </c>
      <c r="K2247" s="29"/>
      <c r="L2247" s="29"/>
      <c r="M2247" s="29"/>
      <c r="N2247" s="29"/>
      <c r="O2247" s="29"/>
      <c r="P2247" s="30">
        <f t="shared" si="1970"/>
        <v>0</v>
      </c>
      <c r="Q2247" s="31">
        <f t="shared" si="1969"/>
        <v>0</v>
      </c>
    </row>
    <row r="2248" spans="1:17" x14ac:dyDescent="0.2">
      <c r="A2248" s="10"/>
      <c r="B2248" s="26"/>
      <c r="C2248" s="11">
        <v>1989</v>
      </c>
      <c r="D2248" s="32">
        <f>SPFI_CLB14!$D$12</f>
        <v>0.65287700000000004</v>
      </c>
      <c r="E2248" s="32"/>
      <c r="F2248" s="32"/>
      <c r="G2248" s="32"/>
      <c r="H2248" s="32"/>
      <c r="I2248" s="32"/>
      <c r="J2248" s="28">
        <f t="shared" si="1968"/>
        <v>0</v>
      </c>
      <c r="K2248" s="29"/>
      <c r="L2248" s="29"/>
      <c r="M2248" s="29"/>
      <c r="N2248" s="29"/>
      <c r="O2248" s="29"/>
      <c r="P2248" s="30">
        <f t="shared" si="1970"/>
        <v>0</v>
      </c>
      <c r="Q2248" s="31">
        <f t="shared" si="1969"/>
        <v>0</v>
      </c>
    </row>
    <row r="2249" spans="1:17" x14ac:dyDescent="0.2">
      <c r="A2249" s="10"/>
      <c r="B2249" s="26"/>
      <c r="C2249" s="11">
        <v>1990</v>
      </c>
      <c r="D2249" s="32">
        <f>SPFI_CLB14!$D$13</f>
        <v>0.56965100000000002</v>
      </c>
      <c r="E2249" s="32"/>
      <c r="F2249" s="32"/>
      <c r="G2249" s="32"/>
      <c r="H2249" s="32"/>
      <c r="I2249" s="32"/>
      <c r="J2249" s="28">
        <f t="shared" si="1968"/>
        <v>0</v>
      </c>
      <c r="K2249" s="29"/>
      <c r="L2249" s="29"/>
      <c r="M2249" s="29"/>
      <c r="N2249" s="29"/>
      <c r="O2249" s="29"/>
      <c r="P2249" s="30">
        <f t="shared" si="1970"/>
        <v>0</v>
      </c>
      <c r="Q2249" s="31">
        <f t="shared" si="1969"/>
        <v>0</v>
      </c>
    </row>
    <row r="2250" spans="1:17" x14ac:dyDescent="0.2">
      <c r="A2250" s="10"/>
      <c r="B2250" s="26"/>
      <c r="C2250" s="11">
        <v>1991</v>
      </c>
      <c r="D2250" s="32">
        <f>SPFI_CLB14!$D$14</f>
        <v>0.62776900000000002</v>
      </c>
      <c r="E2250" s="32"/>
      <c r="F2250" s="32"/>
      <c r="G2250" s="32"/>
      <c r="H2250" s="32"/>
      <c r="I2250" s="32"/>
      <c r="J2250" s="28">
        <f t="shared" si="1968"/>
        <v>0</v>
      </c>
      <c r="K2250" s="29"/>
      <c r="L2250" s="29"/>
      <c r="M2250" s="29"/>
      <c r="N2250" s="29"/>
      <c r="O2250" s="29"/>
      <c r="P2250" s="30">
        <f t="shared" si="1970"/>
        <v>0</v>
      </c>
      <c r="Q2250" s="31">
        <f t="shared" si="1969"/>
        <v>0</v>
      </c>
    </row>
    <row r="2251" spans="1:17" x14ac:dyDescent="0.2">
      <c r="A2251" s="10"/>
      <c r="B2251" s="26"/>
      <c r="C2251" s="11">
        <v>1992</v>
      </c>
      <c r="D2251" s="32">
        <f>SPFI_CLB14!$D$15</f>
        <v>0.43504100000000001</v>
      </c>
      <c r="E2251" s="32"/>
      <c r="F2251" s="32"/>
      <c r="G2251" s="32"/>
      <c r="H2251" s="32"/>
      <c r="I2251" s="32"/>
      <c r="J2251" s="28">
        <f t="shared" si="1968"/>
        <v>0</v>
      </c>
      <c r="K2251" s="29"/>
      <c r="L2251" s="29"/>
      <c r="M2251" s="29"/>
      <c r="N2251" s="29"/>
      <c r="O2251" s="29"/>
      <c r="P2251" s="30">
        <f t="shared" si="1970"/>
        <v>0</v>
      </c>
      <c r="Q2251" s="31">
        <f t="shared" si="1969"/>
        <v>0</v>
      </c>
    </row>
    <row r="2252" spans="1:17" x14ac:dyDescent="0.2">
      <c r="A2252" s="10"/>
      <c r="B2252" s="26"/>
      <c r="C2252" s="11">
        <v>1993</v>
      </c>
      <c r="D2252" s="32">
        <f>SPFI_CLB14!$D$16</f>
        <v>0.499164</v>
      </c>
      <c r="E2252" s="32"/>
      <c r="F2252" s="32"/>
      <c r="G2252" s="32"/>
      <c r="H2252" s="32"/>
      <c r="I2252" s="32"/>
      <c r="J2252" s="28">
        <f t="shared" si="1968"/>
        <v>0</v>
      </c>
      <c r="K2252" s="29"/>
      <c r="L2252" s="29"/>
      <c r="M2252" s="29"/>
      <c r="N2252" s="29"/>
      <c r="O2252" s="29"/>
      <c r="P2252" s="30">
        <f t="shared" si="1970"/>
        <v>0</v>
      </c>
      <c r="Q2252" s="31">
        <f t="shared" si="1969"/>
        <v>0</v>
      </c>
    </row>
    <row r="2253" spans="1:17" x14ac:dyDescent="0.2">
      <c r="A2253" s="10"/>
      <c r="B2253" s="26"/>
      <c r="C2253" s="11">
        <v>1994</v>
      </c>
      <c r="D2253" s="32">
        <f>SPFI_CLB14!$D$17</f>
        <v>0.59591300000000003</v>
      </c>
      <c r="E2253" s="32"/>
      <c r="F2253" s="32"/>
      <c r="G2253" s="32"/>
      <c r="H2253" s="32"/>
      <c r="I2253" s="32"/>
      <c r="J2253" s="28">
        <f t="shared" si="1968"/>
        <v>0</v>
      </c>
      <c r="K2253" s="29"/>
      <c r="L2253" s="29"/>
      <c r="M2253" s="29"/>
      <c r="N2253" s="29"/>
      <c r="O2253" s="29"/>
      <c r="P2253" s="30">
        <f t="shared" si="1970"/>
        <v>0</v>
      </c>
      <c r="Q2253" s="31">
        <f t="shared" si="1969"/>
        <v>0</v>
      </c>
    </row>
    <row r="2254" spans="1:17" x14ac:dyDescent="0.2">
      <c r="A2254" s="10"/>
      <c r="B2254" s="26"/>
      <c r="C2254" s="11">
        <v>1995</v>
      </c>
      <c r="D2254" s="32">
        <f>SPFI_CLB14!$D$18</f>
        <v>0.25400800000000001</v>
      </c>
      <c r="E2254" s="32"/>
      <c r="F2254" s="32"/>
      <c r="G2254" s="32"/>
      <c r="H2254" s="32"/>
      <c r="I2254" s="32"/>
      <c r="J2254" s="28">
        <f t="shared" ref="J2254" si="1971">D2254*J$72</f>
        <v>0</v>
      </c>
      <c r="K2254" s="29"/>
      <c r="L2254" s="29"/>
      <c r="M2254" s="29"/>
      <c r="N2254" s="29"/>
      <c r="O2254" s="29"/>
      <c r="P2254" s="30">
        <f>SUM(J2254:O2254)</f>
        <v>0</v>
      </c>
      <c r="Q2254" s="31">
        <f t="shared" si="1969"/>
        <v>0</v>
      </c>
    </row>
    <row r="2255" spans="1:17" x14ac:dyDescent="0.2">
      <c r="A2255" s="10"/>
      <c r="B2255" s="26"/>
      <c r="C2255" s="11">
        <v>1996</v>
      </c>
      <c r="D2255" s="32">
        <f>SPFI_CLB14!$D$19</f>
        <v>0</v>
      </c>
      <c r="E2255" s="32"/>
      <c r="F2255" s="32"/>
      <c r="G2255" s="32"/>
      <c r="H2255" s="32"/>
      <c r="I2255" s="32"/>
      <c r="J2255" s="28">
        <f t="shared" ref="J2255" si="1972">D2255*J$72</f>
        <v>0</v>
      </c>
      <c r="K2255" s="29"/>
      <c r="L2255" s="29"/>
      <c r="M2255" s="29"/>
      <c r="N2255" s="29"/>
      <c r="O2255" s="29"/>
      <c r="P2255" s="30">
        <f>SUM(J2255:O2255)</f>
        <v>0</v>
      </c>
      <c r="Q2255" s="31">
        <f t="shared" si="1969"/>
        <v>0</v>
      </c>
    </row>
    <row r="2256" spans="1:17" x14ac:dyDescent="0.2">
      <c r="A2256" s="10"/>
      <c r="B2256" s="26"/>
      <c r="C2256" s="11">
        <v>1997</v>
      </c>
      <c r="D2256" s="32">
        <f>SPFI_CLB14!$D$20</f>
        <v>0.201487</v>
      </c>
      <c r="E2256" s="32"/>
      <c r="F2256" s="32"/>
      <c r="G2256" s="32"/>
      <c r="H2256" s="32"/>
      <c r="I2256" s="32"/>
      <c r="J2256" s="28">
        <f t="shared" ref="J2256" si="1973">D2256*J$72</f>
        <v>0</v>
      </c>
      <c r="K2256" s="29"/>
      <c r="L2256" s="29"/>
      <c r="M2256" s="29"/>
      <c r="N2256" s="29"/>
      <c r="O2256" s="29"/>
      <c r="P2256" s="30">
        <f>SUM(J2256:O2256)</f>
        <v>0</v>
      </c>
      <c r="Q2256" s="31">
        <f t="shared" si="1969"/>
        <v>0</v>
      </c>
    </row>
    <row r="2257" spans="1:17" x14ac:dyDescent="0.2">
      <c r="A2257" s="10"/>
      <c r="B2257" s="26"/>
      <c r="C2257" s="11">
        <v>1998</v>
      </c>
      <c r="D2257" s="32">
        <f>SPFI_CLB14!$D$21</f>
        <v>0.37506400000000001</v>
      </c>
      <c r="E2257" s="32"/>
      <c r="F2257" s="32"/>
      <c r="G2257" s="32"/>
      <c r="H2257" s="32"/>
      <c r="I2257" s="32"/>
      <c r="J2257" s="28">
        <f t="shared" ref="J2257" si="1974">D2257*J$72</f>
        <v>0</v>
      </c>
      <c r="K2257" s="29"/>
      <c r="L2257" s="29"/>
      <c r="M2257" s="29"/>
      <c r="N2257" s="29"/>
      <c r="O2257" s="29"/>
      <c r="P2257" s="30">
        <f>SUM(J2257:O2257)</f>
        <v>0</v>
      </c>
      <c r="Q2257" s="31">
        <f t="shared" si="1969"/>
        <v>0</v>
      </c>
    </row>
    <row r="2258" spans="1:17" x14ac:dyDescent="0.2">
      <c r="A2258" s="10"/>
      <c r="B2258" s="26"/>
      <c r="C2258" s="11">
        <v>1999</v>
      </c>
      <c r="D2258" s="32">
        <f>SPFI_CLB14!$D$22</f>
        <v>0.29823699999999997</v>
      </c>
      <c r="E2258" s="32"/>
      <c r="F2258" s="32"/>
      <c r="G2258" s="32"/>
      <c r="H2258" s="32"/>
      <c r="I2258" s="32"/>
      <c r="J2258" s="28">
        <f t="shared" ref="J2258" si="1975">D2258*J$72</f>
        <v>0</v>
      </c>
      <c r="K2258" s="29"/>
      <c r="L2258" s="29"/>
      <c r="M2258" s="29"/>
      <c r="N2258" s="29"/>
      <c r="O2258" s="29"/>
      <c r="P2258" s="30">
        <f>SUM(J2258:O2258)</f>
        <v>0</v>
      </c>
      <c r="Q2258" s="31">
        <f t="shared" ref="Q2258:Q2263" si="1976">IF(C$72&gt;0,P2258/C$72,0)</f>
        <v>0</v>
      </c>
    </row>
    <row r="2259" spans="1:17" x14ac:dyDescent="0.2">
      <c r="A2259" s="10"/>
      <c r="B2259" s="26"/>
      <c r="C2259" s="11">
        <v>2000</v>
      </c>
      <c r="D2259" s="32">
        <f>SPFI_CLB14!$D$23</f>
        <v>8.4414000000000003E-2</v>
      </c>
      <c r="E2259" s="32"/>
      <c r="F2259" s="32"/>
      <c r="G2259" s="32"/>
      <c r="H2259" s="32"/>
      <c r="I2259" s="32"/>
      <c r="J2259" s="28">
        <f t="shared" ref="J2259" si="1977">D2259*J$72</f>
        <v>0</v>
      </c>
      <c r="K2259" s="29"/>
      <c r="L2259" s="29"/>
      <c r="M2259" s="29"/>
      <c r="N2259" s="29"/>
      <c r="O2259" s="29"/>
      <c r="P2259" s="30">
        <f t="shared" ref="P2259:P2264" si="1978">SUM(J2259:O2259)</f>
        <v>0</v>
      </c>
      <c r="Q2259" s="31">
        <f t="shared" si="1976"/>
        <v>0</v>
      </c>
    </row>
    <row r="2260" spans="1:17" x14ac:dyDescent="0.2">
      <c r="A2260" s="10"/>
      <c r="B2260" s="26"/>
      <c r="C2260" s="11">
        <v>2001</v>
      </c>
      <c r="D2260" s="32">
        <f>SPFI_CLB14!$D$24</f>
        <v>7.8909000000000007E-2</v>
      </c>
      <c r="E2260" s="32"/>
      <c r="F2260" s="32"/>
      <c r="G2260" s="32"/>
      <c r="H2260" s="32"/>
      <c r="I2260" s="32"/>
      <c r="J2260" s="28">
        <f t="shared" ref="J2260" si="1979">D2260*J$72</f>
        <v>0</v>
      </c>
      <c r="K2260" s="29"/>
      <c r="L2260" s="29"/>
      <c r="M2260" s="29"/>
      <c r="N2260" s="29"/>
      <c r="O2260" s="29"/>
      <c r="P2260" s="30">
        <f t="shared" si="1978"/>
        <v>0</v>
      </c>
      <c r="Q2260" s="31">
        <f t="shared" si="1976"/>
        <v>0</v>
      </c>
    </row>
    <row r="2261" spans="1:17" x14ac:dyDescent="0.2">
      <c r="A2261" s="10"/>
      <c r="B2261" s="26"/>
      <c r="C2261" s="11">
        <v>2002</v>
      </c>
      <c r="D2261" s="32">
        <f>SPFI_CLB14!$D$25</f>
        <v>0.29974699999999999</v>
      </c>
      <c r="E2261" s="32"/>
      <c r="F2261" s="32"/>
      <c r="G2261" s="32"/>
      <c r="H2261" s="32"/>
      <c r="I2261" s="32"/>
      <c r="J2261" s="28">
        <f t="shared" ref="J2261" si="1980">D2261*J$72</f>
        <v>0</v>
      </c>
      <c r="K2261" s="29"/>
      <c r="L2261" s="29"/>
      <c r="M2261" s="29"/>
      <c r="N2261" s="29"/>
      <c r="O2261" s="29"/>
      <c r="P2261" s="30">
        <f t="shared" si="1978"/>
        <v>0</v>
      </c>
      <c r="Q2261" s="31">
        <f t="shared" si="1976"/>
        <v>0</v>
      </c>
    </row>
    <row r="2262" spans="1:17" x14ac:dyDescent="0.2">
      <c r="A2262" s="10"/>
      <c r="B2262" s="26"/>
      <c r="C2262" s="11">
        <v>2003</v>
      </c>
      <c r="D2262" s="32">
        <f>SPFI_CLB14!$D$26</f>
        <v>0.20691100000000001</v>
      </c>
      <c r="E2262" s="32"/>
      <c r="F2262" s="32"/>
      <c r="G2262" s="32"/>
      <c r="H2262" s="32"/>
      <c r="I2262" s="32"/>
      <c r="J2262" s="28">
        <f t="shared" ref="J2262" si="1981">D2262*J$72</f>
        <v>0</v>
      </c>
      <c r="K2262" s="29"/>
      <c r="L2262" s="29"/>
      <c r="M2262" s="29"/>
      <c r="N2262" s="29"/>
      <c r="O2262" s="29"/>
      <c r="P2262" s="30">
        <f t="shared" si="1978"/>
        <v>0</v>
      </c>
      <c r="Q2262" s="31">
        <f t="shared" si="1976"/>
        <v>0</v>
      </c>
    </row>
    <row r="2263" spans="1:17" x14ac:dyDescent="0.2">
      <c r="A2263" s="10"/>
      <c r="B2263" s="26"/>
      <c r="C2263" s="11">
        <v>2004</v>
      </c>
      <c r="D2263" s="32">
        <f>SPFI_CLB14!$D$27</f>
        <v>0.269237</v>
      </c>
      <c r="E2263" s="32"/>
      <c r="F2263" s="32"/>
      <c r="G2263" s="32"/>
      <c r="H2263" s="32"/>
      <c r="I2263" s="32"/>
      <c r="J2263" s="28">
        <f t="shared" ref="J2263" si="1982">D2263*J$72</f>
        <v>0</v>
      </c>
      <c r="K2263" s="29"/>
      <c r="L2263" s="29"/>
      <c r="M2263" s="29"/>
      <c r="N2263" s="29"/>
      <c r="O2263" s="29"/>
      <c r="P2263" s="30">
        <f t="shared" si="1978"/>
        <v>0</v>
      </c>
      <c r="Q2263" s="31">
        <f t="shared" si="1976"/>
        <v>0</v>
      </c>
    </row>
    <row r="2264" spans="1:17" x14ac:dyDescent="0.2">
      <c r="A2264" s="10"/>
      <c r="B2264" s="26"/>
      <c r="C2264" s="11">
        <v>2005</v>
      </c>
      <c r="D2264" s="32">
        <f>SPFI_CLB14!$D$28</f>
        <v>0.37848700000000002</v>
      </c>
      <c r="E2264" s="32"/>
      <c r="F2264" s="32"/>
      <c r="G2264" s="32"/>
      <c r="H2264" s="32"/>
      <c r="I2264" s="32"/>
      <c r="J2264" s="28">
        <f t="shared" ref="J2264" si="1983">D2264*J$72</f>
        <v>0</v>
      </c>
      <c r="K2264" s="29"/>
      <c r="L2264" s="29"/>
      <c r="M2264" s="29"/>
      <c r="N2264" s="29"/>
      <c r="O2264" s="29"/>
      <c r="P2264" s="30">
        <f t="shared" si="1978"/>
        <v>0</v>
      </c>
      <c r="Q2264" s="31">
        <f t="shared" ref="Q2264:Q2269" si="1984">IF(C$72&gt;0,P2264/C$72,0)</f>
        <v>0</v>
      </c>
    </row>
    <row r="2265" spans="1:17" x14ac:dyDescent="0.2">
      <c r="A2265" s="10"/>
      <c r="B2265" s="26"/>
      <c r="C2265" s="11">
        <v>2006</v>
      </c>
      <c r="D2265" s="32">
        <f>SPFI_CLB14!$D$29</f>
        <v>0.381023</v>
      </c>
      <c r="E2265" s="32"/>
      <c r="F2265" s="32"/>
      <c r="G2265" s="32"/>
      <c r="H2265" s="32"/>
      <c r="I2265" s="32"/>
      <c r="J2265" s="28">
        <f t="shared" ref="J2265" si="1985">D2265*J$72</f>
        <v>0</v>
      </c>
      <c r="K2265" s="29"/>
      <c r="L2265" s="29"/>
      <c r="M2265" s="29"/>
      <c r="N2265" s="29"/>
      <c r="O2265" s="29"/>
      <c r="P2265" s="30">
        <f t="shared" ref="P2265:P2272" si="1986">SUM(J2265:O2265)</f>
        <v>0</v>
      </c>
      <c r="Q2265" s="31">
        <f t="shared" si="1984"/>
        <v>0</v>
      </c>
    </row>
    <row r="2266" spans="1:17" x14ac:dyDescent="0.2">
      <c r="A2266" s="10"/>
      <c r="B2266" s="26"/>
      <c r="C2266" s="11">
        <v>2007</v>
      </c>
      <c r="D2266" s="32">
        <f>SPFI_CLB14!$D$30</f>
        <v>0.356512</v>
      </c>
      <c r="E2266" s="32"/>
      <c r="F2266" s="32"/>
      <c r="G2266" s="32"/>
      <c r="H2266" s="32"/>
      <c r="I2266" s="32"/>
      <c r="J2266" s="28">
        <f t="shared" ref="J2266" si="1987">D2266*J$72</f>
        <v>0</v>
      </c>
      <c r="K2266" s="29"/>
      <c r="L2266" s="29"/>
      <c r="M2266" s="29"/>
      <c r="N2266" s="29"/>
      <c r="O2266" s="29"/>
      <c r="P2266" s="30">
        <f t="shared" si="1986"/>
        <v>0</v>
      </c>
      <c r="Q2266" s="31">
        <f t="shared" si="1984"/>
        <v>0</v>
      </c>
    </row>
    <row r="2267" spans="1:17" x14ac:dyDescent="0.2">
      <c r="A2267" s="10"/>
      <c r="B2267" s="26"/>
      <c r="C2267" s="11">
        <v>2008</v>
      </c>
      <c r="D2267" s="32">
        <f>SPFI_CLB14!$D$31</f>
        <v>0.25494499999999998</v>
      </c>
      <c r="E2267" s="32"/>
      <c r="F2267" s="32"/>
      <c r="G2267" s="32"/>
      <c r="H2267" s="32"/>
      <c r="I2267" s="32"/>
      <c r="J2267" s="28">
        <f t="shared" ref="J2267" si="1988">D2267*J$72</f>
        <v>0</v>
      </c>
      <c r="K2267" s="29"/>
      <c r="L2267" s="29"/>
      <c r="M2267" s="29"/>
      <c r="N2267" s="29"/>
      <c r="O2267" s="29"/>
      <c r="P2267" s="30">
        <f t="shared" si="1986"/>
        <v>0</v>
      </c>
      <c r="Q2267" s="31">
        <f t="shared" si="1984"/>
        <v>0</v>
      </c>
    </row>
    <row r="2268" spans="1:17" x14ac:dyDescent="0.2">
      <c r="A2268" s="10"/>
      <c r="B2268" s="26"/>
      <c r="C2268" s="11">
        <v>2009</v>
      </c>
      <c r="D2268" s="32">
        <f>SPFI_CLB14!$D$32</f>
        <v>0.52383000000000002</v>
      </c>
      <c r="E2268" s="32"/>
      <c r="F2268" s="32"/>
      <c r="G2268" s="32"/>
      <c r="H2268" s="32"/>
      <c r="I2268" s="32"/>
      <c r="J2268" s="28">
        <f t="shared" ref="J2268" si="1989">D2268*J$72</f>
        <v>0</v>
      </c>
      <c r="K2268" s="29"/>
      <c r="L2268" s="29"/>
      <c r="M2268" s="29"/>
      <c r="N2268" s="29"/>
      <c r="O2268" s="29"/>
      <c r="P2268" s="30">
        <f t="shared" si="1986"/>
        <v>0</v>
      </c>
      <c r="Q2268" s="31">
        <f t="shared" si="1984"/>
        <v>0</v>
      </c>
    </row>
    <row r="2269" spans="1:17" x14ac:dyDescent="0.2">
      <c r="A2269" s="10"/>
      <c r="B2269" s="26"/>
      <c r="C2269" s="11">
        <v>2010</v>
      </c>
      <c r="D2269" s="32">
        <f>SPFI_CLB14!$D$33</f>
        <v>0.31394</v>
      </c>
      <c r="E2269" s="32"/>
      <c r="F2269" s="32"/>
      <c r="G2269" s="32"/>
      <c r="H2269" s="32"/>
      <c r="I2269" s="32"/>
      <c r="J2269" s="28">
        <f t="shared" ref="J2269" si="1990">D2269*J$72</f>
        <v>0</v>
      </c>
      <c r="K2269" s="29"/>
      <c r="L2269" s="29"/>
      <c r="M2269" s="29"/>
      <c r="N2269" s="29"/>
      <c r="O2269" s="29"/>
      <c r="P2269" s="30">
        <f t="shared" si="1986"/>
        <v>0</v>
      </c>
      <c r="Q2269" s="31">
        <f t="shared" si="1984"/>
        <v>0</v>
      </c>
    </row>
    <row r="2270" spans="1:17" x14ac:dyDescent="0.2">
      <c r="A2270" s="10"/>
      <c r="B2270" s="26"/>
      <c r="C2270" s="11">
        <v>2011</v>
      </c>
      <c r="D2270" s="32">
        <f>SPFI_CLB14!$D$34</f>
        <v>0.294348</v>
      </c>
      <c r="E2270" s="32"/>
      <c r="F2270" s="32"/>
      <c r="G2270" s="32"/>
      <c r="H2270" s="32"/>
      <c r="I2270" s="32"/>
      <c r="J2270" s="28">
        <f t="shared" ref="J2270" si="1991">D2270*J$72</f>
        <v>0</v>
      </c>
      <c r="K2270" s="29"/>
      <c r="L2270" s="29"/>
      <c r="M2270" s="29"/>
      <c r="N2270" s="29"/>
      <c r="O2270" s="29"/>
      <c r="P2270" s="30">
        <f t="shared" ref="P2270" si="1992">SUM(J2270:O2270)</f>
        <v>0</v>
      </c>
      <c r="Q2270" s="31">
        <f t="shared" ref="Q2270" si="1993">IF(C$72&gt;0,P2270/C$72,0)</f>
        <v>0</v>
      </c>
    </row>
    <row r="2271" spans="1:17" x14ac:dyDescent="0.2">
      <c r="A2271" s="10"/>
      <c r="B2271" s="26"/>
      <c r="C2271" s="11">
        <v>2012</v>
      </c>
      <c r="D2271" s="32">
        <f>SPFI_CLB14!$D$35</f>
        <v>0.34784100000000001</v>
      </c>
      <c r="E2271" s="32"/>
      <c r="F2271" s="32"/>
      <c r="G2271" s="32"/>
      <c r="H2271" s="32"/>
      <c r="I2271" s="32"/>
      <c r="J2271" s="28">
        <f t="shared" ref="J2271" si="1994">D2271*J$72</f>
        <v>0</v>
      </c>
      <c r="K2271" s="29"/>
      <c r="L2271" s="29"/>
      <c r="M2271" s="29"/>
      <c r="N2271" s="29"/>
      <c r="O2271" s="29"/>
      <c r="P2271" s="30">
        <f t="shared" ref="P2271" si="1995">SUM(J2271:O2271)</f>
        <v>0</v>
      </c>
      <c r="Q2271" s="31">
        <f t="shared" ref="Q2271" si="1996">IF(C$72&gt;0,P2271/C$72,0)</f>
        <v>0</v>
      </c>
    </row>
    <row r="2272" spans="1:17" x14ac:dyDescent="0.2">
      <c r="A2272" s="5" t="s">
        <v>23</v>
      </c>
      <c r="B2272" s="21">
        <v>3</v>
      </c>
      <c r="C2272" s="6">
        <v>1982</v>
      </c>
      <c r="D2272" s="27">
        <f>SPFI_CLB14!$D$5</f>
        <v>0.98153299999999999</v>
      </c>
      <c r="E2272" s="27"/>
      <c r="F2272" s="27"/>
      <c r="G2272" s="27"/>
      <c r="H2272" s="27"/>
      <c r="I2272" s="27"/>
      <c r="J2272" s="33">
        <f t="shared" ref="J2272:J2284" si="1997">D2272*J$73</f>
        <v>0</v>
      </c>
      <c r="K2272" s="27"/>
      <c r="L2272" s="27"/>
      <c r="M2272" s="27"/>
      <c r="N2272" s="27"/>
      <c r="O2272" s="27"/>
      <c r="P2272" s="34">
        <f t="shared" si="1986"/>
        <v>0</v>
      </c>
      <c r="Q2272" s="35">
        <f t="shared" ref="Q2272:Q2288" si="1998">IF(C$73&gt;0,P2272/C$73,0)</f>
        <v>0</v>
      </c>
    </row>
    <row r="2273" spans="1:17" x14ac:dyDescent="0.2">
      <c r="A2273" s="10"/>
      <c r="B2273" s="26"/>
      <c r="C2273" s="11">
        <v>1983</v>
      </c>
      <c r="D2273" s="32">
        <f>SPFI_CLB14!$D$6</f>
        <v>0.93659899999999996</v>
      </c>
      <c r="E2273" s="32"/>
      <c r="F2273" s="32"/>
      <c r="G2273" s="32"/>
      <c r="H2273" s="32"/>
      <c r="I2273" s="32"/>
      <c r="J2273" s="28">
        <f t="shared" si="1997"/>
        <v>0</v>
      </c>
      <c r="K2273" s="29"/>
      <c r="L2273" s="29"/>
      <c r="M2273" s="29"/>
      <c r="N2273" s="29"/>
      <c r="O2273" s="29"/>
      <c r="P2273" s="30">
        <f t="shared" ref="P2273:P2284" si="1999">SUM(J2273:O2273)</f>
        <v>0</v>
      </c>
      <c r="Q2273" s="31">
        <f t="shared" si="1998"/>
        <v>0</v>
      </c>
    </row>
    <row r="2274" spans="1:17" x14ac:dyDescent="0.2">
      <c r="A2274" s="10"/>
      <c r="B2274" s="26"/>
      <c r="C2274" s="11">
        <v>1984</v>
      </c>
      <c r="D2274" s="32">
        <f>SPFI_CLB14!$D$7</f>
        <v>0.92793599999999998</v>
      </c>
      <c r="E2274" s="32"/>
      <c r="F2274" s="32"/>
      <c r="G2274" s="32"/>
      <c r="H2274" s="32"/>
      <c r="I2274" s="32"/>
      <c r="J2274" s="28">
        <f t="shared" si="1997"/>
        <v>0</v>
      </c>
      <c r="K2274" s="29"/>
      <c r="L2274" s="29"/>
      <c r="M2274" s="29"/>
      <c r="N2274" s="29"/>
      <c r="O2274" s="29"/>
      <c r="P2274" s="30">
        <f t="shared" si="1999"/>
        <v>0</v>
      </c>
      <c r="Q2274" s="31">
        <f t="shared" si="1998"/>
        <v>0</v>
      </c>
    </row>
    <row r="2275" spans="1:17" x14ac:dyDescent="0.2">
      <c r="A2275" s="10"/>
      <c r="B2275" s="26"/>
      <c r="C2275" s="11">
        <v>1985</v>
      </c>
      <c r="D2275" s="32">
        <f>SPFI_CLB14!$D$8</f>
        <v>0.90386500000000003</v>
      </c>
      <c r="E2275" s="32"/>
      <c r="F2275" s="32"/>
      <c r="G2275" s="32"/>
      <c r="H2275" s="32"/>
      <c r="I2275" s="32"/>
      <c r="J2275" s="28">
        <f t="shared" si="1997"/>
        <v>0</v>
      </c>
      <c r="K2275" s="29"/>
      <c r="L2275" s="29"/>
      <c r="M2275" s="29"/>
      <c r="N2275" s="29"/>
      <c r="O2275" s="29"/>
      <c r="P2275" s="30">
        <f t="shared" si="1999"/>
        <v>0</v>
      </c>
      <c r="Q2275" s="31">
        <f t="shared" si="1998"/>
        <v>0</v>
      </c>
    </row>
    <row r="2276" spans="1:17" x14ac:dyDescent="0.2">
      <c r="A2276" s="10"/>
      <c r="B2276" s="26"/>
      <c r="C2276" s="11">
        <v>1986</v>
      </c>
      <c r="D2276" s="32">
        <f>SPFI_CLB14!$D$9</f>
        <v>0.73087500000000005</v>
      </c>
      <c r="E2276" s="32"/>
      <c r="F2276" s="32"/>
      <c r="G2276" s="32"/>
      <c r="H2276" s="32"/>
      <c r="I2276" s="32"/>
      <c r="J2276" s="28">
        <f t="shared" si="1997"/>
        <v>0</v>
      </c>
      <c r="K2276" s="29"/>
      <c r="L2276" s="29"/>
      <c r="M2276" s="29"/>
      <c r="N2276" s="29"/>
      <c r="O2276" s="29"/>
      <c r="P2276" s="30">
        <f t="shared" si="1999"/>
        <v>0</v>
      </c>
      <c r="Q2276" s="31">
        <f t="shared" si="1998"/>
        <v>0</v>
      </c>
    </row>
    <row r="2277" spans="1:17" x14ac:dyDescent="0.2">
      <c r="A2277" s="10"/>
      <c r="B2277" s="26"/>
      <c r="C2277" s="11">
        <v>1987</v>
      </c>
      <c r="D2277" s="32">
        <f>SPFI_CLB14!$D$10</f>
        <v>0.71733499999999994</v>
      </c>
      <c r="E2277" s="32"/>
      <c r="F2277" s="32"/>
      <c r="G2277" s="32"/>
      <c r="H2277" s="32"/>
      <c r="I2277" s="32"/>
      <c r="J2277" s="28">
        <f t="shared" si="1997"/>
        <v>0</v>
      </c>
      <c r="K2277" s="29"/>
      <c r="L2277" s="29"/>
      <c r="M2277" s="29"/>
      <c r="N2277" s="29"/>
      <c r="O2277" s="29"/>
      <c r="P2277" s="30">
        <f t="shared" si="1999"/>
        <v>0</v>
      </c>
      <c r="Q2277" s="31">
        <f t="shared" si="1998"/>
        <v>0</v>
      </c>
    </row>
    <row r="2278" spans="1:17" x14ac:dyDescent="0.2">
      <c r="A2278" s="10"/>
      <c r="B2278" s="26"/>
      <c r="C2278" s="11">
        <v>1988</v>
      </c>
      <c r="D2278" s="32">
        <f>SPFI_CLB14!$D$11</f>
        <v>0.64558800000000005</v>
      </c>
      <c r="E2278" s="32"/>
      <c r="F2278" s="32"/>
      <c r="G2278" s="32"/>
      <c r="H2278" s="32"/>
      <c r="I2278" s="32"/>
      <c r="J2278" s="28">
        <f t="shared" si="1997"/>
        <v>0</v>
      </c>
      <c r="K2278" s="29"/>
      <c r="L2278" s="29"/>
      <c r="M2278" s="29"/>
      <c r="N2278" s="29"/>
      <c r="O2278" s="29"/>
      <c r="P2278" s="30">
        <f t="shared" si="1999"/>
        <v>0</v>
      </c>
      <c r="Q2278" s="31">
        <f t="shared" si="1998"/>
        <v>0</v>
      </c>
    </row>
    <row r="2279" spans="1:17" x14ac:dyDescent="0.2">
      <c r="A2279" s="10"/>
      <c r="B2279" s="26"/>
      <c r="C2279" s="11">
        <v>1989</v>
      </c>
      <c r="D2279" s="32">
        <f>SPFI_CLB14!$D$12</f>
        <v>0.65287700000000004</v>
      </c>
      <c r="E2279" s="32"/>
      <c r="F2279" s="32"/>
      <c r="G2279" s="32"/>
      <c r="H2279" s="32"/>
      <c r="I2279" s="32"/>
      <c r="J2279" s="28">
        <f t="shared" si="1997"/>
        <v>0</v>
      </c>
      <c r="K2279" s="29"/>
      <c r="L2279" s="29"/>
      <c r="M2279" s="29"/>
      <c r="N2279" s="29"/>
      <c r="O2279" s="29"/>
      <c r="P2279" s="30">
        <f t="shared" si="1999"/>
        <v>0</v>
      </c>
      <c r="Q2279" s="31">
        <f t="shared" si="1998"/>
        <v>0</v>
      </c>
    </row>
    <row r="2280" spans="1:17" x14ac:dyDescent="0.2">
      <c r="A2280" s="10"/>
      <c r="B2280" s="26"/>
      <c r="C2280" s="11">
        <v>1990</v>
      </c>
      <c r="D2280" s="32">
        <f>SPFI_CLB14!$D$13</f>
        <v>0.56965100000000002</v>
      </c>
      <c r="E2280" s="32"/>
      <c r="F2280" s="32"/>
      <c r="G2280" s="32"/>
      <c r="H2280" s="32"/>
      <c r="I2280" s="32"/>
      <c r="J2280" s="28">
        <f t="shared" si="1997"/>
        <v>0</v>
      </c>
      <c r="K2280" s="29"/>
      <c r="L2280" s="29"/>
      <c r="M2280" s="29"/>
      <c r="N2280" s="29"/>
      <c r="O2280" s="29"/>
      <c r="P2280" s="30">
        <f t="shared" si="1999"/>
        <v>0</v>
      </c>
      <c r="Q2280" s="31">
        <f t="shared" si="1998"/>
        <v>0</v>
      </c>
    </row>
    <row r="2281" spans="1:17" x14ac:dyDescent="0.2">
      <c r="A2281" s="10"/>
      <c r="B2281" s="26"/>
      <c r="C2281" s="11">
        <v>1991</v>
      </c>
      <c r="D2281" s="32">
        <f>SPFI_CLB14!$D$14</f>
        <v>0.62776900000000002</v>
      </c>
      <c r="E2281" s="32"/>
      <c r="F2281" s="32"/>
      <c r="G2281" s="32"/>
      <c r="H2281" s="32"/>
      <c r="I2281" s="32"/>
      <c r="J2281" s="28">
        <f t="shared" si="1997"/>
        <v>0</v>
      </c>
      <c r="K2281" s="29"/>
      <c r="L2281" s="29"/>
      <c r="M2281" s="29"/>
      <c r="N2281" s="29"/>
      <c r="O2281" s="29"/>
      <c r="P2281" s="30">
        <f t="shared" si="1999"/>
        <v>0</v>
      </c>
      <c r="Q2281" s="31">
        <f t="shared" si="1998"/>
        <v>0</v>
      </c>
    </row>
    <row r="2282" spans="1:17" x14ac:dyDescent="0.2">
      <c r="A2282" s="10"/>
      <c r="B2282" s="26"/>
      <c r="C2282" s="11">
        <v>1992</v>
      </c>
      <c r="D2282" s="32">
        <f>SPFI_CLB14!$D$15</f>
        <v>0.43504100000000001</v>
      </c>
      <c r="E2282" s="32"/>
      <c r="F2282" s="32"/>
      <c r="G2282" s="32"/>
      <c r="H2282" s="32"/>
      <c r="I2282" s="32"/>
      <c r="J2282" s="28">
        <f t="shared" si="1997"/>
        <v>0</v>
      </c>
      <c r="K2282" s="29"/>
      <c r="L2282" s="29"/>
      <c r="M2282" s="29"/>
      <c r="N2282" s="29"/>
      <c r="O2282" s="29"/>
      <c r="P2282" s="30">
        <f t="shared" si="1999"/>
        <v>0</v>
      </c>
      <c r="Q2282" s="31">
        <f t="shared" si="1998"/>
        <v>0</v>
      </c>
    </row>
    <row r="2283" spans="1:17" x14ac:dyDescent="0.2">
      <c r="A2283" s="10"/>
      <c r="B2283" s="26"/>
      <c r="C2283" s="11">
        <v>1993</v>
      </c>
      <c r="D2283" s="32">
        <f>SPFI_CLB14!$D$16</f>
        <v>0.499164</v>
      </c>
      <c r="E2283" s="32"/>
      <c r="F2283" s="32"/>
      <c r="G2283" s="32"/>
      <c r="H2283" s="32"/>
      <c r="I2283" s="32"/>
      <c r="J2283" s="28">
        <f t="shared" si="1997"/>
        <v>0</v>
      </c>
      <c r="K2283" s="29"/>
      <c r="L2283" s="29"/>
      <c r="M2283" s="29"/>
      <c r="N2283" s="29"/>
      <c r="O2283" s="29"/>
      <c r="P2283" s="30">
        <f t="shared" si="1999"/>
        <v>0</v>
      </c>
      <c r="Q2283" s="31">
        <f t="shared" si="1998"/>
        <v>0</v>
      </c>
    </row>
    <row r="2284" spans="1:17" x14ac:dyDescent="0.2">
      <c r="A2284" s="10"/>
      <c r="B2284" s="26"/>
      <c r="C2284" s="11">
        <v>1994</v>
      </c>
      <c r="D2284" s="32">
        <f>SPFI_CLB14!$D$17</f>
        <v>0.59591300000000003</v>
      </c>
      <c r="E2284" s="32"/>
      <c r="F2284" s="32"/>
      <c r="G2284" s="32"/>
      <c r="H2284" s="32"/>
      <c r="I2284" s="32"/>
      <c r="J2284" s="28">
        <f t="shared" si="1997"/>
        <v>0</v>
      </c>
      <c r="K2284" s="29"/>
      <c r="L2284" s="29"/>
      <c r="M2284" s="29"/>
      <c r="N2284" s="29"/>
      <c r="O2284" s="29"/>
      <c r="P2284" s="30">
        <f t="shared" si="1999"/>
        <v>0</v>
      </c>
      <c r="Q2284" s="31">
        <f t="shared" si="1998"/>
        <v>0</v>
      </c>
    </row>
    <row r="2285" spans="1:17" x14ac:dyDescent="0.2">
      <c r="A2285" s="10"/>
      <c r="B2285" s="26"/>
      <c r="C2285" s="11">
        <v>1995</v>
      </c>
      <c r="D2285" s="32">
        <f>SPFI_CLB14!$D$18</f>
        <v>0.25400800000000001</v>
      </c>
      <c r="E2285" s="32"/>
      <c r="F2285" s="32"/>
      <c r="G2285" s="32"/>
      <c r="H2285" s="32"/>
      <c r="I2285" s="32"/>
      <c r="J2285" s="28">
        <f t="shared" ref="J2285" si="2000">D2285*J$73</f>
        <v>0</v>
      </c>
      <c r="K2285" s="29"/>
      <c r="L2285" s="29"/>
      <c r="M2285" s="29"/>
      <c r="N2285" s="29"/>
      <c r="O2285" s="29"/>
      <c r="P2285" s="30">
        <f>SUM(J2285:O2285)</f>
        <v>0</v>
      </c>
      <c r="Q2285" s="31">
        <f t="shared" si="1998"/>
        <v>0</v>
      </c>
    </row>
    <row r="2286" spans="1:17" x14ac:dyDescent="0.2">
      <c r="A2286" s="10"/>
      <c r="B2286" s="26"/>
      <c r="C2286" s="11">
        <v>1996</v>
      </c>
      <c r="D2286" s="32">
        <f>SPFI_CLB14!$D$19</f>
        <v>0</v>
      </c>
      <c r="E2286" s="32"/>
      <c r="F2286" s="32"/>
      <c r="G2286" s="32"/>
      <c r="H2286" s="32"/>
      <c r="I2286" s="32"/>
      <c r="J2286" s="28">
        <f t="shared" ref="J2286" si="2001">D2286*J$73</f>
        <v>0</v>
      </c>
      <c r="K2286" s="29"/>
      <c r="L2286" s="29"/>
      <c r="M2286" s="29"/>
      <c r="N2286" s="29"/>
      <c r="O2286" s="29"/>
      <c r="P2286" s="30">
        <f>SUM(J2286:O2286)</f>
        <v>0</v>
      </c>
      <c r="Q2286" s="31">
        <f t="shared" si="1998"/>
        <v>0</v>
      </c>
    </row>
    <row r="2287" spans="1:17" x14ac:dyDescent="0.2">
      <c r="A2287" s="10"/>
      <c r="B2287" s="26"/>
      <c r="C2287" s="11">
        <v>1997</v>
      </c>
      <c r="D2287" s="32">
        <f>SPFI_CLB14!$D$20</f>
        <v>0.201487</v>
      </c>
      <c r="E2287" s="32"/>
      <c r="F2287" s="32"/>
      <c r="G2287" s="32"/>
      <c r="H2287" s="32"/>
      <c r="I2287" s="32"/>
      <c r="J2287" s="28">
        <f t="shared" ref="J2287" si="2002">D2287*J$73</f>
        <v>0</v>
      </c>
      <c r="K2287" s="29"/>
      <c r="L2287" s="29"/>
      <c r="M2287" s="29"/>
      <c r="N2287" s="29"/>
      <c r="O2287" s="29"/>
      <c r="P2287" s="30">
        <f>SUM(J2287:O2287)</f>
        <v>0</v>
      </c>
      <c r="Q2287" s="31">
        <f t="shared" si="1998"/>
        <v>0</v>
      </c>
    </row>
    <row r="2288" spans="1:17" x14ac:dyDescent="0.2">
      <c r="A2288" s="10"/>
      <c r="B2288" s="26"/>
      <c r="C2288" s="11">
        <v>1998</v>
      </c>
      <c r="D2288" s="32">
        <f>SPFI_CLB14!$D$21</f>
        <v>0.37506400000000001</v>
      </c>
      <c r="E2288" s="32"/>
      <c r="F2288" s="32"/>
      <c r="G2288" s="32"/>
      <c r="H2288" s="32"/>
      <c r="I2288" s="32"/>
      <c r="J2288" s="28">
        <f t="shared" ref="J2288" si="2003">D2288*J$73</f>
        <v>0</v>
      </c>
      <c r="K2288" s="29"/>
      <c r="L2288" s="29"/>
      <c r="M2288" s="29"/>
      <c r="N2288" s="29"/>
      <c r="O2288" s="29"/>
      <c r="P2288" s="30">
        <f>SUM(J2288:O2288)</f>
        <v>0</v>
      </c>
      <c r="Q2288" s="31">
        <f t="shared" si="1998"/>
        <v>0</v>
      </c>
    </row>
    <row r="2289" spans="1:17" x14ac:dyDescent="0.2">
      <c r="A2289" s="10"/>
      <c r="B2289" s="26"/>
      <c r="C2289" s="11">
        <v>1999</v>
      </c>
      <c r="D2289" s="32">
        <f>SPFI_CLB14!$D$22</f>
        <v>0.29823699999999997</v>
      </c>
      <c r="E2289" s="32"/>
      <c r="F2289" s="32"/>
      <c r="G2289" s="32"/>
      <c r="H2289" s="32"/>
      <c r="I2289" s="32"/>
      <c r="J2289" s="28">
        <f t="shared" ref="J2289" si="2004">D2289*J$73</f>
        <v>0</v>
      </c>
      <c r="K2289" s="29"/>
      <c r="L2289" s="29"/>
      <c r="M2289" s="29"/>
      <c r="N2289" s="29"/>
      <c r="O2289" s="29"/>
      <c r="P2289" s="30">
        <f>SUM(J2289:O2289)</f>
        <v>0</v>
      </c>
      <c r="Q2289" s="31">
        <f t="shared" ref="Q2289:Q2294" si="2005">IF(C$73&gt;0,P2289/C$73,0)</f>
        <v>0</v>
      </c>
    </row>
    <row r="2290" spans="1:17" x14ac:dyDescent="0.2">
      <c r="A2290" s="10"/>
      <c r="B2290" s="26"/>
      <c r="C2290" s="11">
        <v>2000</v>
      </c>
      <c r="D2290" s="32">
        <f>SPFI_CLB14!$D$23</f>
        <v>8.4414000000000003E-2</v>
      </c>
      <c r="E2290" s="32"/>
      <c r="F2290" s="32"/>
      <c r="G2290" s="32"/>
      <c r="H2290" s="32"/>
      <c r="I2290" s="32"/>
      <c r="J2290" s="28">
        <f t="shared" ref="J2290" si="2006">D2290*J$73</f>
        <v>0</v>
      </c>
      <c r="K2290" s="29"/>
      <c r="L2290" s="29"/>
      <c r="M2290" s="29"/>
      <c r="N2290" s="29"/>
      <c r="O2290" s="29"/>
      <c r="P2290" s="30">
        <f t="shared" ref="P2290:P2295" si="2007">SUM(J2290:O2290)</f>
        <v>0</v>
      </c>
      <c r="Q2290" s="31">
        <f t="shared" si="2005"/>
        <v>0</v>
      </c>
    </row>
    <row r="2291" spans="1:17" x14ac:dyDescent="0.2">
      <c r="A2291" s="10"/>
      <c r="B2291" s="26"/>
      <c r="C2291" s="11">
        <v>2001</v>
      </c>
      <c r="D2291" s="32">
        <f>SPFI_CLB14!$D$24</f>
        <v>7.8909000000000007E-2</v>
      </c>
      <c r="E2291" s="32"/>
      <c r="F2291" s="32"/>
      <c r="G2291" s="32"/>
      <c r="H2291" s="32"/>
      <c r="I2291" s="32"/>
      <c r="J2291" s="28">
        <f t="shared" ref="J2291" si="2008">D2291*J$73</f>
        <v>0</v>
      </c>
      <c r="K2291" s="29"/>
      <c r="L2291" s="29"/>
      <c r="M2291" s="29"/>
      <c r="N2291" s="29"/>
      <c r="O2291" s="29"/>
      <c r="P2291" s="30">
        <f t="shared" si="2007"/>
        <v>0</v>
      </c>
      <c r="Q2291" s="31">
        <f t="shared" si="2005"/>
        <v>0</v>
      </c>
    </row>
    <row r="2292" spans="1:17" x14ac:dyDescent="0.2">
      <c r="A2292" s="10"/>
      <c r="B2292" s="26"/>
      <c r="C2292" s="11">
        <v>2002</v>
      </c>
      <c r="D2292" s="32">
        <f>SPFI_CLB14!$D$25</f>
        <v>0.29974699999999999</v>
      </c>
      <c r="E2292" s="32"/>
      <c r="F2292" s="32"/>
      <c r="G2292" s="32"/>
      <c r="H2292" s="32"/>
      <c r="I2292" s="32"/>
      <c r="J2292" s="28">
        <f t="shared" ref="J2292" si="2009">D2292*J$73</f>
        <v>0</v>
      </c>
      <c r="K2292" s="29"/>
      <c r="L2292" s="29"/>
      <c r="M2292" s="29"/>
      <c r="N2292" s="29"/>
      <c r="O2292" s="29"/>
      <c r="P2292" s="30">
        <f t="shared" si="2007"/>
        <v>0</v>
      </c>
      <c r="Q2292" s="31">
        <f t="shared" si="2005"/>
        <v>0</v>
      </c>
    </row>
    <row r="2293" spans="1:17" x14ac:dyDescent="0.2">
      <c r="A2293" s="10"/>
      <c r="B2293" s="26"/>
      <c r="C2293" s="11">
        <v>2003</v>
      </c>
      <c r="D2293" s="32">
        <f>SPFI_CLB14!$D$26</f>
        <v>0.20691100000000001</v>
      </c>
      <c r="E2293" s="32"/>
      <c r="F2293" s="32"/>
      <c r="G2293" s="32"/>
      <c r="H2293" s="32"/>
      <c r="I2293" s="32"/>
      <c r="J2293" s="28">
        <f t="shared" ref="J2293" si="2010">D2293*J$73</f>
        <v>0</v>
      </c>
      <c r="K2293" s="29"/>
      <c r="L2293" s="29"/>
      <c r="M2293" s="29"/>
      <c r="N2293" s="29"/>
      <c r="O2293" s="29"/>
      <c r="P2293" s="30">
        <f t="shared" si="2007"/>
        <v>0</v>
      </c>
      <c r="Q2293" s="31">
        <f t="shared" si="2005"/>
        <v>0</v>
      </c>
    </row>
    <row r="2294" spans="1:17" x14ac:dyDescent="0.2">
      <c r="A2294" s="10"/>
      <c r="B2294" s="26"/>
      <c r="C2294" s="11">
        <v>2004</v>
      </c>
      <c r="D2294" s="32">
        <f>SPFI_CLB14!$D$27</f>
        <v>0.269237</v>
      </c>
      <c r="E2294" s="32"/>
      <c r="F2294" s="32"/>
      <c r="G2294" s="32"/>
      <c r="H2294" s="32"/>
      <c r="I2294" s="32"/>
      <c r="J2294" s="28">
        <f t="shared" ref="J2294" si="2011">D2294*J$73</f>
        <v>0</v>
      </c>
      <c r="K2294" s="29"/>
      <c r="L2294" s="29"/>
      <c r="M2294" s="29"/>
      <c r="N2294" s="29"/>
      <c r="O2294" s="29"/>
      <c r="P2294" s="30">
        <f t="shared" si="2007"/>
        <v>0</v>
      </c>
      <c r="Q2294" s="31">
        <f t="shared" si="2005"/>
        <v>0</v>
      </c>
    </row>
    <row r="2295" spans="1:17" x14ac:dyDescent="0.2">
      <c r="A2295" s="10"/>
      <c r="B2295" s="26"/>
      <c r="C2295" s="11">
        <v>2005</v>
      </c>
      <c r="D2295" s="32">
        <f>SPFI_CLB14!$D$28</f>
        <v>0.37848700000000002</v>
      </c>
      <c r="E2295" s="32"/>
      <c r="F2295" s="32"/>
      <c r="G2295" s="32"/>
      <c r="H2295" s="32"/>
      <c r="I2295" s="32"/>
      <c r="J2295" s="28">
        <f t="shared" ref="J2295" si="2012">D2295*J$73</f>
        <v>0</v>
      </c>
      <c r="K2295" s="29"/>
      <c r="L2295" s="29"/>
      <c r="M2295" s="29"/>
      <c r="N2295" s="29"/>
      <c r="O2295" s="29"/>
      <c r="P2295" s="30">
        <f t="shared" si="2007"/>
        <v>0</v>
      </c>
      <c r="Q2295" s="31">
        <f t="shared" ref="Q2295:Q2300" si="2013">IF(C$73&gt;0,P2295/C$73,0)</f>
        <v>0</v>
      </c>
    </row>
    <row r="2296" spans="1:17" x14ac:dyDescent="0.2">
      <c r="A2296" s="10"/>
      <c r="B2296" s="26"/>
      <c r="C2296" s="11">
        <v>2006</v>
      </c>
      <c r="D2296" s="32">
        <f>SPFI_CLB14!$D$29</f>
        <v>0.381023</v>
      </c>
      <c r="E2296" s="32"/>
      <c r="F2296" s="32"/>
      <c r="G2296" s="32"/>
      <c r="H2296" s="32"/>
      <c r="I2296" s="32"/>
      <c r="J2296" s="28">
        <f t="shared" ref="J2296" si="2014">D2296*J$73</f>
        <v>0</v>
      </c>
      <c r="K2296" s="29"/>
      <c r="L2296" s="29"/>
      <c r="M2296" s="29"/>
      <c r="N2296" s="29"/>
      <c r="O2296" s="29"/>
      <c r="P2296" s="30">
        <f t="shared" ref="P2296:P2303" si="2015">SUM(J2296:O2296)</f>
        <v>0</v>
      </c>
      <c r="Q2296" s="31">
        <f t="shared" si="2013"/>
        <v>0</v>
      </c>
    </row>
    <row r="2297" spans="1:17" x14ac:dyDescent="0.2">
      <c r="A2297" s="10"/>
      <c r="B2297" s="26"/>
      <c r="C2297" s="11">
        <v>2007</v>
      </c>
      <c r="D2297" s="32">
        <f>SPFI_CLB14!$D$30</f>
        <v>0.356512</v>
      </c>
      <c r="E2297" s="32"/>
      <c r="F2297" s="32"/>
      <c r="G2297" s="32"/>
      <c r="H2297" s="32"/>
      <c r="I2297" s="32"/>
      <c r="J2297" s="28">
        <f t="shared" ref="J2297" si="2016">D2297*J$73</f>
        <v>0</v>
      </c>
      <c r="K2297" s="29"/>
      <c r="L2297" s="29"/>
      <c r="M2297" s="29"/>
      <c r="N2297" s="29"/>
      <c r="O2297" s="29"/>
      <c r="P2297" s="30">
        <f t="shared" si="2015"/>
        <v>0</v>
      </c>
      <c r="Q2297" s="31">
        <f t="shared" si="2013"/>
        <v>0</v>
      </c>
    </row>
    <row r="2298" spans="1:17" x14ac:dyDescent="0.2">
      <c r="A2298" s="10"/>
      <c r="B2298" s="26"/>
      <c r="C2298" s="11">
        <v>2008</v>
      </c>
      <c r="D2298" s="32">
        <f>SPFI_CLB14!$D$31</f>
        <v>0.25494499999999998</v>
      </c>
      <c r="E2298" s="32"/>
      <c r="F2298" s="32"/>
      <c r="G2298" s="32"/>
      <c r="H2298" s="32"/>
      <c r="I2298" s="32"/>
      <c r="J2298" s="28">
        <f t="shared" ref="J2298" si="2017">D2298*J$73</f>
        <v>0</v>
      </c>
      <c r="K2298" s="29"/>
      <c r="L2298" s="29"/>
      <c r="M2298" s="29"/>
      <c r="N2298" s="29"/>
      <c r="O2298" s="29"/>
      <c r="P2298" s="30">
        <f t="shared" si="2015"/>
        <v>0</v>
      </c>
      <c r="Q2298" s="31">
        <f t="shared" si="2013"/>
        <v>0</v>
      </c>
    </row>
    <row r="2299" spans="1:17" x14ac:dyDescent="0.2">
      <c r="A2299" s="10"/>
      <c r="B2299" s="26"/>
      <c r="C2299" s="11">
        <v>2009</v>
      </c>
      <c r="D2299" s="32">
        <f>SPFI_CLB14!$D$32</f>
        <v>0.52383000000000002</v>
      </c>
      <c r="E2299" s="32"/>
      <c r="F2299" s="32"/>
      <c r="G2299" s="32"/>
      <c r="H2299" s="32"/>
      <c r="I2299" s="32"/>
      <c r="J2299" s="28">
        <f t="shared" ref="J2299" si="2018">D2299*J$73</f>
        <v>0</v>
      </c>
      <c r="K2299" s="29"/>
      <c r="L2299" s="29"/>
      <c r="M2299" s="29"/>
      <c r="N2299" s="29"/>
      <c r="O2299" s="29"/>
      <c r="P2299" s="30">
        <f t="shared" si="2015"/>
        <v>0</v>
      </c>
      <c r="Q2299" s="31">
        <f t="shared" si="2013"/>
        <v>0</v>
      </c>
    </row>
    <row r="2300" spans="1:17" x14ac:dyDescent="0.2">
      <c r="A2300" s="10"/>
      <c r="B2300" s="26"/>
      <c r="C2300" s="11">
        <v>2010</v>
      </c>
      <c r="D2300" s="32">
        <f>SPFI_CLB14!$D$33</f>
        <v>0.31394</v>
      </c>
      <c r="E2300" s="32"/>
      <c r="F2300" s="32"/>
      <c r="G2300" s="32"/>
      <c r="H2300" s="32"/>
      <c r="I2300" s="32"/>
      <c r="J2300" s="28">
        <f t="shared" ref="J2300" si="2019">D2300*J$73</f>
        <v>0</v>
      </c>
      <c r="K2300" s="29"/>
      <c r="L2300" s="29"/>
      <c r="M2300" s="29"/>
      <c r="N2300" s="29"/>
      <c r="O2300" s="29"/>
      <c r="P2300" s="30">
        <f t="shared" si="2015"/>
        <v>0</v>
      </c>
      <c r="Q2300" s="31">
        <f t="shared" si="2013"/>
        <v>0</v>
      </c>
    </row>
    <row r="2301" spans="1:17" x14ac:dyDescent="0.2">
      <c r="A2301" s="10"/>
      <c r="B2301" s="26"/>
      <c r="C2301" s="11">
        <v>2011</v>
      </c>
      <c r="D2301" s="32">
        <f>SPFI_CLB14!$D$34</f>
        <v>0.294348</v>
      </c>
      <c r="E2301" s="32"/>
      <c r="F2301" s="32"/>
      <c r="G2301" s="32"/>
      <c r="H2301" s="32"/>
      <c r="I2301" s="32"/>
      <c r="J2301" s="28">
        <f t="shared" ref="J2301" si="2020">D2301*J$73</f>
        <v>0</v>
      </c>
      <c r="K2301" s="29"/>
      <c r="L2301" s="29"/>
      <c r="M2301" s="29"/>
      <c r="N2301" s="29"/>
      <c r="O2301" s="29"/>
      <c r="P2301" s="30">
        <f t="shared" ref="P2301" si="2021">SUM(J2301:O2301)</f>
        <v>0</v>
      </c>
      <c r="Q2301" s="31">
        <f t="shared" ref="Q2301" si="2022">IF(C$73&gt;0,P2301/C$73,0)</f>
        <v>0</v>
      </c>
    </row>
    <row r="2302" spans="1:17" x14ac:dyDescent="0.2">
      <c r="A2302" s="10"/>
      <c r="B2302" s="26"/>
      <c r="C2302" s="11">
        <v>2012</v>
      </c>
      <c r="D2302" s="32">
        <f>SPFI_CLB14!$D$35</f>
        <v>0.34784100000000001</v>
      </c>
      <c r="E2302" s="32"/>
      <c r="F2302" s="32"/>
      <c r="G2302" s="32"/>
      <c r="H2302" s="32"/>
      <c r="I2302" s="32"/>
      <c r="J2302" s="28">
        <f t="shared" ref="J2302" si="2023">D2302*J$73</f>
        <v>0</v>
      </c>
      <c r="K2302" s="29"/>
      <c r="L2302" s="29"/>
      <c r="M2302" s="29"/>
      <c r="N2302" s="29"/>
      <c r="O2302" s="29"/>
      <c r="P2302" s="30">
        <f t="shared" ref="P2302" si="2024">SUM(J2302:O2302)</f>
        <v>0</v>
      </c>
      <c r="Q2302" s="31">
        <f t="shared" ref="Q2302" si="2025">IF(C$73&gt;0,P2302/C$73,0)</f>
        <v>0</v>
      </c>
    </row>
    <row r="2303" spans="1:17" x14ac:dyDescent="0.2">
      <c r="A2303" s="5" t="s">
        <v>23</v>
      </c>
      <c r="B2303" s="21">
        <v>4</v>
      </c>
      <c r="C2303" s="6">
        <v>1982</v>
      </c>
      <c r="D2303" s="27">
        <f>SPFI_CLB14!$D$5</f>
        <v>0.98153299999999999</v>
      </c>
      <c r="E2303" s="27"/>
      <c r="F2303" s="27"/>
      <c r="G2303" s="27"/>
      <c r="H2303" s="27"/>
      <c r="I2303" s="27"/>
      <c r="J2303" s="33">
        <f t="shared" ref="J2303:J2315" si="2026">D2303*J$74</f>
        <v>0</v>
      </c>
      <c r="K2303" s="27"/>
      <c r="L2303" s="27"/>
      <c r="M2303" s="27"/>
      <c r="N2303" s="27"/>
      <c r="O2303" s="27"/>
      <c r="P2303" s="34">
        <f t="shared" si="2015"/>
        <v>0</v>
      </c>
      <c r="Q2303" s="35">
        <f t="shared" ref="Q2303:Q2319" si="2027">IF(C$74&gt;0,P2303/C$74,0)</f>
        <v>0</v>
      </c>
    </row>
    <row r="2304" spans="1:17" x14ac:dyDescent="0.2">
      <c r="A2304" s="10"/>
      <c r="B2304" s="26"/>
      <c r="C2304" s="11">
        <v>1983</v>
      </c>
      <c r="D2304" s="32">
        <f>SPFI_CLB14!$D$6</f>
        <v>0.93659899999999996</v>
      </c>
      <c r="E2304" s="32"/>
      <c r="F2304" s="32"/>
      <c r="G2304" s="32"/>
      <c r="H2304" s="32"/>
      <c r="I2304" s="32"/>
      <c r="J2304" s="28">
        <f t="shared" si="2026"/>
        <v>0</v>
      </c>
      <c r="K2304" s="29"/>
      <c r="L2304" s="29"/>
      <c r="M2304" s="29"/>
      <c r="N2304" s="29"/>
      <c r="O2304" s="29"/>
      <c r="P2304" s="30">
        <f t="shared" ref="P2304:P2315" si="2028">SUM(J2304:O2304)</f>
        <v>0</v>
      </c>
      <c r="Q2304" s="31">
        <f t="shared" si="2027"/>
        <v>0</v>
      </c>
    </row>
    <row r="2305" spans="1:17" x14ac:dyDescent="0.2">
      <c r="A2305" s="10"/>
      <c r="B2305" s="26"/>
      <c r="C2305" s="11">
        <v>1984</v>
      </c>
      <c r="D2305" s="32">
        <f>SPFI_CLB14!$D$7</f>
        <v>0.92793599999999998</v>
      </c>
      <c r="E2305" s="32"/>
      <c r="F2305" s="32"/>
      <c r="G2305" s="32"/>
      <c r="H2305" s="32"/>
      <c r="I2305" s="32"/>
      <c r="J2305" s="28">
        <f t="shared" si="2026"/>
        <v>0</v>
      </c>
      <c r="K2305" s="29"/>
      <c r="L2305" s="29"/>
      <c r="M2305" s="29"/>
      <c r="N2305" s="29"/>
      <c r="O2305" s="29"/>
      <c r="P2305" s="30">
        <f t="shared" si="2028"/>
        <v>0</v>
      </c>
      <c r="Q2305" s="31">
        <f t="shared" si="2027"/>
        <v>0</v>
      </c>
    </row>
    <row r="2306" spans="1:17" x14ac:dyDescent="0.2">
      <c r="A2306" s="10"/>
      <c r="B2306" s="26"/>
      <c r="C2306" s="11">
        <v>1985</v>
      </c>
      <c r="D2306" s="32">
        <f>SPFI_CLB14!$D$8</f>
        <v>0.90386500000000003</v>
      </c>
      <c r="E2306" s="32"/>
      <c r="F2306" s="32"/>
      <c r="G2306" s="32"/>
      <c r="H2306" s="32"/>
      <c r="I2306" s="32"/>
      <c r="J2306" s="28">
        <f t="shared" si="2026"/>
        <v>0</v>
      </c>
      <c r="K2306" s="29"/>
      <c r="L2306" s="29"/>
      <c r="M2306" s="29"/>
      <c r="N2306" s="29"/>
      <c r="O2306" s="29"/>
      <c r="P2306" s="30">
        <f t="shared" si="2028"/>
        <v>0</v>
      </c>
      <c r="Q2306" s="31">
        <f t="shared" si="2027"/>
        <v>0</v>
      </c>
    </row>
    <row r="2307" spans="1:17" x14ac:dyDescent="0.2">
      <c r="A2307" s="10"/>
      <c r="B2307" s="26"/>
      <c r="C2307" s="11">
        <v>1986</v>
      </c>
      <c r="D2307" s="32">
        <f>SPFI_CLB14!$D$9</f>
        <v>0.73087500000000005</v>
      </c>
      <c r="E2307" s="32"/>
      <c r="F2307" s="32"/>
      <c r="G2307" s="32"/>
      <c r="H2307" s="32"/>
      <c r="I2307" s="32"/>
      <c r="J2307" s="28">
        <f t="shared" si="2026"/>
        <v>0</v>
      </c>
      <c r="K2307" s="29"/>
      <c r="L2307" s="29"/>
      <c r="M2307" s="29"/>
      <c r="N2307" s="29"/>
      <c r="O2307" s="29"/>
      <c r="P2307" s="30">
        <f t="shared" si="2028"/>
        <v>0</v>
      </c>
      <c r="Q2307" s="31">
        <f t="shared" si="2027"/>
        <v>0</v>
      </c>
    </row>
    <row r="2308" spans="1:17" x14ac:dyDescent="0.2">
      <c r="A2308" s="10"/>
      <c r="B2308" s="26"/>
      <c r="C2308" s="11">
        <v>1987</v>
      </c>
      <c r="D2308" s="32">
        <f>SPFI_CLB14!$D$10</f>
        <v>0.71733499999999994</v>
      </c>
      <c r="E2308" s="32"/>
      <c r="F2308" s="32"/>
      <c r="G2308" s="32"/>
      <c r="H2308" s="32"/>
      <c r="I2308" s="32"/>
      <c r="J2308" s="28">
        <f t="shared" si="2026"/>
        <v>0</v>
      </c>
      <c r="K2308" s="29"/>
      <c r="L2308" s="29"/>
      <c r="M2308" s="29"/>
      <c r="N2308" s="29"/>
      <c r="O2308" s="29"/>
      <c r="P2308" s="30">
        <f t="shared" si="2028"/>
        <v>0</v>
      </c>
      <c r="Q2308" s="31">
        <f t="shared" si="2027"/>
        <v>0</v>
      </c>
    </row>
    <row r="2309" spans="1:17" x14ac:dyDescent="0.2">
      <c r="A2309" s="10"/>
      <c r="B2309" s="26"/>
      <c r="C2309" s="11">
        <v>1988</v>
      </c>
      <c r="D2309" s="32">
        <f>SPFI_CLB14!$D$11</f>
        <v>0.64558800000000005</v>
      </c>
      <c r="E2309" s="32"/>
      <c r="F2309" s="32"/>
      <c r="G2309" s="32"/>
      <c r="H2309" s="32"/>
      <c r="I2309" s="32"/>
      <c r="J2309" s="28">
        <f t="shared" si="2026"/>
        <v>0</v>
      </c>
      <c r="K2309" s="29"/>
      <c r="L2309" s="29"/>
      <c r="M2309" s="29"/>
      <c r="N2309" s="29"/>
      <c r="O2309" s="29"/>
      <c r="P2309" s="30">
        <f t="shared" si="2028"/>
        <v>0</v>
      </c>
      <c r="Q2309" s="31">
        <f t="shared" si="2027"/>
        <v>0</v>
      </c>
    </row>
    <row r="2310" spans="1:17" x14ac:dyDescent="0.2">
      <c r="A2310" s="10"/>
      <c r="B2310" s="26"/>
      <c r="C2310" s="11">
        <v>1989</v>
      </c>
      <c r="D2310" s="32">
        <f>SPFI_CLB14!$D$12</f>
        <v>0.65287700000000004</v>
      </c>
      <c r="E2310" s="32"/>
      <c r="F2310" s="32"/>
      <c r="G2310" s="32"/>
      <c r="H2310" s="32"/>
      <c r="I2310" s="32"/>
      <c r="J2310" s="28">
        <f t="shared" si="2026"/>
        <v>0</v>
      </c>
      <c r="K2310" s="29"/>
      <c r="L2310" s="29"/>
      <c r="M2310" s="29"/>
      <c r="N2310" s="29"/>
      <c r="O2310" s="29"/>
      <c r="P2310" s="30">
        <f t="shared" si="2028"/>
        <v>0</v>
      </c>
      <c r="Q2310" s="31">
        <f t="shared" si="2027"/>
        <v>0</v>
      </c>
    </row>
    <row r="2311" spans="1:17" x14ac:dyDescent="0.2">
      <c r="A2311" s="10"/>
      <c r="B2311" s="26"/>
      <c r="C2311" s="11">
        <v>1990</v>
      </c>
      <c r="D2311" s="32">
        <f>SPFI_CLB14!$D$13</f>
        <v>0.56965100000000002</v>
      </c>
      <c r="E2311" s="32"/>
      <c r="F2311" s="32"/>
      <c r="G2311" s="32"/>
      <c r="H2311" s="32"/>
      <c r="I2311" s="32"/>
      <c r="J2311" s="28">
        <f t="shared" si="2026"/>
        <v>0</v>
      </c>
      <c r="K2311" s="29"/>
      <c r="L2311" s="29"/>
      <c r="M2311" s="29"/>
      <c r="N2311" s="29"/>
      <c r="O2311" s="29"/>
      <c r="P2311" s="30">
        <f t="shared" si="2028"/>
        <v>0</v>
      </c>
      <c r="Q2311" s="31">
        <f t="shared" si="2027"/>
        <v>0</v>
      </c>
    </row>
    <row r="2312" spans="1:17" x14ac:dyDescent="0.2">
      <c r="A2312" s="10"/>
      <c r="B2312" s="26"/>
      <c r="C2312" s="11">
        <v>1991</v>
      </c>
      <c r="D2312" s="32">
        <f>SPFI_CLB14!$D$14</f>
        <v>0.62776900000000002</v>
      </c>
      <c r="E2312" s="32"/>
      <c r="F2312" s="32"/>
      <c r="G2312" s="32"/>
      <c r="H2312" s="32"/>
      <c r="I2312" s="32"/>
      <c r="J2312" s="28">
        <f t="shared" si="2026"/>
        <v>0</v>
      </c>
      <c r="K2312" s="29"/>
      <c r="L2312" s="29"/>
      <c r="M2312" s="29"/>
      <c r="N2312" s="29"/>
      <c r="O2312" s="29"/>
      <c r="P2312" s="30">
        <f t="shared" si="2028"/>
        <v>0</v>
      </c>
      <c r="Q2312" s="31">
        <f t="shared" si="2027"/>
        <v>0</v>
      </c>
    </row>
    <row r="2313" spans="1:17" x14ac:dyDescent="0.2">
      <c r="A2313" s="10"/>
      <c r="B2313" s="26"/>
      <c r="C2313" s="11">
        <v>1992</v>
      </c>
      <c r="D2313" s="32">
        <f>SPFI_CLB14!$D$15</f>
        <v>0.43504100000000001</v>
      </c>
      <c r="E2313" s="32"/>
      <c r="F2313" s="32"/>
      <c r="G2313" s="32"/>
      <c r="H2313" s="32"/>
      <c r="I2313" s="32"/>
      <c r="J2313" s="28">
        <f t="shared" si="2026"/>
        <v>0</v>
      </c>
      <c r="K2313" s="29"/>
      <c r="L2313" s="29"/>
      <c r="M2313" s="29"/>
      <c r="N2313" s="29"/>
      <c r="O2313" s="29"/>
      <c r="P2313" s="30">
        <f t="shared" si="2028"/>
        <v>0</v>
      </c>
      <c r="Q2313" s="31">
        <f t="shared" si="2027"/>
        <v>0</v>
      </c>
    </row>
    <row r="2314" spans="1:17" x14ac:dyDescent="0.2">
      <c r="A2314" s="10"/>
      <c r="B2314" s="26"/>
      <c r="C2314" s="11">
        <v>1993</v>
      </c>
      <c r="D2314" s="32">
        <f>SPFI_CLB14!$D$16</f>
        <v>0.499164</v>
      </c>
      <c r="E2314" s="32"/>
      <c r="F2314" s="32"/>
      <c r="G2314" s="32"/>
      <c r="H2314" s="32"/>
      <c r="I2314" s="32"/>
      <c r="J2314" s="28">
        <f t="shared" si="2026"/>
        <v>0</v>
      </c>
      <c r="K2314" s="29"/>
      <c r="L2314" s="29"/>
      <c r="M2314" s="29"/>
      <c r="N2314" s="29"/>
      <c r="O2314" s="29"/>
      <c r="P2314" s="30">
        <f t="shared" si="2028"/>
        <v>0</v>
      </c>
      <c r="Q2314" s="31">
        <f t="shared" si="2027"/>
        <v>0</v>
      </c>
    </row>
    <row r="2315" spans="1:17" x14ac:dyDescent="0.2">
      <c r="A2315" s="10"/>
      <c r="B2315" s="26"/>
      <c r="C2315" s="11">
        <v>1994</v>
      </c>
      <c r="D2315" s="32">
        <f>SPFI_CLB14!$D$17</f>
        <v>0.59591300000000003</v>
      </c>
      <c r="E2315" s="32"/>
      <c r="F2315" s="32"/>
      <c r="G2315" s="32"/>
      <c r="H2315" s="32"/>
      <c r="I2315" s="32"/>
      <c r="J2315" s="28">
        <f t="shared" si="2026"/>
        <v>0</v>
      </c>
      <c r="K2315" s="29"/>
      <c r="L2315" s="29"/>
      <c r="M2315" s="29"/>
      <c r="N2315" s="29"/>
      <c r="O2315" s="29"/>
      <c r="P2315" s="30">
        <f t="shared" si="2028"/>
        <v>0</v>
      </c>
      <c r="Q2315" s="31">
        <f t="shared" si="2027"/>
        <v>0</v>
      </c>
    </row>
    <row r="2316" spans="1:17" x14ac:dyDescent="0.2">
      <c r="A2316" s="10"/>
      <c r="B2316" s="26"/>
      <c r="C2316" s="11">
        <v>1995</v>
      </c>
      <c r="D2316" s="32">
        <f>SPFI_CLB14!$D$18</f>
        <v>0.25400800000000001</v>
      </c>
      <c r="E2316" s="32"/>
      <c r="F2316" s="32"/>
      <c r="G2316" s="32"/>
      <c r="H2316" s="32"/>
      <c r="I2316" s="32"/>
      <c r="J2316" s="28">
        <f t="shared" ref="J2316" si="2029">D2316*J$74</f>
        <v>0</v>
      </c>
      <c r="K2316" s="29"/>
      <c r="L2316" s="29"/>
      <c r="M2316" s="29"/>
      <c r="N2316" s="29"/>
      <c r="O2316" s="29"/>
      <c r="P2316" s="30">
        <f>SUM(J2316:O2316)</f>
        <v>0</v>
      </c>
      <c r="Q2316" s="31">
        <f t="shared" si="2027"/>
        <v>0</v>
      </c>
    </row>
    <row r="2317" spans="1:17" x14ac:dyDescent="0.2">
      <c r="A2317" s="10"/>
      <c r="B2317" s="26"/>
      <c r="C2317" s="11">
        <v>1996</v>
      </c>
      <c r="D2317" s="32">
        <f>SPFI_CLB14!$D$19</f>
        <v>0</v>
      </c>
      <c r="E2317" s="32"/>
      <c r="F2317" s="32"/>
      <c r="G2317" s="32"/>
      <c r="H2317" s="32"/>
      <c r="I2317" s="32"/>
      <c r="J2317" s="28">
        <f t="shared" ref="J2317" si="2030">D2317*J$74</f>
        <v>0</v>
      </c>
      <c r="K2317" s="29"/>
      <c r="L2317" s="29"/>
      <c r="M2317" s="29"/>
      <c r="N2317" s="29"/>
      <c r="O2317" s="29"/>
      <c r="P2317" s="30">
        <f>SUM(J2317:O2317)</f>
        <v>0</v>
      </c>
      <c r="Q2317" s="31">
        <f t="shared" si="2027"/>
        <v>0</v>
      </c>
    </row>
    <row r="2318" spans="1:17" x14ac:dyDescent="0.2">
      <c r="A2318" s="10"/>
      <c r="B2318" s="26"/>
      <c r="C2318" s="11">
        <v>1997</v>
      </c>
      <c r="D2318" s="32">
        <f>SPFI_CLB14!$D$20</f>
        <v>0.201487</v>
      </c>
      <c r="E2318" s="32"/>
      <c r="F2318" s="32"/>
      <c r="G2318" s="32"/>
      <c r="H2318" s="32"/>
      <c r="I2318" s="32"/>
      <c r="J2318" s="28">
        <f t="shared" ref="J2318" si="2031">D2318*J$74</f>
        <v>0</v>
      </c>
      <c r="K2318" s="29"/>
      <c r="L2318" s="29"/>
      <c r="M2318" s="29"/>
      <c r="N2318" s="29"/>
      <c r="O2318" s="29"/>
      <c r="P2318" s="30">
        <f>SUM(J2318:O2318)</f>
        <v>0</v>
      </c>
      <c r="Q2318" s="31">
        <f t="shared" si="2027"/>
        <v>0</v>
      </c>
    </row>
    <row r="2319" spans="1:17" x14ac:dyDescent="0.2">
      <c r="A2319" s="10"/>
      <c r="B2319" s="26"/>
      <c r="C2319" s="11">
        <v>1998</v>
      </c>
      <c r="D2319" s="32">
        <f>SPFI_CLB14!$D$21</f>
        <v>0.37506400000000001</v>
      </c>
      <c r="E2319" s="32"/>
      <c r="F2319" s="32"/>
      <c r="G2319" s="32"/>
      <c r="H2319" s="32"/>
      <c r="I2319" s="32"/>
      <c r="J2319" s="28">
        <f t="shared" ref="J2319" si="2032">D2319*J$74</f>
        <v>0</v>
      </c>
      <c r="K2319" s="29"/>
      <c r="L2319" s="29"/>
      <c r="M2319" s="29"/>
      <c r="N2319" s="29"/>
      <c r="O2319" s="29"/>
      <c r="P2319" s="30">
        <f>SUM(J2319:O2319)</f>
        <v>0</v>
      </c>
      <c r="Q2319" s="31">
        <f t="shared" si="2027"/>
        <v>0</v>
      </c>
    </row>
    <row r="2320" spans="1:17" x14ac:dyDescent="0.2">
      <c r="A2320" s="10"/>
      <c r="B2320" s="26"/>
      <c r="C2320" s="11">
        <v>1999</v>
      </c>
      <c r="D2320" s="32">
        <f>SPFI_CLB14!$D$22</f>
        <v>0.29823699999999997</v>
      </c>
      <c r="E2320" s="32"/>
      <c r="F2320" s="32"/>
      <c r="G2320" s="32"/>
      <c r="H2320" s="32"/>
      <c r="I2320" s="32"/>
      <c r="J2320" s="28">
        <f t="shared" ref="J2320" si="2033">D2320*J$74</f>
        <v>0</v>
      </c>
      <c r="K2320" s="29"/>
      <c r="L2320" s="29"/>
      <c r="M2320" s="29"/>
      <c r="N2320" s="29"/>
      <c r="O2320" s="29"/>
      <c r="P2320" s="30">
        <f>SUM(J2320:O2320)</f>
        <v>0</v>
      </c>
      <c r="Q2320" s="31">
        <f t="shared" ref="Q2320:Q2325" si="2034">IF(C$74&gt;0,P2320/C$74,0)</f>
        <v>0</v>
      </c>
    </row>
    <row r="2321" spans="1:17" x14ac:dyDescent="0.2">
      <c r="A2321" s="10"/>
      <c r="B2321" s="26"/>
      <c r="C2321" s="11">
        <v>2000</v>
      </c>
      <c r="D2321" s="32">
        <f>SPFI_CLB14!$D$23</f>
        <v>8.4414000000000003E-2</v>
      </c>
      <c r="E2321" s="32"/>
      <c r="F2321" s="32"/>
      <c r="G2321" s="32"/>
      <c r="H2321" s="32"/>
      <c r="I2321" s="32"/>
      <c r="J2321" s="28">
        <f t="shared" ref="J2321" si="2035">D2321*J$74</f>
        <v>0</v>
      </c>
      <c r="K2321" s="29"/>
      <c r="L2321" s="29"/>
      <c r="M2321" s="29"/>
      <c r="N2321" s="29"/>
      <c r="O2321" s="29"/>
      <c r="P2321" s="30">
        <f t="shared" ref="P2321:P2326" si="2036">SUM(J2321:O2321)</f>
        <v>0</v>
      </c>
      <c r="Q2321" s="31">
        <f t="shared" si="2034"/>
        <v>0</v>
      </c>
    </row>
    <row r="2322" spans="1:17" x14ac:dyDescent="0.2">
      <c r="A2322" s="10"/>
      <c r="B2322" s="26"/>
      <c r="C2322" s="11">
        <v>2001</v>
      </c>
      <c r="D2322" s="32">
        <f>SPFI_CLB14!$D$24</f>
        <v>7.8909000000000007E-2</v>
      </c>
      <c r="E2322" s="32"/>
      <c r="F2322" s="32"/>
      <c r="G2322" s="32"/>
      <c r="H2322" s="32"/>
      <c r="I2322" s="32"/>
      <c r="J2322" s="28">
        <f t="shared" ref="J2322" si="2037">D2322*J$74</f>
        <v>0</v>
      </c>
      <c r="K2322" s="29"/>
      <c r="L2322" s="29"/>
      <c r="M2322" s="29"/>
      <c r="N2322" s="29"/>
      <c r="O2322" s="29"/>
      <c r="P2322" s="30">
        <f t="shared" si="2036"/>
        <v>0</v>
      </c>
      <c r="Q2322" s="31">
        <f t="shared" si="2034"/>
        <v>0</v>
      </c>
    </row>
    <row r="2323" spans="1:17" x14ac:dyDescent="0.2">
      <c r="A2323" s="10"/>
      <c r="B2323" s="26"/>
      <c r="C2323" s="11">
        <v>2002</v>
      </c>
      <c r="D2323" s="32">
        <f>SPFI_CLB14!$D$25</f>
        <v>0.29974699999999999</v>
      </c>
      <c r="E2323" s="32"/>
      <c r="F2323" s="32"/>
      <c r="G2323" s="32"/>
      <c r="H2323" s="32"/>
      <c r="I2323" s="32"/>
      <c r="J2323" s="28">
        <f t="shared" ref="J2323" si="2038">D2323*J$74</f>
        <v>0</v>
      </c>
      <c r="K2323" s="29"/>
      <c r="L2323" s="29"/>
      <c r="M2323" s="29"/>
      <c r="N2323" s="29"/>
      <c r="O2323" s="29"/>
      <c r="P2323" s="30">
        <f t="shared" si="2036"/>
        <v>0</v>
      </c>
      <c r="Q2323" s="31">
        <f t="shared" si="2034"/>
        <v>0</v>
      </c>
    </row>
    <row r="2324" spans="1:17" x14ac:dyDescent="0.2">
      <c r="A2324" s="10"/>
      <c r="B2324" s="26"/>
      <c r="C2324" s="11">
        <v>2003</v>
      </c>
      <c r="D2324" s="32">
        <f>SPFI_CLB14!$D$26</f>
        <v>0.20691100000000001</v>
      </c>
      <c r="E2324" s="32"/>
      <c r="F2324" s="32"/>
      <c r="G2324" s="32"/>
      <c r="H2324" s="32"/>
      <c r="I2324" s="32"/>
      <c r="J2324" s="28">
        <f t="shared" ref="J2324" si="2039">D2324*J$74</f>
        <v>0</v>
      </c>
      <c r="K2324" s="29"/>
      <c r="L2324" s="29"/>
      <c r="M2324" s="29"/>
      <c r="N2324" s="29"/>
      <c r="O2324" s="29"/>
      <c r="P2324" s="30">
        <f t="shared" si="2036"/>
        <v>0</v>
      </c>
      <c r="Q2324" s="31">
        <f t="shared" si="2034"/>
        <v>0</v>
      </c>
    </row>
    <row r="2325" spans="1:17" x14ac:dyDescent="0.2">
      <c r="A2325" s="10"/>
      <c r="B2325" s="26"/>
      <c r="C2325" s="11">
        <v>2004</v>
      </c>
      <c r="D2325" s="32">
        <f>SPFI_CLB14!$D$27</f>
        <v>0.269237</v>
      </c>
      <c r="E2325" s="32"/>
      <c r="F2325" s="32"/>
      <c r="G2325" s="32"/>
      <c r="H2325" s="32"/>
      <c r="I2325" s="32"/>
      <c r="J2325" s="28">
        <f t="shared" ref="J2325" si="2040">D2325*J$74</f>
        <v>0</v>
      </c>
      <c r="K2325" s="29"/>
      <c r="L2325" s="29"/>
      <c r="M2325" s="29"/>
      <c r="N2325" s="29"/>
      <c r="O2325" s="29"/>
      <c r="P2325" s="30">
        <f t="shared" si="2036"/>
        <v>0</v>
      </c>
      <c r="Q2325" s="31">
        <f t="shared" si="2034"/>
        <v>0</v>
      </c>
    </row>
    <row r="2326" spans="1:17" x14ac:dyDescent="0.2">
      <c r="A2326" s="10"/>
      <c r="B2326" s="26"/>
      <c r="C2326" s="11">
        <v>2005</v>
      </c>
      <c r="D2326" s="32">
        <f>SPFI_CLB14!$D$28</f>
        <v>0.37848700000000002</v>
      </c>
      <c r="E2326" s="32"/>
      <c r="F2326" s="32"/>
      <c r="G2326" s="32"/>
      <c r="H2326" s="32"/>
      <c r="I2326" s="32"/>
      <c r="J2326" s="28">
        <f t="shared" ref="J2326" si="2041">D2326*J$74</f>
        <v>0</v>
      </c>
      <c r="K2326" s="29"/>
      <c r="L2326" s="29"/>
      <c r="M2326" s="29"/>
      <c r="N2326" s="29"/>
      <c r="O2326" s="29"/>
      <c r="P2326" s="30">
        <f t="shared" si="2036"/>
        <v>0</v>
      </c>
      <c r="Q2326" s="31">
        <f t="shared" ref="Q2326:Q2331" si="2042">IF(C$74&gt;0,P2326/C$74,0)</f>
        <v>0</v>
      </c>
    </row>
    <row r="2327" spans="1:17" x14ac:dyDescent="0.2">
      <c r="A2327" s="10"/>
      <c r="B2327" s="26"/>
      <c r="C2327" s="11">
        <v>2006</v>
      </c>
      <c r="D2327" s="32">
        <f>SPFI_CLB14!$D$29</f>
        <v>0.381023</v>
      </c>
      <c r="E2327" s="32"/>
      <c r="F2327" s="32"/>
      <c r="G2327" s="32"/>
      <c r="H2327" s="32"/>
      <c r="I2327" s="32"/>
      <c r="J2327" s="28">
        <f t="shared" ref="J2327" si="2043">D2327*J$74</f>
        <v>0</v>
      </c>
      <c r="K2327" s="29"/>
      <c r="L2327" s="29"/>
      <c r="M2327" s="29"/>
      <c r="N2327" s="29"/>
      <c r="O2327" s="29"/>
      <c r="P2327" s="30">
        <f t="shared" ref="P2327:P2334" si="2044">SUM(J2327:O2327)</f>
        <v>0</v>
      </c>
      <c r="Q2327" s="31">
        <f t="shared" si="2042"/>
        <v>0</v>
      </c>
    </row>
    <row r="2328" spans="1:17" x14ac:dyDescent="0.2">
      <c r="A2328" s="10"/>
      <c r="B2328" s="26"/>
      <c r="C2328" s="11">
        <v>2007</v>
      </c>
      <c r="D2328" s="32">
        <f>SPFI_CLB14!$D$30</f>
        <v>0.356512</v>
      </c>
      <c r="E2328" s="32"/>
      <c r="F2328" s="32"/>
      <c r="G2328" s="32"/>
      <c r="H2328" s="32"/>
      <c r="I2328" s="32"/>
      <c r="J2328" s="28">
        <f t="shared" ref="J2328" si="2045">D2328*J$74</f>
        <v>0</v>
      </c>
      <c r="K2328" s="29"/>
      <c r="L2328" s="29"/>
      <c r="M2328" s="29"/>
      <c r="N2328" s="29"/>
      <c r="O2328" s="29"/>
      <c r="P2328" s="30">
        <f t="shared" si="2044"/>
        <v>0</v>
      </c>
      <c r="Q2328" s="31">
        <f t="shared" si="2042"/>
        <v>0</v>
      </c>
    </row>
    <row r="2329" spans="1:17" x14ac:dyDescent="0.2">
      <c r="A2329" s="10"/>
      <c r="B2329" s="26"/>
      <c r="C2329" s="11">
        <v>2008</v>
      </c>
      <c r="D2329" s="32">
        <f>SPFI_CLB14!$D$31</f>
        <v>0.25494499999999998</v>
      </c>
      <c r="E2329" s="32"/>
      <c r="F2329" s="32"/>
      <c r="G2329" s="32"/>
      <c r="H2329" s="32"/>
      <c r="I2329" s="32"/>
      <c r="J2329" s="28">
        <f t="shared" ref="J2329" si="2046">D2329*J$74</f>
        <v>0</v>
      </c>
      <c r="K2329" s="29"/>
      <c r="L2329" s="29"/>
      <c r="M2329" s="29"/>
      <c r="N2329" s="29"/>
      <c r="O2329" s="29"/>
      <c r="P2329" s="30">
        <f t="shared" si="2044"/>
        <v>0</v>
      </c>
      <c r="Q2329" s="31">
        <f t="shared" si="2042"/>
        <v>0</v>
      </c>
    </row>
    <row r="2330" spans="1:17" x14ac:dyDescent="0.2">
      <c r="A2330" s="10"/>
      <c r="B2330" s="26"/>
      <c r="C2330" s="11">
        <v>2009</v>
      </c>
      <c r="D2330" s="32">
        <f>SPFI_CLB14!$D$32</f>
        <v>0.52383000000000002</v>
      </c>
      <c r="E2330" s="32"/>
      <c r="F2330" s="32"/>
      <c r="G2330" s="32"/>
      <c r="H2330" s="32"/>
      <c r="I2330" s="32"/>
      <c r="J2330" s="28">
        <f t="shared" ref="J2330" si="2047">D2330*J$74</f>
        <v>0</v>
      </c>
      <c r="K2330" s="29"/>
      <c r="L2330" s="29"/>
      <c r="M2330" s="29"/>
      <c r="N2330" s="29"/>
      <c r="O2330" s="29"/>
      <c r="P2330" s="30">
        <f t="shared" si="2044"/>
        <v>0</v>
      </c>
      <c r="Q2330" s="31">
        <f t="shared" si="2042"/>
        <v>0</v>
      </c>
    </row>
    <row r="2331" spans="1:17" x14ac:dyDescent="0.2">
      <c r="A2331" s="10"/>
      <c r="B2331" s="26"/>
      <c r="C2331" s="11">
        <v>2010</v>
      </c>
      <c r="D2331" s="32">
        <f>SPFI_CLB14!$D$33</f>
        <v>0.31394</v>
      </c>
      <c r="E2331" s="32"/>
      <c r="F2331" s="32"/>
      <c r="G2331" s="32"/>
      <c r="H2331" s="32"/>
      <c r="I2331" s="32"/>
      <c r="J2331" s="28">
        <f t="shared" ref="J2331" si="2048">D2331*J$74</f>
        <v>0</v>
      </c>
      <c r="K2331" s="29"/>
      <c r="L2331" s="29"/>
      <c r="M2331" s="29"/>
      <c r="N2331" s="29"/>
      <c r="O2331" s="29"/>
      <c r="P2331" s="30">
        <f t="shared" si="2044"/>
        <v>0</v>
      </c>
      <c r="Q2331" s="31">
        <f t="shared" si="2042"/>
        <v>0</v>
      </c>
    </row>
    <row r="2332" spans="1:17" x14ac:dyDescent="0.2">
      <c r="A2332" s="10"/>
      <c r="B2332" s="26"/>
      <c r="C2332" s="11">
        <v>2011</v>
      </c>
      <c r="D2332" s="32">
        <f>SPFI_CLB14!$D$34</f>
        <v>0.294348</v>
      </c>
      <c r="E2332" s="32"/>
      <c r="F2332" s="32"/>
      <c r="G2332" s="32"/>
      <c r="H2332" s="32"/>
      <c r="I2332" s="32"/>
      <c r="J2332" s="28">
        <f t="shared" ref="J2332" si="2049">D2332*J$74</f>
        <v>0</v>
      </c>
      <c r="K2332" s="29"/>
      <c r="L2332" s="29"/>
      <c r="M2332" s="29"/>
      <c r="N2332" s="29"/>
      <c r="O2332" s="29"/>
      <c r="P2332" s="30">
        <f t="shared" ref="P2332" si="2050">SUM(J2332:O2332)</f>
        <v>0</v>
      </c>
      <c r="Q2332" s="31">
        <f t="shared" ref="Q2332" si="2051">IF(C$74&gt;0,P2332/C$74,0)</f>
        <v>0</v>
      </c>
    </row>
    <row r="2333" spans="1:17" x14ac:dyDescent="0.2">
      <c r="A2333" s="10"/>
      <c r="B2333" s="26"/>
      <c r="C2333" s="11">
        <v>2012</v>
      </c>
      <c r="D2333" s="32">
        <f>SPFI_CLB14!$D$35</f>
        <v>0.34784100000000001</v>
      </c>
      <c r="E2333" s="32"/>
      <c r="F2333" s="32"/>
      <c r="G2333" s="32"/>
      <c r="H2333" s="32"/>
      <c r="I2333" s="32"/>
      <c r="J2333" s="28">
        <f t="shared" ref="J2333" si="2052">D2333*J$74</f>
        <v>0</v>
      </c>
      <c r="K2333" s="29"/>
      <c r="L2333" s="29"/>
      <c r="M2333" s="29"/>
      <c r="N2333" s="29"/>
      <c r="O2333" s="29"/>
      <c r="P2333" s="30">
        <f t="shared" ref="P2333" si="2053">SUM(J2333:O2333)</f>
        <v>0</v>
      </c>
      <c r="Q2333" s="31">
        <f t="shared" ref="Q2333" si="2054">IF(C$74&gt;0,P2333/C$74,0)</f>
        <v>0</v>
      </c>
    </row>
    <row r="2334" spans="1:17" x14ac:dyDescent="0.2">
      <c r="A2334" s="5" t="s">
        <v>23</v>
      </c>
      <c r="B2334" s="21">
        <v>5</v>
      </c>
      <c r="C2334" s="6">
        <v>1982</v>
      </c>
      <c r="D2334" s="27">
        <f>SPFI_CLB14!$D$5</f>
        <v>0.98153299999999999</v>
      </c>
      <c r="E2334" s="27"/>
      <c r="F2334" s="27"/>
      <c r="G2334" s="27"/>
      <c r="H2334" s="27"/>
      <c r="I2334" s="27"/>
      <c r="J2334" s="33">
        <f t="shared" ref="J2334:J2346" si="2055">D2334*J$75</f>
        <v>0</v>
      </c>
      <c r="K2334" s="27"/>
      <c r="L2334" s="27"/>
      <c r="M2334" s="27"/>
      <c r="N2334" s="27"/>
      <c r="O2334" s="27"/>
      <c r="P2334" s="34">
        <f t="shared" si="2044"/>
        <v>0</v>
      </c>
      <c r="Q2334" s="35">
        <f t="shared" ref="Q2334:Q2350" si="2056">IF(C$75&gt;0,P2334/C$75,0)</f>
        <v>0</v>
      </c>
    </row>
    <row r="2335" spans="1:17" x14ac:dyDescent="0.2">
      <c r="A2335" s="10"/>
      <c r="B2335" s="26"/>
      <c r="C2335" s="11">
        <v>1983</v>
      </c>
      <c r="D2335" s="32">
        <f>SPFI_CLB14!$D$6</f>
        <v>0.93659899999999996</v>
      </c>
      <c r="E2335" s="32"/>
      <c r="F2335" s="32"/>
      <c r="G2335" s="32"/>
      <c r="H2335" s="32"/>
      <c r="I2335" s="32"/>
      <c r="J2335" s="28">
        <f t="shared" si="2055"/>
        <v>0</v>
      </c>
      <c r="K2335" s="29"/>
      <c r="L2335" s="29"/>
      <c r="M2335" s="29"/>
      <c r="N2335" s="29"/>
      <c r="O2335" s="29"/>
      <c r="P2335" s="30">
        <f t="shared" ref="P2335:P2346" si="2057">SUM(J2335:O2335)</f>
        <v>0</v>
      </c>
      <c r="Q2335" s="31">
        <f t="shared" si="2056"/>
        <v>0</v>
      </c>
    </row>
    <row r="2336" spans="1:17" x14ac:dyDescent="0.2">
      <c r="A2336" s="10"/>
      <c r="B2336" s="26"/>
      <c r="C2336" s="11">
        <v>1984</v>
      </c>
      <c r="D2336" s="32">
        <f>SPFI_CLB14!$D$7</f>
        <v>0.92793599999999998</v>
      </c>
      <c r="E2336" s="32"/>
      <c r="F2336" s="32"/>
      <c r="G2336" s="32"/>
      <c r="H2336" s="32"/>
      <c r="I2336" s="32"/>
      <c r="J2336" s="28">
        <f t="shared" si="2055"/>
        <v>0</v>
      </c>
      <c r="K2336" s="29"/>
      <c r="L2336" s="29"/>
      <c r="M2336" s="29"/>
      <c r="N2336" s="29"/>
      <c r="O2336" s="29"/>
      <c r="P2336" s="30">
        <f t="shared" si="2057"/>
        <v>0</v>
      </c>
      <c r="Q2336" s="31">
        <f t="shared" si="2056"/>
        <v>0</v>
      </c>
    </row>
    <row r="2337" spans="1:17" x14ac:dyDescent="0.2">
      <c r="A2337" s="10"/>
      <c r="B2337" s="26"/>
      <c r="C2337" s="11">
        <v>1985</v>
      </c>
      <c r="D2337" s="32">
        <f>SPFI_CLB14!$D$8</f>
        <v>0.90386500000000003</v>
      </c>
      <c r="E2337" s="32"/>
      <c r="F2337" s="32"/>
      <c r="G2337" s="32"/>
      <c r="H2337" s="32"/>
      <c r="I2337" s="32"/>
      <c r="J2337" s="28">
        <f t="shared" si="2055"/>
        <v>0</v>
      </c>
      <c r="K2337" s="29"/>
      <c r="L2337" s="29"/>
      <c r="M2337" s="29"/>
      <c r="N2337" s="29"/>
      <c r="O2337" s="29"/>
      <c r="P2337" s="30">
        <f t="shared" si="2057"/>
        <v>0</v>
      </c>
      <c r="Q2337" s="31">
        <f t="shared" si="2056"/>
        <v>0</v>
      </c>
    </row>
    <row r="2338" spans="1:17" x14ac:dyDescent="0.2">
      <c r="A2338" s="10"/>
      <c r="B2338" s="26"/>
      <c r="C2338" s="11">
        <v>1986</v>
      </c>
      <c r="D2338" s="32">
        <f>SPFI_CLB14!$D$9</f>
        <v>0.73087500000000005</v>
      </c>
      <c r="E2338" s="32"/>
      <c r="F2338" s="32"/>
      <c r="G2338" s="32"/>
      <c r="H2338" s="32"/>
      <c r="I2338" s="32"/>
      <c r="J2338" s="28">
        <f t="shared" si="2055"/>
        <v>0</v>
      </c>
      <c r="K2338" s="29"/>
      <c r="L2338" s="29"/>
      <c r="M2338" s="29"/>
      <c r="N2338" s="29"/>
      <c r="O2338" s="29"/>
      <c r="P2338" s="30">
        <f t="shared" si="2057"/>
        <v>0</v>
      </c>
      <c r="Q2338" s="31">
        <f t="shared" si="2056"/>
        <v>0</v>
      </c>
    </row>
    <row r="2339" spans="1:17" x14ac:dyDescent="0.2">
      <c r="A2339" s="10"/>
      <c r="B2339" s="26"/>
      <c r="C2339" s="11">
        <v>1987</v>
      </c>
      <c r="D2339" s="32">
        <f>SPFI_CLB14!$D$10</f>
        <v>0.71733499999999994</v>
      </c>
      <c r="E2339" s="32"/>
      <c r="F2339" s="32"/>
      <c r="G2339" s="32"/>
      <c r="H2339" s="32"/>
      <c r="I2339" s="32"/>
      <c r="J2339" s="28">
        <f t="shared" si="2055"/>
        <v>0</v>
      </c>
      <c r="K2339" s="29"/>
      <c r="L2339" s="29"/>
      <c r="M2339" s="29"/>
      <c r="N2339" s="29"/>
      <c r="O2339" s="29"/>
      <c r="P2339" s="30">
        <f t="shared" si="2057"/>
        <v>0</v>
      </c>
      <c r="Q2339" s="31">
        <f t="shared" si="2056"/>
        <v>0</v>
      </c>
    </row>
    <row r="2340" spans="1:17" x14ac:dyDescent="0.2">
      <c r="A2340" s="10"/>
      <c r="B2340" s="26"/>
      <c r="C2340" s="11">
        <v>1988</v>
      </c>
      <c r="D2340" s="32">
        <f>SPFI_CLB14!$D$11</f>
        <v>0.64558800000000005</v>
      </c>
      <c r="E2340" s="32"/>
      <c r="F2340" s="32"/>
      <c r="G2340" s="32"/>
      <c r="H2340" s="32"/>
      <c r="I2340" s="32"/>
      <c r="J2340" s="28">
        <f t="shared" si="2055"/>
        <v>0</v>
      </c>
      <c r="K2340" s="29"/>
      <c r="L2340" s="29"/>
      <c r="M2340" s="29"/>
      <c r="N2340" s="29"/>
      <c r="O2340" s="29"/>
      <c r="P2340" s="30">
        <f t="shared" si="2057"/>
        <v>0</v>
      </c>
      <c r="Q2340" s="31">
        <f t="shared" si="2056"/>
        <v>0</v>
      </c>
    </row>
    <row r="2341" spans="1:17" x14ac:dyDescent="0.2">
      <c r="A2341" s="10"/>
      <c r="B2341" s="26"/>
      <c r="C2341" s="11">
        <v>1989</v>
      </c>
      <c r="D2341" s="32">
        <f>SPFI_CLB14!$D$12</f>
        <v>0.65287700000000004</v>
      </c>
      <c r="E2341" s="32"/>
      <c r="F2341" s="32"/>
      <c r="G2341" s="32"/>
      <c r="H2341" s="32"/>
      <c r="I2341" s="32"/>
      <c r="J2341" s="28">
        <f t="shared" si="2055"/>
        <v>0</v>
      </c>
      <c r="K2341" s="29"/>
      <c r="L2341" s="29"/>
      <c r="M2341" s="29"/>
      <c r="N2341" s="29"/>
      <c r="O2341" s="29"/>
      <c r="P2341" s="30">
        <f t="shared" si="2057"/>
        <v>0</v>
      </c>
      <c r="Q2341" s="31">
        <f t="shared" si="2056"/>
        <v>0</v>
      </c>
    </row>
    <row r="2342" spans="1:17" x14ac:dyDescent="0.2">
      <c r="A2342" s="10"/>
      <c r="B2342" s="26"/>
      <c r="C2342" s="11">
        <v>1990</v>
      </c>
      <c r="D2342" s="32">
        <f>SPFI_CLB14!$D$13</f>
        <v>0.56965100000000002</v>
      </c>
      <c r="E2342" s="32"/>
      <c r="F2342" s="32"/>
      <c r="G2342" s="32"/>
      <c r="H2342" s="32"/>
      <c r="I2342" s="32"/>
      <c r="J2342" s="28">
        <f t="shared" si="2055"/>
        <v>0</v>
      </c>
      <c r="K2342" s="29"/>
      <c r="L2342" s="29"/>
      <c r="M2342" s="29"/>
      <c r="N2342" s="29"/>
      <c r="O2342" s="29"/>
      <c r="P2342" s="30">
        <f t="shared" si="2057"/>
        <v>0</v>
      </c>
      <c r="Q2342" s="31">
        <f t="shared" si="2056"/>
        <v>0</v>
      </c>
    </row>
    <row r="2343" spans="1:17" x14ac:dyDescent="0.2">
      <c r="A2343" s="10"/>
      <c r="B2343" s="26"/>
      <c r="C2343" s="11">
        <v>1991</v>
      </c>
      <c r="D2343" s="32">
        <f>SPFI_CLB14!$D$14</f>
        <v>0.62776900000000002</v>
      </c>
      <c r="E2343" s="32"/>
      <c r="F2343" s="32"/>
      <c r="G2343" s="32"/>
      <c r="H2343" s="32"/>
      <c r="I2343" s="32"/>
      <c r="J2343" s="28">
        <f t="shared" si="2055"/>
        <v>0</v>
      </c>
      <c r="K2343" s="29"/>
      <c r="L2343" s="29"/>
      <c r="M2343" s="29"/>
      <c r="N2343" s="29"/>
      <c r="O2343" s="29"/>
      <c r="P2343" s="30">
        <f t="shared" si="2057"/>
        <v>0</v>
      </c>
      <c r="Q2343" s="31">
        <f t="shared" si="2056"/>
        <v>0</v>
      </c>
    </row>
    <row r="2344" spans="1:17" x14ac:dyDescent="0.2">
      <c r="A2344" s="10"/>
      <c r="B2344" s="26"/>
      <c r="C2344" s="11">
        <v>1992</v>
      </c>
      <c r="D2344" s="32">
        <f>SPFI_CLB14!$D$15</f>
        <v>0.43504100000000001</v>
      </c>
      <c r="E2344" s="32"/>
      <c r="F2344" s="32"/>
      <c r="G2344" s="32"/>
      <c r="H2344" s="32"/>
      <c r="I2344" s="32"/>
      <c r="J2344" s="28">
        <f t="shared" si="2055"/>
        <v>0</v>
      </c>
      <c r="K2344" s="29"/>
      <c r="L2344" s="29"/>
      <c r="M2344" s="29"/>
      <c r="N2344" s="29"/>
      <c r="O2344" s="29"/>
      <c r="P2344" s="30">
        <f t="shared" si="2057"/>
        <v>0</v>
      </c>
      <c r="Q2344" s="31">
        <f t="shared" si="2056"/>
        <v>0</v>
      </c>
    </row>
    <row r="2345" spans="1:17" x14ac:dyDescent="0.2">
      <c r="A2345" s="10"/>
      <c r="B2345" s="26"/>
      <c r="C2345" s="11">
        <v>1993</v>
      </c>
      <c r="D2345" s="32">
        <f>SPFI_CLB14!$D$16</f>
        <v>0.499164</v>
      </c>
      <c r="E2345" s="32"/>
      <c r="F2345" s="32"/>
      <c r="G2345" s="32"/>
      <c r="H2345" s="32"/>
      <c r="I2345" s="32"/>
      <c r="J2345" s="28">
        <f t="shared" si="2055"/>
        <v>0</v>
      </c>
      <c r="K2345" s="29"/>
      <c r="L2345" s="29"/>
      <c r="M2345" s="29"/>
      <c r="N2345" s="29"/>
      <c r="O2345" s="29"/>
      <c r="P2345" s="30">
        <f t="shared" si="2057"/>
        <v>0</v>
      </c>
      <c r="Q2345" s="31">
        <f t="shared" si="2056"/>
        <v>0</v>
      </c>
    </row>
    <row r="2346" spans="1:17" x14ac:dyDescent="0.2">
      <c r="A2346" s="10"/>
      <c r="B2346" s="26" t="s">
        <v>48</v>
      </c>
      <c r="C2346" s="11">
        <v>1994</v>
      </c>
      <c r="D2346" s="32">
        <f>SPFI_CLB14!$D$17</f>
        <v>0.59591300000000003</v>
      </c>
      <c r="E2346" s="32"/>
      <c r="F2346" s="32"/>
      <c r="G2346" s="32"/>
      <c r="H2346" s="32"/>
      <c r="I2346" s="32"/>
      <c r="J2346" s="28">
        <f t="shared" si="2055"/>
        <v>0</v>
      </c>
      <c r="K2346" s="29"/>
      <c r="L2346" s="29"/>
      <c r="M2346" s="29"/>
      <c r="N2346" s="29"/>
      <c r="O2346" s="29"/>
      <c r="P2346" s="30">
        <f t="shared" si="2057"/>
        <v>0</v>
      </c>
      <c r="Q2346" s="31">
        <f t="shared" si="2056"/>
        <v>0</v>
      </c>
    </row>
    <row r="2347" spans="1:17" x14ac:dyDescent="0.2">
      <c r="A2347" s="10"/>
      <c r="B2347" s="26"/>
      <c r="C2347" s="11">
        <v>1995</v>
      </c>
      <c r="D2347" s="32">
        <f>SPFI_CLB14!$D$18</f>
        <v>0.25400800000000001</v>
      </c>
      <c r="E2347" s="32"/>
      <c r="F2347" s="32"/>
      <c r="G2347" s="32"/>
      <c r="H2347" s="32"/>
      <c r="I2347" s="32"/>
      <c r="J2347" s="28">
        <f t="shared" ref="J2347" si="2058">D2347*J$75</f>
        <v>0</v>
      </c>
      <c r="K2347" s="29"/>
      <c r="L2347" s="29"/>
      <c r="M2347" s="29"/>
      <c r="N2347" s="29"/>
      <c r="O2347" s="29"/>
      <c r="P2347" s="30">
        <f>SUM(J2347:O2347)</f>
        <v>0</v>
      </c>
      <c r="Q2347" s="31">
        <f t="shared" si="2056"/>
        <v>0</v>
      </c>
    </row>
    <row r="2348" spans="1:17" x14ac:dyDescent="0.2">
      <c r="A2348" s="10"/>
      <c r="B2348" s="26"/>
      <c r="C2348" s="11">
        <v>1996</v>
      </c>
      <c r="D2348" s="32">
        <f>SPFI_CLB14!$D$19</f>
        <v>0</v>
      </c>
      <c r="E2348" s="32"/>
      <c r="F2348" s="32"/>
      <c r="G2348" s="32"/>
      <c r="H2348" s="32"/>
      <c r="I2348" s="32"/>
      <c r="J2348" s="28">
        <f t="shared" ref="J2348" si="2059">D2348*J$75</f>
        <v>0</v>
      </c>
      <c r="K2348" s="29"/>
      <c r="L2348" s="29"/>
      <c r="M2348" s="29"/>
      <c r="N2348" s="29"/>
      <c r="O2348" s="29"/>
      <c r="P2348" s="30">
        <f>SUM(J2348:O2348)</f>
        <v>0</v>
      </c>
      <c r="Q2348" s="31">
        <f t="shared" si="2056"/>
        <v>0</v>
      </c>
    </row>
    <row r="2349" spans="1:17" x14ac:dyDescent="0.2">
      <c r="A2349" s="10"/>
      <c r="B2349" s="26"/>
      <c r="C2349" s="11">
        <v>1997</v>
      </c>
      <c r="D2349" s="32">
        <f>SPFI_CLB14!$D$20</f>
        <v>0.201487</v>
      </c>
      <c r="E2349" s="32"/>
      <c r="F2349" s="32"/>
      <c r="G2349" s="32"/>
      <c r="H2349" s="32"/>
      <c r="I2349" s="32"/>
      <c r="J2349" s="28">
        <f t="shared" ref="J2349" si="2060">D2349*J$75</f>
        <v>0</v>
      </c>
      <c r="K2349" s="29"/>
      <c r="L2349" s="29"/>
      <c r="M2349" s="29"/>
      <c r="N2349" s="29"/>
      <c r="O2349" s="29"/>
      <c r="P2349" s="30">
        <f>SUM(J2349:O2349)</f>
        <v>0</v>
      </c>
      <c r="Q2349" s="31">
        <f t="shared" si="2056"/>
        <v>0</v>
      </c>
    </row>
    <row r="2350" spans="1:17" x14ac:dyDescent="0.2">
      <c r="A2350" s="10"/>
      <c r="B2350" s="26"/>
      <c r="C2350" s="11">
        <v>1998</v>
      </c>
      <c r="D2350" s="32">
        <f>SPFI_CLB14!$D$21</f>
        <v>0.37506400000000001</v>
      </c>
      <c r="E2350" s="32"/>
      <c r="F2350" s="32"/>
      <c r="G2350" s="32"/>
      <c r="H2350" s="32"/>
      <c r="I2350" s="32"/>
      <c r="J2350" s="28">
        <f t="shared" ref="J2350" si="2061">D2350*J$75</f>
        <v>0</v>
      </c>
      <c r="K2350" s="29"/>
      <c r="L2350" s="29"/>
      <c r="M2350" s="29"/>
      <c r="N2350" s="29"/>
      <c r="O2350" s="29"/>
      <c r="P2350" s="30">
        <f>SUM(J2350:O2350)</f>
        <v>0</v>
      </c>
      <c r="Q2350" s="31">
        <f t="shared" si="2056"/>
        <v>0</v>
      </c>
    </row>
    <row r="2351" spans="1:17" x14ac:dyDescent="0.2">
      <c r="A2351" s="10"/>
      <c r="B2351" s="26"/>
      <c r="C2351" s="11">
        <v>1999</v>
      </c>
      <c r="D2351" s="32">
        <f>SPFI_CLB14!$D$22</f>
        <v>0.29823699999999997</v>
      </c>
      <c r="E2351" s="32"/>
      <c r="F2351" s="32"/>
      <c r="G2351" s="32"/>
      <c r="H2351" s="32"/>
      <c r="I2351" s="32"/>
      <c r="J2351" s="28">
        <f t="shared" ref="J2351" si="2062">D2351*J$75</f>
        <v>0</v>
      </c>
      <c r="K2351" s="29"/>
      <c r="L2351" s="29"/>
      <c r="M2351" s="29"/>
      <c r="N2351" s="29"/>
      <c r="O2351" s="29"/>
      <c r="P2351" s="30">
        <f>SUM(J2351:O2351)</f>
        <v>0</v>
      </c>
      <c r="Q2351" s="31">
        <f t="shared" ref="Q2351:Q2356" si="2063">IF(C$75&gt;0,P2351/C$75,0)</f>
        <v>0</v>
      </c>
    </row>
    <row r="2352" spans="1:17" x14ac:dyDescent="0.2">
      <c r="A2352" s="10"/>
      <c r="B2352" s="26"/>
      <c r="C2352" s="11">
        <v>2000</v>
      </c>
      <c r="D2352" s="32">
        <f>SPFI_CLB14!$D$23</f>
        <v>8.4414000000000003E-2</v>
      </c>
      <c r="E2352" s="32"/>
      <c r="F2352" s="32"/>
      <c r="G2352" s="32"/>
      <c r="H2352" s="32"/>
      <c r="I2352" s="32"/>
      <c r="J2352" s="28">
        <f t="shared" ref="J2352" si="2064">D2352*J$75</f>
        <v>0</v>
      </c>
      <c r="K2352" s="29"/>
      <c r="L2352" s="29"/>
      <c r="M2352" s="29"/>
      <c r="N2352" s="29"/>
      <c r="O2352" s="29"/>
      <c r="P2352" s="30">
        <f t="shared" ref="P2352:P2357" si="2065">SUM(J2352:O2352)</f>
        <v>0</v>
      </c>
      <c r="Q2352" s="31">
        <f t="shared" si="2063"/>
        <v>0</v>
      </c>
    </row>
    <row r="2353" spans="1:17" x14ac:dyDescent="0.2">
      <c r="A2353" s="10"/>
      <c r="B2353" s="26"/>
      <c r="C2353" s="11">
        <v>2001</v>
      </c>
      <c r="D2353" s="32">
        <f>SPFI_CLB14!$D$24</f>
        <v>7.8909000000000007E-2</v>
      </c>
      <c r="E2353" s="32"/>
      <c r="F2353" s="32"/>
      <c r="G2353" s="32"/>
      <c r="H2353" s="32"/>
      <c r="I2353" s="32"/>
      <c r="J2353" s="28">
        <f t="shared" ref="J2353" si="2066">D2353*J$75</f>
        <v>0</v>
      </c>
      <c r="K2353" s="29"/>
      <c r="L2353" s="29"/>
      <c r="M2353" s="29"/>
      <c r="N2353" s="29"/>
      <c r="O2353" s="29"/>
      <c r="P2353" s="30">
        <f t="shared" si="2065"/>
        <v>0</v>
      </c>
      <c r="Q2353" s="31">
        <f t="shared" si="2063"/>
        <v>0</v>
      </c>
    </row>
    <row r="2354" spans="1:17" x14ac:dyDescent="0.2">
      <c r="A2354" s="10"/>
      <c r="B2354" s="26"/>
      <c r="C2354" s="11">
        <v>2002</v>
      </c>
      <c r="D2354" s="32">
        <f>SPFI_CLB14!$D$25</f>
        <v>0.29974699999999999</v>
      </c>
      <c r="E2354" s="32"/>
      <c r="F2354" s="32"/>
      <c r="G2354" s="32"/>
      <c r="H2354" s="32"/>
      <c r="I2354" s="32"/>
      <c r="J2354" s="28">
        <f t="shared" ref="J2354" si="2067">D2354*J$75</f>
        <v>0</v>
      </c>
      <c r="K2354" s="29"/>
      <c r="L2354" s="29"/>
      <c r="M2354" s="29"/>
      <c r="N2354" s="29"/>
      <c r="O2354" s="29"/>
      <c r="P2354" s="30">
        <f t="shared" si="2065"/>
        <v>0</v>
      </c>
      <c r="Q2354" s="31">
        <f t="shared" si="2063"/>
        <v>0</v>
      </c>
    </row>
    <row r="2355" spans="1:17" x14ac:dyDescent="0.2">
      <c r="A2355" s="10"/>
      <c r="B2355" s="26"/>
      <c r="C2355" s="11">
        <v>2003</v>
      </c>
      <c r="D2355" s="32">
        <f>SPFI_CLB14!$D$26</f>
        <v>0.20691100000000001</v>
      </c>
      <c r="E2355" s="32"/>
      <c r="F2355" s="32"/>
      <c r="G2355" s="32"/>
      <c r="H2355" s="32"/>
      <c r="I2355" s="32"/>
      <c r="J2355" s="28">
        <f t="shared" ref="J2355" si="2068">D2355*J$75</f>
        <v>0</v>
      </c>
      <c r="K2355" s="29"/>
      <c r="L2355" s="29"/>
      <c r="M2355" s="29"/>
      <c r="N2355" s="29"/>
      <c r="O2355" s="29"/>
      <c r="P2355" s="30">
        <f t="shared" si="2065"/>
        <v>0</v>
      </c>
      <c r="Q2355" s="31">
        <f t="shared" si="2063"/>
        <v>0</v>
      </c>
    </row>
    <row r="2356" spans="1:17" x14ac:dyDescent="0.2">
      <c r="A2356" s="10"/>
      <c r="B2356" s="26"/>
      <c r="C2356" s="11">
        <v>2004</v>
      </c>
      <c r="D2356" s="32">
        <f>SPFI_CLB14!$D$27</f>
        <v>0.269237</v>
      </c>
      <c r="E2356" s="32"/>
      <c r="F2356" s="32"/>
      <c r="G2356" s="32"/>
      <c r="H2356" s="32"/>
      <c r="I2356" s="32"/>
      <c r="J2356" s="28">
        <f t="shared" ref="J2356" si="2069">D2356*J$75</f>
        <v>0</v>
      </c>
      <c r="K2356" s="29"/>
      <c r="L2356" s="29"/>
      <c r="M2356" s="29"/>
      <c r="N2356" s="29"/>
      <c r="O2356" s="29"/>
      <c r="P2356" s="30">
        <f t="shared" si="2065"/>
        <v>0</v>
      </c>
      <c r="Q2356" s="31">
        <f t="shared" si="2063"/>
        <v>0</v>
      </c>
    </row>
    <row r="2357" spans="1:17" x14ac:dyDescent="0.2">
      <c r="A2357" s="10"/>
      <c r="B2357" s="26"/>
      <c r="C2357" s="11">
        <v>2005</v>
      </c>
      <c r="D2357" s="32">
        <f>SPFI_CLB14!$D$28</f>
        <v>0.37848700000000002</v>
      </c>
      <c r="E2357" s="32"/>
      <c r="F2357" s="32"/>
      <c r="G2357" s="32"/>
      <c r="H2357" s="32"/>
      <c r="I2357" s="32"/>
      <c r="J2357" s="28">
        <f t="shared" ref="J2357" si="2070">D2357*J$75</f>
        <v>0</v>
      </c>
      <c r="K2357" s="29"/>
      <c r="L2357" s="29"/>
      <c r="M2357" s="29"/>
      <c r="N2357" s="29"/>
      <c r="O2357" s="29"/>
      <c r="P2357" s="30">
        <f t="shared" si="2065"/>
        <v>0</v>
      </c>
      <c r="Q2357" s="31">
        <f t="shared" ref="Q2357:Q2362" si="2071">IF(C$75&gt;0,P2357/C$75,0)</f>
        <v>0</v>
      </c>
    </row>
    <row r="2358" spans="1:17" x14ac:dyDescent="0.2">
      <c r="A2358" s="10"/>
      <c r="B2358" s="26"/>
      <c r="C2358" s="11">
        <v>2006</v>
      </c>
      <c r="D2358" s="32">
        <f>SPFI_CLB14!$D$29</f>
        <v>0.381023</v>
      </c>
      <c r="E2358" s="32"/>
      <c r="F2358" s="32"/>
      <c r="G2358" s="32"/>
      <c r="H2358" s="32"/>
      <c r="I2358" s="32"/>
      <c r="J2358" s="28">
        <f t="shared" ref="J2358" si="2072">D2358*J$75</f>
        <v>0</v>
      </c>
      <c r="K2358" s="29"/>
      <c r="L2358" s="29"/>
      <c r="M2358" s="29"/>
      <c r="N2358" s="29"/>
      <c r="O2358" s="29"/>
      <c r="P2358" s="30">
        <f t="shared" ref="P2358:P2365" si="2073">SUM(J2358:O2358)</f>
        <v>0</v>
      </c>
      <c r="Q2358" s="31">
        <f t="shared" si="2071"/>
        <v>0</v>
      </c>
    </row>
    <row r="2359" spans="1:17" x14ac:dyDescent="0.2">
      <c r="A2359" s="10"/>
      <c r="B2359" s="26"/>
      <c r="C2359" s="11">
        <v>2007</v>
      </c>
      <c r="D2359" s="32">
        <f>SPFI_CLB14!$D$30</f>
        <v>0.356512</v>
      </c>
      <c r="E2359" s="32"/>
      <c r="F2359" s="32"/>
      <c r="G2359" s="32"/>
      <c r="H2359" s="32"/>
      <c r="I2359" s="32"/>
      <c r="J2359" s="28">
        <f t="shared" ref="J2359" si="2074">D2359*J$75</f>
        <v>0</v>
      </c>
      <c r="K2359" s="29"/>
      <c r="L2359" s="29"/>
      <c r="M2359" s="29"/>
      <c r="N2359" s="29"/>
      <c r="O2359" s="29"/>
      <c r="P2359" s="30">
        <f t="shared" si="2073"/>
        <v>0</v>
      </c>
      <c r="Q2359" s="31">
        <f t="shared" si="2071"/>
        <v>0</v>
      </c>
    </row>
    <row r="2360" spans="1:17" x14ac:dyDescent="0.2">
      <c r="A2360" s="10"/>
      <c r="B2360" s="26"/>
      <c r="C2360" s="11">
        <v>2008</v>
      </c>
      <c r="D2360" s="32">
        <f>SPFI_CLB14!$D$31</f>
        <v>0.25494499999999998</v>
      </c>
      <c r="E2360" s="32"/>
      <c r="F2360" s="32"/>
      <c r="G2360" s="32"/>
      <c r="H2360" s="32"/>
      <c r="I2360" s="32"/>
      <c r="J2360" s="28">
        <f t="shared" ref="J2360" si="2075">D2360*J$75</f>
        <v>0</v>
      </c>
      <c r="K2360" s="29"/>
      <c r="L2360" s="29"/>
      <c r="M2360" s="29"/>
      <c r="N2360" s="29"/>
      <c r="O2360" s="29"/>
      <c r="P2360" s="30">
        <f t="shared" si="2073"/>
        <v>0</v>
      </c>
      <c r="Q2360" s="31">
        <f t="shared" si="2071"/>
        <v>0</v>
      </c>
    </row>
    <row r="2361" spans="1:17" x14ac:dyDescent="0.2">
      <c r="A2361" s="10"/>
      <c r="B2361" s="26"/>
      <c r="C2361" s="11">
        <v>2009</v>
      </c>
      <c r="D2361" s="32">
        <f>SPFI_CLB14!$D$32</f>
        <v>0.52383000000000002</v>
      </c>
      <c r="E2361" s="32"/>
      <c r="F2361" s="32"/>
      <c r="G2361" s="32"/>
      <c r="H2361" s="32"/>
      <c r="I2361" s="32"/>
      <c r="J2361" s="28">
        <f t="shared" ref="J2361" si="2076">D2361*J$75</f>
        <v>0</v>
      </c>
      <c r="K2361" s="29"/>
      <c r="L2361" s="29"/>
      <c r="M2361" s="29"/>
      <c r="N2361" s="29"/>
      <c r="O2361" s="29"/>
      <c r="P2361" s="30">
        <f t="shared" si="2073"/>
        <v>0</v>
      </c>
      <c r="Q2361" s="31">
        <f t="shared" si="2071"/>
        <v>0</v>
      </c>
    </row>
    <row r="2362" spans="1:17" x14ac:dyDescent="0.2">
      <c r="A2362" s="10"/>
      <c r="B2362" s="26"/>
      <c r="C2362" s="11">
        <v>2010</v>
      </c>
      <c r="D2362" s="32">
        <f>SPFI_CLB14!$D$33</f>
        <v>0.31394</v>
      </c>
      <c r="E2362" s="32"/>
      <c r="F2362" s="32"/>
      <c r="G2362" s="32"/>
      <c r="H2362" s="32"/>
      <c r="I2362" s="32"/>
      <c r="J2362" s="28">
        <f t="shared" ref="J2362" si="2077">D2362*J$75</f>
        <v>0</v>
      </c>
      <c r="K2362" s="29"/>
      <c r="L2362" s="29"/>
      <c r="M2362" s="29"/>
      <c r="N2362" s="29"/>
      <c r="O2362" s="29"/>
      <c r="P2362" s="30">
        <f t="shared" si="2073"/>
        <v>0</v>
      </c>
      <c r="Q2362" s="31">
        <f t="shared" si="2071"/>
        <v>0</v>
      </c>
    </row>
    <row r="2363" spans="1:17" x14ac:dyDescent="0.2">
      <c r="A2363" s="10"/>
      <c r="B2363" s="26"/>
      <c r="C2363" s="11">
        <v>2011</v>
      </c>
      <c r="D2363" s="32">
        <f>SPFI_CLB14!$D$34</f>
        <v>0.294348</v>
      </c>
      <c r="E2363" s="32"/>
      <c r="F2363" s="32"/>
      <c r="G2363" s="32"/>
      <c r="H2363" s="32"/>
      <c r="I2363" s="32"/>
      <c r="J2363" s="28">
        <f t="shared" ref="J2363" si="2078">D2363*J$75</f>
        <v>0</v>
      </c>
      <c r="K2363" s="29"/>
      <c r="L2363" s="29"/>
      <c r="M2363" s="29"/>
      <c r="N2363" s="29"/>
      <c r="O2363" s="29"/>
      <c r="P2363" s="30">
        <f t="shared" ref="P2363" si="2079">SUM(J2363:O2363)</f>
        <v>0</v>
      </c>
      <c r="Q2363" s="31">
        <f t="shared" ref="Q2363" si="2080">IF(C$75&gt;0,P2363/C$75,0)</f>
        <v>0</v>
      </c>
    </row>
    <row r="2364" spans="1:17" x14ac:dyDescent="0.2">
      <c r="A2364" s="10"/>
      <c r="B2364" s="26"/>
      <c r="C2364" s="11">
        <v>2012</v>
      </c>
      <c r="D2364" s="32">
        <f>SPFI_CLB14!$D$35</f>
        <v>0.34784100000000001</v>
      </c>
      <c r="E2364" s="32"/>
      <c r="F2364" s="32"/>
      <c r="G2364" s="32"/>
      <c r="H2364" s="32"/>
      <c r="I2364" s="32"/>
      <c r="J2364" s="28">
        <f t="shared" ref="J2364" si="2081">D2364*J$75</f>
        <v>0</v>
      </c>
      <c r="K2364" s="29"/>
      <c r="L2364" s="29"/>
      <c r="M2364" s="29"/>
      <c r="N2364" s="29"/>
      <c r="O2364" s="29"/>
      <c r="P2364" s="30">
        <f t="shared" ref="P2364" si="2082">SUM(J2364:O2364)</f>
        <v>0</v>
      </c>
      <c r="Q2364" s="31">
        <f t="shared" ref="Q2364" si="2083">IF(C$75&gt;0,P2364/C$75,0)</f>
        <v>0</v>
      </c>
    </row>
    <row r="2365" spans="1:17" x14ac:dyDescent="0.2">
      <c r="A2365" s="5" t="s">
        <v>24</v>
      </c>
      <c r="B2365" s="21">
        <v>2</v>
      </c>
      <c r="C2365" s="6">
        <v>1982</v>
      </c>
      <c r="D2365" s="27">
        <f>SPFI_CLB14!$D$5</f>
        <v>0.98153299999999999</v>
      </c>
      <c r="E2365" s="27"/>
      <c r="F2365" s="27"/>
      <c r="G2365" s="27"/>
      <c r="H2365" s="27"/>
      <c r="I2365" s="27"/>
      <c r="J2365" s="33">
        <f t="shared" ref="J2365:J2377" si="2084">D2365*J$76</f>
        <v>0</v>
      </c>
      <c r="K2365" s="27"/>
      <c r="L2365" s="27"/>
      <c r="M2365" s="27"/>
      <c r="N2365" s="27"/>
      <c r="O2365" s="27"/>
      <c r="P2365" s="34">
        <f t="shared" si="2073"/>
        <v>0</v>
      </c>
      <c r="Q2365" s="35">
        <f t="shared" ref="Q2365:Q2381" si="2085">IF(C$76&gt;0,P2365/C$76,0)</f>
        <v>0</v>
      </c>
    </row>
    <row r="2366" spans="1:17" x14ac:dyDescent="0.2">
      <c r="A2366" s="10"/>
      <c r="B2366" s="26"/>
      <c r="C2366" s="11">
        <v>1983</v>
      </c>
      <c r="D2366" s="32">
        <f>SPFI_CLB14!$D$6</f>
        <v>0.93659899999999996</v>
      </c>
      <c r="E2366" s="32"/>
      <c r="F2366" s="32"/>
      <c r="G2366" s="32"/>
      <c r="H2366" s="32"/>
      <c r="I2366" s="32"/>
      <c r="J2366" s="28">
        <f t="shared" si="2084"/>
        <v>0</v>
      </c>
      <c r="K2366" s="29"/>
      <c r="L2366" s="29"/>
      <c r="M2366" s="29"/>
      <c r="N2366" s="29"/>
      <c r="O2366" s="29"/>
      <c r="P2366" s="30">
        <f t="shared" ref="P2366:P2377" si="2086">SUM(J2366:O2366)</f>
        <v>0</v>
      </c>
      <c r="Q2366" s="31">
        <f t="shared" si="2085"/>
        <v>0</v>
      </c>
    </row>
    <row r="2367" spans="1:17" x14ac:dyDescent="0.2">
      <c r="A2367" s="10"/>
      <c r="B2367" s="26"/>
      <c r="C2367" s="11">
        <v>1984</v>
      </c>
      <c r="D2367" s="32">
        <f>SPFI_CLB14!$D$7</f>
        <v>0.92793599999999998</v>
      </c>
      <c r="E2367" s="32"/>
      <c r="F2367" s="32"/>
      <c r="G2367" s="32"/>
      <c r="H2367" s="32"/>
      <c r="I2367" s="32"/>
      <c r="J2367" s="28">
        <f t="shared" si="2084"/>
        <v>0</v>
      </c>
      <c r="K2367" s="29"/>
      <c r="L2367" s="29"/>
      <c r="M2367" s="29"/>
      <c r="N2367" s="29"/>
      <c r="O2367" s="29"/>
      <c r="P2367" s="30">
        <f t="shared" si="2086"/>
        <v>0</v>
      </c>
      <c r="Q2367" s="31">
        <f t="shared" si="2085"/>
        <v>0</v>
      </c>
    </row>
    <row r="2368" spans="1:17" x14ac:dyDescent="0.2">
      <c r="A2368" s="10"/>
      <c r="B2368" s="26"/>
      <c r="C2368" s="11">
        <v>1985</v>
      </c>
      <c r="D2368" s="32">
        <f>SPFI_CLB14!$D$8</f>
        <v>0.90386500000000003</v>
      </c>
      <c r="E2368" s="32"/>
      <c r="F2368" s="32"/>
      <c r="G2368" s="32"/>
      <c r="H2368" s="32"/>
      <c r="I2368" s="32"/>
      <c r="J2368" s="28">
        <f t="shared" si="2084"/>
        <v>0</v>
      </c>
      <c r="K2368" s="29"/>
      <c r="L2368" s="29"/>
      <c r="M2368" s="29"/>
      <c r="N2368" s="29"/>
      <c r="O2368" s="29"/>
      <c r="P2368" s="30">
        <f t="shared" si="2086"/>
        <v>0</v>
      </c>
      <c r="Q2368" s="31">
        <f t="shared" si="2085"/>
        <v>0</v>
      </c>
    </row>
    <row r="2369" spans="1:17" x14ac:dyDescent="0.2">
      <c r="A2369" s="10"/>
      <c r="B2369" s="26"/>
      <c r="C2369" s="11">
        <v>1986</v>
      </c>
      <c r="D2369" s="32">
        <f>SPFI_CLB14!$D$9</f>
        <v>0.73087500000000005</v>
      </c>
      <c r="E2369" s="32"/>
      <c r="F2369" s="32"/>
      <c r="G2369" s="32"/>
      <c r="H2369" s="32"/>
      <c r="I2369" s="32"/>
      <c r="J2369" s="28">
        <f t="shared" si="2084"/>
        <v>0</v>
      </c>
      <c r="K2369" s="29"/>
      <c r="L2369" s="29"/>
      <c r="M2369" s="29"/>
      <c r="N2369" s="29"/>
      <c r="O2369" s="29"/>
      <c r="P2369" s="30">
        <f t="shared" si="2086"/>
        <v>0</v>
      </c>
      <c r="Q2369" s="31">
        <f t="shared" si="2085"/>
        <v>0</v>
      </c>
    </row>
    <row r="2370" spans="1:17" x14ac:dyDescent="0.2">
      <c r="A2370" s="10"/>
      <c r="B2370" s="26"/>
      <c r="C2370" s="11">
        <v>1987</v>
      </c>
      <c r="D2370" s="32">
        <f>SPFI_CLB14!$D$10</f>
        <v>0.71733499999999994</v>
      </c>
      <c r="E2370" s="32"/>
      <c r="F2370" s="32"/>
      <c r="G2370" s="32"/>
      <c r="H2370" s="32"/>
      <c r="I2370" s="32"/>
      <c r="J2370" s="28">
        <f t="shared" si="2084"/>
        <v>0</v>
      </c>
      <c r="K2370" s="29"/>
      <c r="L2370" s="29"/>
      <c r="M2370" s="29"/>
      <c r="N2370" s="29"/>
      <c r="O2370" s="29"/>
      <c r="P2370" s="30">
        <f t="shared" si="2086"/>
        <v>0</v>
      </c>
      <c r="Q2370" s="31">
        <f t="shared" si="2085"/>
        <v>0</v>
      </c>
    </row>
    <row r="2371" spans="1:17" x14ac:dyDescent="0.2">
      <c r="A2371" s="10"/>
      <c r="B2371" s="26"/>
      <c r="C2371" s="11">
        <v>1988</v>
      </c>
      <c r="D2371" s="32">
        <f>SPFI_CLB14!$D$11</f>
        <v>0.64558800000000005</v>
      </c>
      <c r="E2371" s="32"/>
      <c r="F2371" s="32"/>
      <c r="G2371" s="32"/>
      <c r="H2371" s="32"/>
      <c r="I2371" s="32"/>
      <c r="J2371" s="28">
        <f t="shared" si="2084"/>
        <v>0</v>
      </c>
      <c r="K2371" s="29"/>
      <c r="L2371" s="29"/>
      <c r="M2371" s="29"/>
      <c r="N2371" s="29"/>
      <c r="O2371" s="29"/>
      <c r="P2371" s="30">
        <f t="shared" si="2086"/>
        <v>0</v>
      </c>
      <c r="Q2371" s="31">
        <f t="shared" si="2085"/>
        <v>0</v>
      </c>
    </row>
    <row r="2372" spans="1:17" x14ac:dyDescent="0.2">
      <c r="A2372" s="10"/>
      <c r="B2372" s="26"/>
      <c r="C2372" s="11">
        <v>1989</v>
      </c>
      <c r="D2372" s="32">
        <f>SPFI_CLB14!$D$12</f>
        <v>0.65287700000000004</v>
      </c>
      <c r="E2372" s="32"/>
      <c r="F2372" s="32"/>
      <c r="G2372" s="32"/>
      <c r="H2372" s="32"/>
      <c r="I2372" s="32"/>
      <c r="J2372" s="28">
        <f t="shared" si="2084"/>
        <v>0</v>
      </c>
      <c r="K2372" s="29"/>
      <c r="L2372" s="29"/>
      <c r="M2372" s="29"/>
      <c r="N2372" s="29"/>
      <c r="O2372" s="29"/>
      <c r="P2372" s="30">
        <f t="shared" si="2086"/>
        <v>0</v>
      </c>
      <c r="Q2372" s="31">
        <f t="shared" si="2085"/>
        <v>0</v>
      </c>
    </row>
    <row r="2373" spans="1:17" x14ac:dyDescent="0.2">
      <c r="A2373" s="10"/>
      <c r="B2373" s="26"/>
      <c r="C2373" s="11">
        <v>1990</v>
      </c>
      <c r="D2373" s="32">
        <f>SPFI_CLB14!$D$13</f>
        <v>0.56965100000000002</v>
      </c>
      <c r="E2373" s="32"/>
      <c r="F2373" s="32"/>
      <c r="G2373" s="32"/>
      <c r="H2373" s="32"/>
      <c r="I2373" s="32"/>
      <c r="J2373" s="28">
        <f t="shared" si="2084"/>
        <v>0</v>
      </c>
      <c r="K2373" s="29"/>
      <c r="L2373" s="29"/>
      <c r="M2373" s="29"/>
      <c r="N2373" s="29"/>
      <c r="O2373" s="29"/>
      <c r="P2373" s="30">
        <f t="shared" si="2086"/>
        <v>0</v>
      </c>
      <c r="Q2373" s="31">
        <f t="shared" si="2085"/>
        <v>0</v>
      </c>
    </row>
    <row r="2374" spans="1:17" x14ac:dyDescent="0.2">
      <c r="A2374" s="10"/>
      <c r="B2374" s="26"/>
      <c r="C2374" s="11">
        <v>1991</v>
      </c>
      <c r="D2374" s="32">
        <f>SPFI_CLB14!$D$14</f>
        <v>0.62776900000000002</v>
      </c>
      <c r="E2374" s="32"/>
      <c r="F2374" s="32"/>
      <c r="G2374" s="32"/>
      <c r="H2374" s="32"/>
      <c r="I2374" s="32"/>
      <c r="J2374" s="28">
        <f t="shared" si="2084"/>
        <v>0</v>
      </c>
      <c r="K2374" s="29"/>
      <c r="L2374" s="29"/>
      <c r="M2374" s="29"/>
      <c r="N2374" s="29"/>
      <c r="O2374" s="29"/>
      <c r="P2374" s="30">
        <f t="shared" si="2086"/>
        <v>0</v>
      </c>
      <c r="Q2374" s="31">
        <f t="shared" si="2085"/>
        <v>0</v>
      </c>
    </row>
    <row r="2375" spans="1:17" x14ac:dyDescent="0.2">
      <c r="A2375" s="10"/>
      <c r="B2375" s="26"/>
      <c r="C2375" s="11">
        <v>1992</v>
      </c>
      <c r="D2375" s="32">
        <f>SPFI_CLB14!$D$15</f>
        <v>0.43504100000000001</v>
      </c>
      <c r="E2375" s="32"/>
      <c r="F2375" s="32"/>
      <c r="G2375" s="32"/>
      <c r="H2375" s="32"/>
      <c r="I2375" s="32"/>
      <c r="J2375" s="28">
        <f t="shared" si="2084"/>
        <v>0</v>
      </c>
      <c r="K2375" s="29"/>
      <c r="L2375" s="29"/>
      <c r="M2375" s="29"/>
      <c r="N2375" s="29"/>
      <c r="O2375" s="29"/>
      <c r="P2375" s="30">
        <f t="shared" si="2086"/>
        <v>0</v>
      </c>
      <c r="Q2375" s="31">
        <f t="shared" si="2085"/>
        <v>0</v>
      </c>
    </row>
    <row r="2376" spans="1:17" x14ac:dyDescent="0.2">
      <c r="A2376" s="10"/>
      <c r="B2376" s="26"/>
      <c r="C2376" s="11">
        <v>1993</v>
      </c>
      <c r="D2376" s="32">
        <f>SPFI_CLB14!$D$16</f>
        <v>0.499164</v>
      </c>
      <c r="E2376" s="32"/>
      <c r="F2376" s="32"/>
      <c r="G2376" s="32"/>
      <c r="H2376" s="32"/>
      <c r="I2376" s="32"/>
      <c r="J2376" s="28">
        <f t="shared" si="2084"/>
        <v>0</v>
      </c>
      <c r="K2376" s="29"/>
      <c r="L2376" s="29"/>
      <c r="M2376" s="29"/>
      <c r="N2376" s="29"/>
      <c r="O2376" s="29"/>
      <c r="P2376" s="30">
        <f t="shared" si="2086"/>
        <v>0</v>
      </c>
      <c r="Q2376" s="31">
        <f t="shared" si="2085"/>
        <v>0</v>
      </c>
    </row>
    <row r="2377" spans="1:17" x14ac:dyDescent="0.2">
      <c r="A2377" s="10"/>
      <c r="B2377" s="26"/>
      <c r="C2377" s="11">
        <v>1994</v>
      </c>
      <c r="D2377" s="32">
        <f>SPFI_CLB14!$D$17</f>
        <v>0.59591300000000003</v>
      </c>
      <c r="E2377" s="32"/>
      <c r="F2377" s="32"/>
      <c r="G2377" s="32"/>
      <c r="H2377" s="32"/>
      <c r="I2377" s="32"/>
      <c r="J2377" s="28">
        <f t="shared" si="2084"/>
        <v>0</v>
      </c>
      <c r="K2377" s="29"/>
      <c r="L2377" s="29"/>
      <c r="M2377" s="29"/>
      <c r="N2377" s="29"/>
      <c r="O2377" s="29"/>
      <c r="P2377" s="30">
        <f t="shared" si="2086"/>
        <v>0</v>
      </c>
      <c r="Q2377" s="31">
        <f t="shared" si="2085"/>
        <v>0</v>
      </c>
    </row>
    <row r="2378" spans="1:17" x14ac:dyDescent="0.2">
      <c r="A2378" s="10"/>
      <c r="B2378" s="26"/>
      <c r="C2378" s="11">
        <v>1995</v>
      </c>
      <c r="D2378" s="32">
        <f>SPFI_CLB14!$D$18</f>
        <v>0.25400800000000001</v>
      </c>
      <c r="E2378" s="32"/>
      <c r="F2378" s="32"/>
      <c r="G2378" s="32"/>
      <c r="H2378" s="32"/>
      <c r="I2378" s="32"/>
      <c r="J2378" s="28">
        <f t="shared" ref="J2378" si="2087">D2378*J$76</f>
        <v>0</v>
      </c>
      <c r="K2378" s="29"/>
      <c r="L2378" s="29"/>
      <c r="M2378" s="29"/>
      <c r="N2378" s="29"/>
      <c r="O2378" s="29"/>
      <c r="P2378" s="30">
        <f>SUM(J2378:O2378)</f>
        <v>0</v>
      </c>
      <c r="Q2378" s="31">
        <f t="shared" si="2085"/>
        <v>0</v>
      </c>
    </row>
    <row r="2379" spans="1:17" x14ac:dyDescent="0.2">
      <c r="A2379" s="10"/>
      <c r="B2379" s="26"/>
      <c r="C2379" s="11">
        <v>1996</v>
      </c>
      <c r="D2379" s="32">
        <f>SPFI_CLB14!$D$19</f>
        <v>0</v>
      </c>
      <c r="E2379" s="32"/>
      <c r="F2379" s="32"/>
      <c r="G2379" s="32"/>
      <c r="H2379" s="32"/>
      <c r="I2379" s="32"/>
      <c r="J2379" s="28">
        <f t="shared" ref="J2379" si="2088">D2379*J$76</f>
        <v>0</v>
      </c>
      <c r="K2379" s="29"/>
      <c r="L2379" s="29"/>
      <c r="M2379" s="29"/>
      <c r="N2379" s="29"/>
      <c r="O2379" s="29"/>
      <c r="P2379" s="30">
        <f>SUM(J2379:O2379)</f>
        <v>0</v>
      </c>
      <c r="Q2379" s="31">
        <f t="shared" si="2085"/>
        <v>0</v>
      </c>
    </row>
    <row r="2380" spans="1:17" x14ac:dyDescent="0.2">
      <c r="A2380" s="10"/>
      <c r="B2380" s="26"/>
      <c r="C2380" s="11">
        <v>1997</v>
      </c>
      <c r="D2380" s="32">
        <f>SPFI_CLB14!$D$20</f>
        <v>0.201487</v>
      </c>
      <c r="E2380" s="32"/>
      <c r="F2380" s="32"/>
      <c r="G2380" s="32"/>
      <c r="H2380" s="32"/>
      <c r="I2380" s="32"/>
      <c r="J2380" s="28">
        <f t="shared" ref="J2380" si="2089">D2380*J$76</f>
        <v>0</v>
      </c>
      <c r="K2380" s="29"/>
      <c r="L2380" s="29"/>
      <c r="M2380" s="29"/>
      <c r="N2380" s="29"/>
      <c r="O2380" s="29"/>
      <c r="P2380" s="30">
        <f>SUM(J2380:O2380)</f>
        <v>0</v>
      </c>
      <c r="Q2380" s="31">
        <f t="shared" si="2085"/>
        <v>0</v>
      </c>
    </row>
    <row r="2381" spans="1:17" x14ac:dyDescent="0.2">
      <c r="A2381" s="10"/>
      <c r="B2381" s="26"/>
      <c r="C2381" s="11">
        <v>1998</v>
      </c>
      <c r="D2381" s="32">
        <f>SPFI_CLB14!$D$21</f>
        <v>0.37506400000000001</v>
      </c>
      <c r="E2381" s="32"/>
      <c r="F2381" s="32"/>
      <c r="G2381" s="32"/>
      <c r="H2381" s="32"/>
      <c r="I2381" s="32"/>
      <c r="J2381" s="28">
        <f t="shared" ref="J2381" si="2090">D2381*J$76</f>
        <v>0</v>
      </c>
      <c r="K2381" s="29"/>
      <c r="L2381" s="29"/>
      <c r="M2381" s="29"/>
      <c r="N2381" s="29"/>
      <c r="O2381" s="29"/>
      <c r="P2381" s="30">
        <f>SUM(J2381:O2381)</f>
        <v>0</v>
      </c>
      <c r="Q2381" s="31">
        <f t="shared" si="2085"/>
        <v>0</v>
      </c>
    </row>
    <row r="2382" spans="1:17" x14ac:dyDescent="0.2">
      <c r="A2382" s="10"/>
      <c r="B2382" s="26"/>
      <c r="C2382" s="11">
        <v>1999</v>
      </c>
      <c r="D2382" s="32">
        <f>SPFI_CLB14!$D$22</f>
        <v>0.29823699999999997</v>
      </c>
      <c r="E2382" s="32"/>
      <c r="F2382" s="32"/>
      <c r="G2382" s="32"/>
      <c r="H2382" s="32"/>
      <c r="I2382" s="32"/>
      <c r="J2382" s="28">
        <f t="shared" ref="J2382" si="2091">D2382*J$76</f>
        <v>0</v>
      </c>
      <c r="K2382" s="29"/>
      <c r="L2382" s="29"/>
      <c r="M2382" s="29"/>
      <c r="N2382" s="29"/>
      <c r="O2382" s="29"/>
      <c r="P2382" s="30">
        <f>SUM(J2382:O2382)</f>
        <v>0</v>
      </c>
      <c r="Q2382" s="31">
        <f t="shared" ref="Q2382:Q2387" si="2092">IF(C$76&gt;0,P2382/C$76,0)</f>
        <v>0</v>
      </c>
    </row>
    <row r="2383" spans="1:17" x14ac:dyDescent="0.2">
      <c r="A2383" s="10"/>
      <c r="B2383" s="26"/>
      <c r="C2383" s="11">
        <v>2000</v>
      </c>
      <c r="D2383" s="32">
        <f>SPFI_CLB14!$D$23</f>
        <v>8.4414000000000003E-2</v>
      </c>
      <c r="E2383" s="32"/>
      <c r="F2383" s="32"/>
      <c r="G2383" s="32"/>
      <c r="H2383" s="32"/>
      <c r="I2383" s="32"/>
      <c r="J2383" s="28">
        <f t="shared" ref="J2383" si="2093">D2383*J$76</f>
        <v>0</v>
      </c>
      <c r="K2383" s="29"/>
      <c r="L2383" s="29"/>
      <c r="M2383" s="29"/>
      <c r="N2383" s="29"/>
      <c r="O2383" s="29"/>
      <c r="P2383" s="30">
        <f t="shared" ref="P2383:P2388" si="2094">SUM(J2383:O2383)</f>
        <v>0</v>
      </c>
      <c r="Q2383" s="31">
        <f t="shared" si="2092"/>
        <v>0</v>
      </c>
    </row>
    <row r="2384" spans="1:17" x14ac:dyDescent="0.2">
      <c r="A2384" s="10"/>
      <c r="B2384" s="26"/>
      <c r="C2384" s="11">
        <v>2001</v>
      </c>
      <c r="D2384" s="32">
        <f>SPFI_CLB14!$D$24</f>
        <v>7.8909000000000007E-2</v>
      </c>
      <c r="E2384" s="32"/>
      <c r="F2384" s="32"/>
      <c r="G2384" s="32"/>
      <c r="H2384" s="32"/>
      <c r="I2384" s="32"/>
      <c r="J2384" s="28">
        <f t="shared" ref="J2384" si="2095">D2384*J$76</f>
        <v>0</v>
      </c>
      <c r="K2384" s="29"/>
      <c r="L2384" s="29"/>
      <c r="M2384" s="29"/>
      <c r="N2384" s="29"/>
      <c r="O2384" s="29"/>
      <c r="P2384" s="30">
        <f t="shared" si="2094"/>
        <v>0</v>
      </c>
      <c r="Q2384" s="31">
        <f t="shared" si="2092"/>
        <v>0</v>
      </c>
    </row>
    <row r="2385" spans="1:17" x14ac:dyDescent="0.2">
      <c r="A2385" s="10"/>
      <c r="B2385" s="26"/>
      <c r="C2385" s="11">
        <v>2002</v>
      </c>
      <c r="D2385" s="32">
        <f>SPFI_CLB14!$D$25</f>
        <v>0.29974699999999999</v>
      </c>
      <c r="E2385" s="32"/>
      <c r="F2385" s="32"/>
      <c r="G2385" s="32"/>
      <c r="H2385" s="32"/>
      <c r="I2385" s="32"/>
      <c r="J2385" s="28">
        <f t="shared" ref="J2385" si="2096">D2385*J$76</f>
        <v>0</v>
      </c>
      <c r="K2385" s="29"/>
      <c r="L2385" s="29"/>
      <c r="M2385" s="29"/>
      <c r="N2385" s="29"/>
      <c r="O2385" s="29"/>
      <c r="P2385" s="30">
        <f t="shared" si="2094"/>
        <v>0</v>
      </c>
      <c r="Q2385" s="31">
        <f t="shared" si="2092"/>
        <v>0</v>
      </c>
    </row>
    <row r="2386" spans="1:17" x14ac:dyDescent="0.2">
      <c r="A2386" s="10"/>
      <c r="B2386" s="26"/>
      <c r="C2386" s="11">
        <v>2003</v>
      </c>
      <c r="D2386" s="32">
        <f>SPFI_CLB14!$D$26</f>
        <v>0.20691100000000001</v>
      </c>
      <c r="E2386" s="32"/>
      <c r="F2386" s="32"/>
      <c r="G2386" s="32"/>
      <c r="H2386" s="32"/>
      <c r="I2386" s="32"/>
      <c r="J2386" s="28">
        <f t="shared" ref="J2386" si="2097">D2386*J$76</f>
        <v>0</v>
      </c>
      <c r="K2386" s="29"/>
      <c r="L2386" s="29"/>
      <c r="M2386" s="29"/>
      <c r="N2386" s="29"/>
      <c r="O2386" s="29"/>
      <c r="P2386" s="30">
        <f t="shared" si="2094"/>
        <v>0</v>
      </c>
      <c r="Q2386" s="31">
        <f t="shared" si="2092"/>
        <v>0</v>
      </c>
    </row>
    <row r="2387" spans="1:17" x14ac:dyDescent="0.2">
      <c r="A2387" s="10"/>
      <c r="B2387" s="26"/>
      <c r="C2387" s="11">
        <v>2004</v>
      </c>
      <c r="D2387" s="32">
        <f>SPFI_CLB14!$D$27</f>
        <v>0.269237</v>
      </c>
      <c r="E2387" s="32"/>
      <c r="F2387" s="32"/>
      <c r="G2387" s="32"/>
      <c r="H2387" s="32"/>
      <c r="I2387" s="32"/>
      <c r="J2387" s="28">
        <f t="shared" ref="J2387" si="2098">D2387*J$76</f>
        <v>0</v>
      </c>
      <c r="K2387" s="29"/>
      <c r="L2387" s="29"/>
      <c r="M2387" s="29"/>
      <c r="N2387" s="29"/>
      <c r="O2387" s="29"/>
      <c r="P2387" s="30">
        <f t="shared" si="2094"/>
        <v>0</v>
      </c>
      <c r="Q2387" s="31">
        <f t="shared" si="2092"/>
        <v>0</v>
      </c>
    </row>
    <row r="2388" spans="1:17" x14ac:dyDescent="0.2">
      <c r="A2388" s="10"/>
      <c r="B2388" s="26"/>
      <c r="C2388" s="11">
        <v>2005</v>
      </c>
      <c r="D2388" s="32">
        <f>SPFI_CLB14!$D$28</f>
        <v>0.37848700000000002</v>
      </c>
      <c r="E2388" s="32"/>
      <c r="F2388" s="32"/>
      <c r="G2388" s="32"/>
      <c r="H2388" s="32"/>
      <c r="I2388" s="32"/>
      <c r="J2388" s="28">
        <f t="shared" ref="J2388" si="2099">D2388*J$76</f>
        <v>0</v>
      </c>
      <c r="K2388" s="29"/>
      <c r="L2388" s="29"/>
      <c r="M2388" s="29"/>
      <c r="N2388" s="29"/>
      <c r="O2388" s="29"/>
      <c r="P2388" s="30">
        <f t="shared" si="2094"/>
        <v>0</v>
      </c>
      <c r="Q2388" s="31">
        <f t="shared" ref="Q2388:Q2393" si="2100">IF(C$76&gt;0,P2388/C$76,0)</f>
        <v>0</v>
      </c>
    </row>
    <row r="2389" spans="1:17" x14ac:dyDescent="0.2">
      <c r="A2389" s="10"/>
      <c r="B2389" s="26"/>
      <c r="C2389" s="11">
        <v>2006</v>
      </c>
      <c r="D2389" s="32">
        <f>SPFI_CLB14!$D$29</f>
        <v>0.381023</v>
      </c>
      <c r="E2389" s="32"/>
      <c r="F2389" s="32"/>
      <c r="G2389" s="32"/>
      <c r="H2389" s="32"/>
      <c r="I2389" s="32"/>
      <c r="J2389" s="28">
        <f t="shared" ref="J2389" si="2101">D2389*J$76</f>
        <v>0</v>
      </c>
      <c r="K2389" s="29"/>
      <c r="L2389" s="29"/>
      <c r="M2389" s="29"/>
      <c r="N2389" s="29"/>
      <c r="O2389" s="29"/>
      <c r="P2389" s="30">
        <f t="shared" ref="P2389:P2396" si="2102">SUM(J2389:O2389)</f>
        <v>0</v>
      </c>
      <c r="Q2389" s="31">
        <f t="shared" si="2100"/>
        <v>0</v>
      </c>
    </row>
    <row r="2390" spans="1:17" x14ac:dyDescent="0.2">
      <c r="A2390" s="10"/>
      <c r="B2390" s="26"/>
      <c r="C2390" s="11">
        <v>2007</v>
      </c>
      <c r="D2390" s="32">
        <f>SPFI_CLB14!$D$30</f>
        <v>0.356512</v>
      </c>
      <c r="E2390" s="32"/>
      <c r="F2390" s="32"/>
      <c r="G2390" s="32"/>
      <c r="H2390" s="32"/>
      <c r="I2390" s="32"/>
      <c r="J2390" s="28">
        <f t="shared" ref="J2390" si="2103">D2390*J$76</f>
        <v>0</v>
      </c>
      <c r="K2390" s="29"/>
      <c r="L2390" s="29"/>
      <c r="M2390" s="29"/>
      <c r="N2390" s="29"/>
      <c r="O2390" s="29"/>
      <c r="P2390" s="30">
        <f t="shared" si="2102"/>
        <v>0</v>
      </c>
      <c r="Q2390" s="31">
        <f t="shared" si="2100"/>
        <v>0</v>
      </c>
    </row>
    <row r="2391" spans="1:17" x14ac:dyDescent="0.2">
      <c r="A2391" s="10"/>
      <c r="B2391" s="26"/>
      <c r="C2391" s="11">
        <v>2008</v>
      </c>
      <c r="D2391" s="32">
        <f>SPFI_CLB14!$D$31</f>
        <v>0.25494499999999998</v>
      </c>
      <c r="E2391" s="32"/>
      <c r="F2391" s="32"/>
      <c r="G2391" s="32"/>
      <c r="H2391" s="32"/>
      <c r="I2391" s="32"/>
      <c r="J2391" s="28">
        <f t="shared" ref="J2391" si="2104">D2391*J$76</f>
        <v>0</v>
      </c>
      <c r="K2391" s="29"/>
      <c r="L2391" s="29"/>
      <c r="M2391" s="29"/>
      <c r="N2391" s="29"/>
      <c r="O2391" s="29"/>
      <c r="P2391" s="30">
        <f t="shared" si="2102"/>
        <v>0</v>
      </c>
      <c r="Q2391" s="31">
        <f t="shared" si="2100"/>
        <v>0</v>
      </c>
    </row>
    <row r="2392" spans="1:17" x14ac:dyDescent="0.2">
      <c r="A2392" s="10"/>
      <c r="B2392" s="26"/>
      <c r="C2392" s="11">
        <v>2009</v>
      </c>
      <c r="D2392" s="32">
        <f>SPFI_CLB14!$D$32</f>
        <v>0.52383000000000002</v>
      </c>
      <c r="E2392" s="32"/>
      <c r="F2392" s="32"/>
      <c r="G2392" s="32"/>
      <c r="H2392" s="32"/>
      <c r="I2392" s="32"/>
      <c r="J2392" s="28">
        <f t="shared" ref="J2392" si="2105">D2392*J$76</f>
        <v>0</v>
      </c>
      <c r="K2392" s="29"/>
      <c r="L2392" s="29"/>
      <c r="M2392" s="29"/>
      <c r="N2392" s="29"/>
      <c r="O2392" s="29"/>
      <c r="P2392" s="30">
        <f t="shared" si="2102"/>
        <v>0</v>
      </c>
      <c r="Q2392" s="31">
        <f t="shared" si="2100"/>
        <v>0</v>
      </c>
    </row>
    <row r="2393" spans="1:17" x14ac:dyDescent="0.2">
      <c r="A2393" s="10"/>
      <c r="B2393" s="26"/>
      <c r="C2393" s="11">
        <v>2010</v>
      </c>
      <c r="D2393" s="32">
        <f>SPFI_CLB14!$D$33</f>
        <v>0.31394</v>
      </c>
      <c r="E2393" s="32"/>
      <c r="F2393" s="32"/>
      <c r="G2393" s="32"/>
      <c r="H2393" s="32"/>
      <c r="I2393" s="32"/>
      <c r="J2393" s="28">
        <f t="shared" ref="J2393" si="2106">D2393*J$76</f>
        <v>0</v>
      </c>
      <c r="K2393" s="29"/>
      <c r="L2393" s="29"/>
      <c r="M2393" s="29"/>
      <c r="N2393" s="29"/>
      <c r="O2393" s="29"/>
      <c r="P2393" s="30">
        <f t="shared" si="2102"/>
        <v>0</v>
      </c>
      <c r="Q2393" s="31">
        <f t="shared" si="2100"/>
        <v>0</v>
      </c>
    </row>
    <row r="2394" spans="1:17" x14ac:dyDescent="0.2">
      <c r="A2394" s="10"/>
      <c r="B2394" s="26"/>
      <c r="C2394" s="11">
        <v>2011</v>
      </c>
      <c r="D2394" s="32">
        <f>SPFI_CLB14!$D$34</f>
        <v>0.294348</v>
      </c>
      <c r="E2394" s="32"/>
      <c r="F2394" s="32"/>
      <c r="G2394" s="32"/>
      <c r="H2394" s="32"/>
      <c r="I2394" s="32"/>
      <c r="J2394" s="28">
        <f t="shared" ref="J2394" si="2107">D2394*J$76</f>
        <v>0</v>
      </c>
      <c r="K2394" s="29"/>
      <c r="L2394" s="29"/>
      <c r="M2394" s="29"/>
      <c r="N2394" s="29"/>
      <c r="O2394" s="29"/>
      <c r="P2394" s="30">
        <f t="shared" ref="P2394" si="2108">SUM(J2394:O2394)</f>
        <v>0</v>
      </c>
      <c r="Q2394" s="31">
        <f t="shared" ref="Q2394" si="2109">IF(C$76&gt;0,P2394/C$76,0)</f>
        <v>0</v>
      </c>
    </row>
    <row r="2395" spans="1:17" x14ac:dyDescent="0.2">
      <c r="A2395" s="10"/>
      <c r="B2395" s="26"/>
      <c r="C2395" s="11">
        <v>2012</v>
      </c>
      <c r="D2395" s="32">
        <f>SPFI_CLB14!$D$35</f>
        <v>0.34784100000000001</v>
      </c>
      <c r="E2395" s="32"/>
      <c r="F2395" s="32"/>
      <c r="G2395" s="32"/>
      <c r="H2395" s="32"/>
      <c r="I2395" s="32"/>
      <c r="J2395" s="28">
        <f t="shared" ref="J2395" si="2110">D2395*J$76</f>
        <v>0</v>
      </c>
      <c r="K2395" s="29"/>
      <c r="L2395" s="29"/>
      <c r="M2395" s="29"/>
      <c r="N2395" s="29"/>
      <c r="O2395" s="29"/>
      <c r="P2395" s="30">
        <f t="shared" ref="P2395" si="2111">SUM(J2395:O2395)</f>
        <v>0</v>
      </c>
      <c r="Q2395" s="31">
        <f t="shared" ref="Q2395" si="2112">IF(C$76&gt;0,P2395/C$76,0)</f>
        <v>0</v>
      </c>
    </row>
    <row r="2396" spans="1:17" x14ac:dyDescent="0.2">
      <c r="A2396" s="5" t="s">
        <v>24</v>
      </c>
      <c r="B2396" s="21">
        <v>3</v>
      </c>
      <c r="C2396" s="6">
        <v>1982</v>
      </c>
      <c r="D2396" s="27">
        <f>SPFI_CLB14!$D$5</f>
        <v>0.98153299999999999</v>
      </c>
      <c r="E2396" s="27"/>
      <c r="F2396" s="27"/>
      <c r="G2396" s="27"/>
      <c r="H2396" s="27"/>
      <c r="I2396" s="27"/>
      <c r="J2396" s="33">
        <f t="shared" ref="J2396:J2408" si="2113">D2396*J$77</f>
        <v>0</v>
      </c>
      <c r="K2396" s="27"/>
      <c r="L2396" s="27"/>
      <c r="M2396" s="27"/>
      <c r="N2396" s="27"/>
      <c r="O2396" s="27"/>
      <c r="P2396" s="34">
        <f t="shared" si="2102"/>
        <v>0</v>
      </c>
      <c r="Q2396" s="35">
        <f t="shared" ref="Q2396:Q2412" si="2114">IF(C$77&gt;0,P2396/C$77,0)</f>
        <v>0</v>
      </c>
    </row>
    <row r="2397" spans="1:17" x14ac:dyDescent="0.2">
      <c r="A2397" s="10"/>
      <c r="B2397" s="26"/>
      <c r="C2397" s="11">
        <v>1983</v>
      </c>
      <c r="D2397" s="32">
        <f>SPFI_CLB14!$D$6</f>
        <v>0.93659899999999996</v>
      </c>
      <c r="E2397" s="32"/>
      <c r="F2397" s="32"/>
      <c r="G2397" s="32"/>
      <c r="H2397" s="32"/>
      <c r="I2397" s="32"/>
      <c r="J2397" s="28">
        <f t="shared" si="2113"/>
        <v>0</v>
      </c>
      <c r="K2397" s="29"/>
      <c r="L2397" s="29"/>
      <c r="M2397" s="29"/>
      <c r="N2397" s="29"/>
      <c r="O2397" s="29"/>
      <c r="P2397" s="30">
        <f t="shared" ref="P2397:P2408" si="2115">SUM(J2397:O2397)</f>
        <v>0</v>
      </c>
      <c r="Q2397" s="31">
        <f t="shared" si="2114"/>
        <v>0</v>
      </c>
    </row>
    <row r="2398" spans="1:17" x14ac:dyDescent="0.2">
      <c r="A2398" s="10"/>
      <c r="B2398" s="26"/>
      <c r="C2398" s="11">
        <v>1984</v>
      </c>
      <c r="D2398" s="32">
        <f>SPFI_CLB14!$D$7</f>
        <v>0.92793599999999998</v>
      </c>
      <c r="E2398" s="32"/>
      <c r="F2398" s="32"/>
      <c r="G2398" s="32"/>
      <c r="H2398" s="32"/>
      <c r="I2398" s="32"/>
      <c r="J2398" s="28">
        <f t="shared" si="2113"/>
        <v>0</v>
      </c>
      <c r="K2398" s="29"/>
      <c r="L2398" s="29"/>
      <c r="M2398" s="29"/>
      <c r="N2398" s="29"/>
      <c r="O2398" s="29"/>
      <c r="P2398" s="30">
        <f t="shared" si="2115"/>
        <v>0</v>
      </c>
      <c r="Q2398" s="31">
        <f t="shared" si="2114"/>
        <v>0</v>
      </c>
    </row>
    <row r="2399" spans="1:17" x14ac:dyDescent="0.2">
      <c r="A2399" s="10"/>
      <c r="B2399" s="26"/>
      <c r="C2399" s="11">
        <v>1985</v>
      </c>
      <c r="D2399" s="32">
        <f>SPFI_CLB14!$D$8</f>
        <v>0.90386500000000003</v>
      </c>
      <c r="E2399" s="32"/>
      <c r="F2399" s="32"/>
      <c r="G2399" s="32"/>
      <c r="H2399" s="32"/>
      <c r="I2399" s="32"/>
      <c r="J2399" s="28">
        <f t="shared" si="2113"/>
        <v>0</v>
      </c>
      <c r="K2399" s="29"/>
      <c r="L2399" s="29"/>
      <c r="M2399" s="29"/>
      <c r="N2399" s="29"/>
      <c r="O2399" s="29"/>
      <c r="P2399" s="30">
        <f t="shared" si="2115"/>
        <v>0</v>
      </c>
      <c r="Q2399" s="31">
        <f t="shared" si="2114"/>
        <v>0</v>
      </c>
    </row>
    <row r="2400" spans="1:17" x14ac:dyDescent="0.2">
      <c r="A2400" s="10"/>
      <c r="B2400" s="26"/>
      <c r="C2400" s="11">
        <v>1986</v>
      </c>
      <c r="D2400" s="32">
        <f>SPFI_CLB14!$D$9</f>
        <v>0.73087500000000005</v>
      </c>
      <c r="E2400" s="32"/>
      <c r="F2400" s="32"/>
      <c r="G2400" s="32"/>
      <c r="H2400" s="32"/>
      <c r="I2400" s="32"/>
      <c r="J2400" s="28">
        <f t="shared" si="2113"/>
        <v>0</v>
      </c>
      <c r="K2400" s="29"/>
      <c r="L2400" s="29"/>
      <c r="M2400" s="29"/>
      <c r="N2400" s="29"/>
      <c r="O2400" s="29"/>
      <c r="P2400" s="30">
        <f t="shared" si="2115"/>
        <v>0</v>
      </c>
      <c r="Q2400" s="31">
        <f t="shared" si="2114"/>
        <v>0</v>
      </c>
    </row>
    <row r="2401" spans="1:17" x14ac:dyDescent="0.2">
      <c r="A2401" s="10"/>
      <c r="B2401" s="26"/>
      <c r="C2401" s="11">
        <v>1987</v>
      </c>
      <c r="D2401" s="32">
        <f>SPFI_CLB14!$D$10</f>
        <v>0.71733499999999994</v>
      </c>
      <c r="E2401" s="32"/>
      <c r="F2401" s="32"/>
      <c r="G2401" s="32"/>
      <c r="H2401" s="32"/>
      <c r="I2401" s="32"/>
      <c r="J2401" s="28">
        <f t="shared" si="2113"/>
        <v>0</v>
      </c>
      <c r="K2401" s="29"/>
      <c r="L2401" s="29"/>
      <c r="M2401" s="29"/>
      <c r="N2401" s="29"/>
      <c r="O2401" s="29"/>
      <c r="P2401" s="30">
        <f t="shared" si="2115"/>
        <v>0</v>
      </c>
      <c r="Q2401" s="31">
        <f t="shared" si="2114"/>
        <v>0</v>
      </c>
    </row>
    <row r="2402" spans="1:17" x14ac:dyDescent="0.2">
      <c r="A2402" s="10"/>
      <c r="B2402" s="26"/>
      <c r="C2402" s="11">
        <v>1988</v>
      </c>
      <c r="D2402" s="32">
        <f>SPFI_CLB14!$D$11</f>
        <v>0.64558800000000005</v>
      </c>
      <c r="E2402" s="32"/>
      <c r="F2402" s="32"/>
      <c r="G2402" s="32"/>
      <c r="H2402" s="32"/>
      <c r="I2402" s="32"/>
      <c r="J2402" s="28">
        <f t="shared" si="2113"/>
        <v>0</v>
      </c>
      <c r="K2402" s="29"/>
      <c r="L2402" s="29"/>
      <c r="M2402" s="29"/>
      <c r="N2402" s="29"/>
      <c r="O2402" s="29"/>
      <c r="P2402" s="30">
        <f t="shared" si="2115"/>
        <v>0</v>
      </c>
      <c r="Q2402" s="31">
        <f t="shared" si="2114"/>
        <v>0</v>
      </c>
    </row>
    <row r="2403" spans="1:17" x14ac:dyDescent="0.2">
      <c r="A2403" s="10"/>
      <c r="B2403" s="26"/>
      <c r="C2403" s="11">
        <v>1989</v>
      </c>
      <c r="D2403" s="32">
        <f>SPFI_CLB14!$D$12</f>
        <v>0.65287700000000004</v>
      </c>
      <c r="E2403" s="32"/>
      <c r="F2403" s="32"/>
      <c r="G2403" s="32"/>
      <c r="H2403" s="32"/>
      <c r="I2403" s="32"/>
      <c r="J2403" s="28">
        <f t="shared" si="2113"/>
        <v>0</v>
      </c>
      <c r="K2403" s="29"/>
      <c r="L2403" s="29"/>
      <c r="M2403" s="29"/>
      <c r="N2403" s="29"/>
      <c r="O2403" s="29"/>
      <c r="P2403" s="30">
        <f t="shared" si="2115"/>
        <v>0</v>
      </c>
      <c r="Q2403" s="31">
        <f t="shared" si="2114"/>
        <v>0</v>
      </c>
    </row>
    <row r="2404" spans="1:17" x14ac:dyDescent="0.2">
      <c r="A2404" s="10"/>
      <c r="B2404" s="26"/>
      <c r="C2404" s="11">
        <v>1990</v>
      </c>
      <c r="D2404" s="32">
        <f>SPFI_CLB14!$D$13</f>
        <v>0.56965100000000002</v>
      </c>
      <c r="E2404" s="32"/>
      <c r="F2404" s="32"/>
      <c r="G2404" s="32"/>
      <c r="H2404" s="32"/>
      <c r="I2404" s="32"/>
      <c r="J2404" s="28">
        <f t="shared" si="2113"/>
        <v>0</v>
      </c>
      <c r="K2404" s="29"/>
      <c r="L2404" s="29"/>
      <c r="M2404" s="29"/>
      <c r="N2404" s="29"/>
      <c r="O2404" s="29"/>
      <c r="P2404" s="30">
        <f t="shared" si="2115"/>
        <v>0</v>
      </c>
      <c r="Q2404" s="31">
        <f t="shared" si="2114"/>
        <v>0</v>
      </c>
    </row>
    <row r="2405" spans="1:17" x14ac:dyDescent="0.2">
      <c r="A2405" s="10"/>
      <c r="B2405" s="26"/>
      <c r="C2405" s="11">
        <v>1991</v>
      </c>
      <c r="D2405" s="32">
        <f>SPFI_CLB14!$D$14</f>
        <v>0.62776900000000002</v>
      </c>
      <c r="E2405" s="32"/>
      <c r="F2405" s="32"/>
      <c r="G2405" s="32"/>
      <c r="H2405" s="32"/>
      <c r="I2405" s="32"/>
      <c r="J2405" s="28">
        <f t="shared" si="2113"/>
        <v>0</v>
      </c>
      <c r="K2405" s="29"/>
      <c r="L2405" s="29"/>
      <c r="M2405" s="29"/>
      <c r="N2405" s="29"/>
      <c r="O2405" s="29"/>
      <c r="P2405" s="30">
        <f t="shared" si="2115"/>
        <v>0</v>
      </c>
      <c r="Q2405" s="31">
        <f t="shared" si="2114"/>
        <v>0</v>
      </c>
    </row>
    <row r="2406" spans="1:17" x14ac:dyDescent="0.2">
      <c r="A2406" s="10"/>
      <c r="B2406" s="26"/>
      <c r="C2406" s="11">
        <v>1992</v>
      </c>
      <c r="D2406" s="32">
        <f>SPFI_CLB14!$D$15</f>
        <v>0.43504100000000001</v>
      </c>
      <c r="E2406" s="32"/>
      <c r="F2406" s="32"/>
      <c r="G2406" s="32"/>
      <c r="H2406" s="32"/>
      <c r="I2406" s="32"/>
      <c r="J2406" s="28">
        <f t="shared" si="2113"/>
        <v>0</v>
      </c>
      <c r="K2406" s="29"/>
      <c r="L2406" s="29"/>
      <c r="M2406" s="29"/>
      <c r="N2406" s="29"/>
      <c r="O2406" s="29"/>
      <c r="P2406" s="30">
        <f t="shared" si="2115"/>
        <v>0</v>
      </c>
      <c r="Q2406" s="31">
        <f t="shared" si="2114"/>
        <v>0</v>
      </c>
    </row>
    <row r="2407" spans="1:17" x14ac:dyDescent="0.2">
      <c r="A2407" s="10"/>
      <c r="B2407" s="26"/>
      <c r="C2407" s="11">
        <v>1993</v>
      </c>
      <c r="D2407" s="32">
        <f>SPFI_CLB14!$D$16</f>
        <v>0.499164</v>
      </c>
      <c r="E2407" s="32"/>
      <c r="F2407" s="32"/>
      <c r="G2407" s="32"/>
      <c r="H2407" s="32"/>
      <c r="I2407" s="32"/>
      <c r="J2407" s="28">
        <f t="shared" si="2113"/>
        <v>0</v>
      </c>
      <c r="K2407" s="29"/>
      <c r="L2407" s="29"/>
      <c r="M2407" s="29"/>
      <c r="N2407" s="29"/>
      <c r="O2407" s="29"/>
      <c r="P2407" s="30">
        <f t="shared" si="2115"/>
        <v>0</v>
      </c>
      <c r="Q2407" s="31">
        <f t="shared" si="2114"/>
        <v>0</v>
      </c>
    </row>
    <row r="2408" spans="1:17" x14ac:dyDescent="0.2">
      <c r="A2408" s="10"/>
      <c r="B2408" s="26"/>
      <c r="C2408" s="11">
        <v>1994</v>
      </c>
      <c r="D2408" s="32">
        <f>SPFI_CLB14!$D$17</f>
        <v>0.59591300000000003</v>
      </c>
      <c r="E2408" s="32"/>
      <c r="F2408" s="32"/>
      <c r="G2408" s="32"/>
      <c r="H2408" s="32"/>
      <c r="I2408" s="32"/>
      <c r="J2408" s="28">
        <f t="shared" si="2113"/>
        <v>0</v>
      </c>
      <c r="K2408" s="29"/>
      <c r="L2408" s="29"/>
      <c r="M2408" s="29"/>
      <c r="N2408" s="29"/>
      <c r="O2408" s="29"/>
      <c r="P2408" s="30">
        <f t="shared" si="2115"/>
        <v>0</v>
      </c>
      <c r="Q2408" s="31">
        <f t="shared" si="2114"/>
        <v>0</v>
      </c>
    </row>
    <row r="2409" spans="1:17" x14ac:dyDescent="0.2">
      <c r="A2409" s="10"/>
      <c r="B2409" s="26"/>
      <c r="C2409" s="11">
        <v>1995</v>
      </c>
      <c r="D2409" s="32">
        <f>SPFI_CLB14!$D$18</f>
        <v>0.25400800000000001</v>
      </c>
      <c r="E2409" s="32"/>
      <c r="F2409" s="32"/>
      <c r="G2409" s="32"/>
      <c r="H2409" s="32"/>
      <c r="I2409" s="32"/>
      <c r="J2409" s="28">
        <f t="shared" ref="J2409" si="2116">D2409*J$77</f>
        <v>0</v>
      </c>
      <c r="K2409" s="29"/>
      <c r="L2409" s="29"/>
      <c r="M2409" s="29"/>
      <c r="N2409" s="29"/>
      <c r="O2409" s="29"/>
      <c r="P2409" s="30">
        <f>SUM(J2409:O2409)</f>
        <v>0</v>
      </c>
      <c r="Q2409" s="31">
        <f t="shared" si="2114"/>
        <v>0</v>
      </c>
    </row>
    <row r="2410" spans="1:17" x14ac:dyDescent="0.2">
      <c r="A2410" s="10"/>
      <c r="B2410" s="26"/>
      <c r="C2410" s="11">
        <v>1996</v>
      </c>
      <c r="D2410" s="32">
        <f>SPFI_CLB14!$D$19</f>
        <v>0</v>
      </c>
      <c r="E2410" s="32"/>
      <c r="F2410" s="32"/>
      <c r="G2410" s="32"/>
      <c r="H2410" s="32"/>
      <c r="I2410" s="32"/>
      <c r="J2410" s="28">
        <f t="shared" ref="J2410" si="2117">D2410*J$77</f>
        <v>0</v>
      </c>
      <c r="K2410" s="29"/>
      <c r="L2410" s="29"/>
      <c r="M2410" s="29"/>
      <c r="N2410" s="29"/>
      <c r="O2410" s="29"/>
      <c r="P2410" s="30">
        <f>SUM(J2410:O2410)</f>
        <v>0</v>
      </c>
      <c r="Q2410" s="31">
        <f t="shared" si="2114"/>
        <v>0</v>
      </c>
    </row>
    <row r="2411" spans="1:17" x14ac:dyDescent="0.2">
      <c r="A2411" s="10"/>
      <c r="B2411" s="26"/>
      <c r="C2411" s="11">
        <v>1997</v>
      </c>
      <c r="D2411" s="32">
        <f>SPFI_CLB14!$D$20</f>
        <v>0.201487</v>
      </c>
      <c r="E2411" s="32"/>
      <c r="F2411" s="32"/>
      <c r="G2411" s="32"/>
      <c r="H2411" s="32"/>
      <c r="I2411" s="32"/>
      <c r="J2411" s="28">
        <f t="shared" ref="J2411" si="2118">D2411*J$77</f>
        <v>0</v>
      </c>
      <c r="K2411" s="29"/>
      <c r="L2411" s="29"/>
      <c r="M2411" s="29"/>
      <c r="N2411" s="29"/>
      <c r="O2411" s="29"/>
      <c r="P2411" s="30">
        <f>SUM(J2411:O2411)</f>
        <v>0</v>
      </c>
      <c r="Q2411" s="31">
        <f t="shared" si="2114"/>
        <v>0</v>
      </c>
    </row>
    <row r="2412" spans="1:17" x14ac:dyDescent="0.2">
      <c r="A2412" s="10"/>
      <c r="B2412" s="26"/>
      <c r="C2412" s="11">
        <v>1998</v>
      </c>
      <c r="D2412" s="32">
        <f>SPFI_CLB14!$D$21</f>
        <v>0.37506400000000001</v>
      </c>
      <c r="E2412" s="32"/>
      <c r="F2412" s="32"/>
      <c r="G2412" s="32"/>
      <c r="H2412" s="32"/>
      <c r="I2412" s="32"/>
      <c r="J2412" s="28">
        <f t="shared" ref="J2412" si="2119">D2412*J$77</f>
        <v>0</v>
      </c>
      <c r="K2412" s="29"/>
      <c r="L2412" s="29"/>
      <c r="M2412" s="29"/>
      <c r="N2412" s="29"/>
      <c r="O2412" s="29"/>
      <c r="P2412" s="30">
        <f>SUM(J2412:O2412)</f>
        <v>0</v>
      </c>
      <c r="Q2412" s="31">
        <f t="shared" si="2114"/>
        <v>0</v>
      </c>
    </row>
    <row r="2413" spans="1:17" x14ac:dyDescent="0.2">
      <c r="A2413" s="10"/>
      <c r="B2413" s="26"/>
      <c r="C2413" s="11">
        <v>1999</v>
      </c>
      <c r="D2413" s="32">
        <f>SPFI_CLB14!$D$22</f>
        <v>0.29823699999999997</v>
      </c>
      <c r="E2413" s="32"/>
      <c r="F2413" s="32"/>
      <c r="G2413" s="32"/>
      <c r="H2413" s="32"/>
      <c r="I2413" s="32"/>
      <c r="J2413" s="28">
        <f t="shared" ref="J2413" si="2120">D2413*J$77</f>
        <v>0</v>
      </c>
      <c r="K2413" s="29"/>
      <c r="L2413" s="29"/>
      <c r="M2413" s="29"/>
      <c r="N2413" s="29"/>
      <c r="O2413" s="29"/>
      <c r="P2413" s="30">
        <f>SUM(J2413:O2413)</f>
        <v>0</v>
      </c>
      <c r="Q2413" s="31">
        <f t="shared" ref="Q2413:Q2418" si="2121">IF(C$77&gt;0,P2413/C$77,0)</f>
        <v>0</v>
      </c>
    </row>
    <row r="2414" spans="1:17" x14ac:dyDescent="0.2">
      <c r="A2414" s="10"/>
      <c r="B2414" s="26"/>
      <c r="C2414" s="11">
        <v>2000</v>
      </c>
      <c r="D2414" s="32">
        <f>SPFI_CLB14!$D$23</f>
        <v>8.4414000000000003E-2</v>
      </c>
      <c r="E2414" s="32"/>
      <c r="F2414" s="32"/>
      <c r="G2414" s="32"/>
      <c r="H2414" s="32"/>
      <c r="I2414" s="32"/>
      <c r="J2414" s="28">
        <f t="shared" ref="J2414" si="2122">D2414*J$77</f>
        <v>0</v>
      </c>
      <c r="K2414" s="29"/>
      <c r="L2414" s="29"/>
      <c r="M2414" s="29"/>
      <c r="N2414" s="29"/>
      <c r="O2414" s="29"/>
      <c r="P2414" s="30">
        <f t="shared" ref="P2414:P2419" si="2123">SUM(J2414:O2414)</f>
        <v>0</v>
      </c>
      <c r="Q2414" s="31">
        <f t="shared" si="2121"/>
        <v>0</v>
      </c>
    </row>
    <row r="2415" spans="1:17" x14ac:dyDescent="0.2">
      <c r="A2415" s="10"/>
      <c r="B2415" s="26"/>
      <c r="C2415" s="11">
        <v>2001</v>
      </c>
      <c r="D2415" s="32">
        <f>SPFI_CLB14!$D$24</f>
        <v>7.8909000000000007E-2</v>
      </c>
      <c r="E2415" s="32"/>
      <c r="F2415" s="32"/>
      <c r="G2415" s="32"/>
      <c r="H2415" s="32"/>
      <c r="I2415" s="32"/>
      <c r="J2415" s="28">
        <f t="shared" ref="J2415" si="2124">D2415*J$77</f>
        <v>0</v>
      </c>
      <c r="K2415" s="29"/>
      <c r="L2415" s="29"/>
      <c r="M2415" s="29"/>
      <c r="N2415" s="29"/>
      <c r="O2415" s="29"/>
      <c r="P2415" s="30">
        <f t="shared" si="2123"/>
        <v>0</v>
      </c>
      <c r="Q2415" s="31">
        <f t="shared" si="2121"/>
        <v>0</v>
      </c>
    </row>
    <row r="2416" spans="1:17" x14ac:dyDescent="0.2">
      <c r="A2416" s="10"/>
      <c r="B2416" s="26"/>
      <c r="C2416" s="11">
        <v>2002</v>
      </c>
      <c r="D2416" s="32">
        <f>SPFI_CLB14!$D$25</f>
        <v>0.29974699999999999</v>
      </c>
      <c r="E2416" s="32"/>
      <c r="F2416" s="32"/>
      <c r="G2416" s="32"/>
      <c r="H2416" s="32"/>
      <c r="I2416" s="32"/>
      <c r="J2416" s="28">
        <f t="shared" ref="J2416" si="2125">D2416*J$77</f>
        <v>0</v>
      </c>
      <c r="K2416" s="29"/>
      <c r="L2416" s="29"/>
      <c r="M2416" s="29"/>
      <c r="N2416" s="29"/>
      <c r="O2416" s="29"/>
      <c r="P2416" s="30">
        <f t="shared" si="2123"/>
        <v>0</v>
      </c>
      <c r="Q2416" s="31">
        <f t="shared" si="2121"/>
        <v>0</v>
      </c>
    </row>
    <row r="2417" spans="1:17" x14ac:dyDescent="0.2">
      <c r="A2417" s="10"/>
      <c r="B2417" s="26"/>
      <c r="C2417" s="11">
        <v>2003</v>
      </c>
      <c r="D2417" s="32">
        <f>SPFI_CLB14!$D$26</f>
        <v>0.20691100000000001</v>
      </c>
      <c r="E2417" s="32"/>
      <c r="F2417" s="32"/>
      <c r="G2417" s="32"/>
      <c r="H2417" s="32"/>
      <c r="I2417" s="32"/>
      <c r="J2417" s="28">
        <f t="shared" ref="J2417" si="2126">D2417*J$77</f>
        <v>0</v>
      </c>
      <c r="K2417" s="29"/>
      <c r="L2417" s="29"/>
      <c r="M2417" s="29"/>
      <c r="N2417" s="29"/>
      <c r="O2417" s="29"/>
      <c r="P2417" s="30">
        <f t="shared" si="2123"/>
        <v>0</v>
      </c>
      <c r="Q2417" s="31">
        <f t="shared" si="2121"/>
        <v>0</v>
      </c>
    </row>
    <row r="2418" spans="1:17" x14ac:dyDescent="0.2">
      <c r="A2418" s="10"/>
      <c r="B2418" s="26"/>
      <c r="C2418" s="11">
        <v>2004</v>
      </c>
      <c r="D2418" s="32">
        <f>SPFI_CLB14!$D$27</f>
        <v>0.269237</v>
      </c>
      <c r="E2418" s="32"/>
      <c r="F2418" s="32"/>
      <c r="G2418" s="32"/>
      <c r="H2418" s="32"/>
      <c r="I2418" s="32"/>
      <c r="J2418" s="28">
        <f t="shared" ref="J2418" si="2127">D2418*J$77</f>
        <v>0</v>
      </c>
      <c r="K2418" s="29"/>
      <c r="L2418" s="29"/>
      <c r="M2418" s="29"/>
      <c r="N2418" s="29"/>
      <c r="O2418" s="29"/>
      <c r="P2418" s="30">
        <f t="shared" si="2123"/>
        <v>0</v>
      </c>
      <c r="Q2418" s="31">
        <f t="shared" si="2121"/>
        <v>0</v>
      </c>
    </row>
    <row r="2419" spans="1:17" x14ac:dyDescent="0.2">
      <c r="A2419" s="10"/>
      <c r="B2419" s="26"/>
      <c r="C2419" s="11">
        <v>2005</v>
      </c>
      <c r="D2419" s="32">
        <f>SPFI_CLB14!$D$28</f>
        <v>0.37848700000000002</v>
      </c>
      <c r="E2419" s="32"/>
      <c r="F2419" s="32"/>
      <c r="G2419" s="32"/>
      <c r="H2419" s="32"/>
      <c r="I2419" s="32"/>
      <c r="J2419" s="28">
        <f t="shared" ref="J2419" si="2128">D2419*J$77</f>
        <v>0</v>
      </c>
      <c r="K2419" s="29"/>
      <c r="L2419" s="29"/>
      <c r="M2419" s="29"/>
      <c r="N2419" s="29"/>
      <c r="O2419" s="29"/>
      <c r="P2419" s="30">
        <f t="shared" si="2123"/>
        <v>0</v>
      </c>
      <c r="Q2419" s="31">
        <f t="shared" ref="Q2419:Q2424" si="2129">IF(C$77&gt;0,P2419/C$77,0)</f>
        <v>0</v>
      </c>
    </row>
    <row r="2420" spans="1:17" x14ac:dyDescent="0.2">
      <c r="A2420" s="10"/>
      <c r="B2420" s="26"/>
      <c r="C2420" s="11">
        <v>2006</v>
      </c>
      <c r="D2420" s="32">
        <f>SPFI_CLB14!$D$29</f>
        <v>0.381023</v>
      </c>
      <c r="E2420" s="32"/>
      <c r="F2420" s="32"/>
      <c r="G2420" s="32"/>
      <c r="H2420" s="32"/>
      <c r="I2420" s="32"/>
      <c r="J2420" s="28">
        <f t="shared" ref="J2420" si="2130">D2420*J$77</f>
        <v>0</v>
      </c>
      <c r="K2420" s="29"/>
      <c r="L2420" s="29"/>
      <c r="M2420" s="29"/>
      <c r="N2420" s="29"/>
      <c r="O2420" s="29"/>
      <c r="P2420" s="30">
        <f t="shared" ref="P2420:P2427" si="2131">SUM(J2420:O2420)</f>
        <v>0</v>
      </c>
      <c r="Q2420" s="31">
        <f t="shared" si="2129"/>
        <v>0</v>
      </c>
    </row>
    <row r="2421" spans="1:17" x14ac:dyDescent="0.2">
      <c r="A2421" s="10"/>
      <c r="B2421" s="26"/>
      <c r="C2421" s="11">
        <v>2007</v>
      </c>
      <c r="D2421" s="32">
        <f>SPFI_CLB14!$D$30</f>
        <v>0.356512</v>
      </c>
      <c r="E2421" s="32"/>
      <c r="F2421" s="32"/>
      <c r="G2421" s="32"/>
      <c r="H2421" s="32"/>
      <c r="I2421" s="32"/>
      <c r="J2421" s="28">
        <f t="shared" ref="J2421" si="2132">D2421*J$77</f>
        <v>0</v>
      </c>
      <c r="K2421" s="29"/>
      <c r="L2421" s="29"/>
      <c r="M2421" s="29"/>
      <c r="N2421" s="29"/>
      <c r="O2421" s="29"/>
      <c r="P2421" s="30">
        <f t="shared" si="2131"/>
        <v>0</v>
      </c>
      <c r="Q2421" s="31">
        <f t="shared" si="2129"/>
        <v>0</v>
      </c>
    </row>
    <row r="2422" spans="1:17" x14ac:dyDescent="0.2">
      <c r="A2422" s="10"/>
      <c r="B2422" s="26"/>
      <c r="C2422" s="11">
        <v>2008</v>
      </c>
      <c r="D2422" s="32">
        <f>SPFI_CLB14!$D$31</f>
        <v>0.25494499999999998</v>
      </c>
      <c r="E2422" s="32"/>
      <c r="F2422" s="32"/>
      <c r="G2422" s="32"/>
      <c r="H2422" s="32"/>
      <c r="I2422" s="32"/>
      <c r="J2422" s="28">
        <f t="shared" ref="J2422" si="2133">D2422*J$77</f>
        <v>0</v>
      </c>
      <c r="K2422" s="29"/>
      <c r="L2422" s="29"/>
      <c r="M2422" s="29"/>
      <c r="N2422" s="29"/>
      <c r="O2422" s="29"/>
      <c r="P2422" s="30">
        <f t="shared" si="2131"/>
        <v>0</v>
      </c>
      <c r="Q2422" s="31">
        <f t="shared" si="2129"/>
        <v>0</v>
      </c>
    </row>
    <row r="2423" spans="1:17" x14ac:dyDescent="0.2">
      <c r="A2423" s="10"/>
      <c r="B2423" s="26"/>
      <c r="C2423" s="11">
        <v>2009</v>
      </c>
      <c r="D2423" s="32">
        <f>SPFI_CLB14!$D$32</f>
        <v>0.52383000000000002</v>
      </c>
      <c r="E2423" s="32"/>
      <c r="F2423" s="32"/>
      <c r="G2423" s="32"/>
      <c r="H2423" s="32"/>
      <c r="I2423" s="32"/>
      <c r="J2423" s="28">
        <f t="shared" ref="J2423" si="2134">D2423*J$77</f>
        <v>0</v>
      </c>
      <c r="K2423" s="29"/>
      <c r="L2423" s="29"/>
      <c r="M2423" s="29"/>
      <c r="N2423" s="29"/>
      <c r="O2423" s="29"/>
      <c r="P2423" s="30">
        <f t="shared" si="2131"/>
        <v>0</v>
      </c>
      <c r="Q2423" s="31">
        <f t="shared" si="2129"/>
        <v>0</v>
      </c>
    </row>
    <row r="2424" spans="1:17" x14ac:dyDescent="0.2">
      <c r="A2424" s="10"/>
      <c r="B2424" s="26"/>
      <c r="C2424" s="11">
        <v>2010</v>
      </c>
      <c r="D2424" s="32">
        <f>SPFI_CLB14!$D$33</f>
        <v>0.31394</v>
      </c>
      <c r="E2424" s="32"/>
      <c r="F2424" s="32"/>
      <c r="G2424" s="32"/>
      <c r="H2424" s="32"/>
      <c r="I2424" s="32"/>
      <c r="J2424" s="28">
        <f t="shared" ref="J2424" si="2135">D2424*J$77</f>
        <v>0</v>
      </c>
      <c r="K2424" s="29"/>
      <c r="L2424" s="29"/>
      <c r="M2424" s="29"/>
      <c r="N2424" s="29"/>
      <c r="O2424" s="29"/>
      <c r="P2424" s="30">
        <f t="shared" si="2131"/>
        <v>0</v>
      </c>
      <c r="Q2424" s="31">
        <f t="shared" si="2129"/>
        <v>0</v>
      </c>
    </row>
    <row r="2425" spans="1:17" x14ac:dyDescent="0.2">
      <c r="A2425" s="10"/>
      <c r="B2425" s="26"/>
      <c r="C2425" s="11">
        <v>2011</v>
      </c>
      <c r="D2425" s="32">
        <f>SPFI_CLB14!$D$34</f>
        <v>0.294348</v>
      </c>
      <c r="E2425" s="32"/>
      <c r="F2425" s="32"/>
      <c r="G2425" s="32"/>
      <c r="H2425" s="32"/>
      <c r="I2425" s="32"/>
      <c r="J2425" s="28">
        <f t="shared" ref="J2425" si="2136">D2425*J$77</f>
        <v>0</v>
      </c>
      <c r="K2425" s="29"/>
      <c r="L2425" s="29"/>
      <c r="M2425" s="29"/>
      <c r="N2425" s="29"/>
      <c r="O2425" s="29"/>
      <c r="P2425" s="30">
        <f t="shared" ref="P2425" si="2137">SUM(J2425:O2425)</f>
        <v>0</v>
      </c>
      <c r="Q2425" s="31">
        <f t="shared" ref="Q2425" si="2138">IF(C$77&gt;0,P2425/C$77,0)</f>
        <v>0</v>
      </c>
    </row>
    <row r="2426" spans="1:17" x14ac:dyDescent="0.2">
      <c r="A2426" s="10"/>
      <c r="B2426" s="26"/>
      <c r="C2426" s="11">
        <v>2012</v>
      </c>
      <c r="D2426" s="32">
        <f>SPFI_CLB14!$D$35</f>
        <v>0.34784100000000001</v>
      </c>
      <c r="E2426" s="32"/>
      <c r="F2426" s="32"/>
      <c r="G2426" s="32"/>
      <c r="H2426" s="32"/>
      <c r="I2426" s="32"/>
      <c r="J2426" s="28">
        <f t="shared" ref="J2426" si="2139">D2426*J$77</f>
        <v>0</v>
      </c>
      <c r="K2426" s="29"/>
      <c r="L2426" s="29"/>
      <c r="M2426" s="29"/>
      <c r="N2426" s="29"/>
      <c r="O2426" s="29"/>
      <c r="P2426" s="30">
        <f t="shared" ref="P2426" si="2140">SUM(J2426:O2426)</f>
        <v>0</v>
      </c>
      <c r="Q2426" s="31">
        <f t="shared" ref="Q2426" si="2141">IF(C$77&gt;0,P2426/C$77,0)</f>
        <v>0</v>
      </c>
    </row>
    <row r="2427" spans="1:17" x14ac:dyDescent="0.2">
      <c r="A2427" s="5" t="s">
        <v>24</v>
      </c>
      <c r="B2427" s="21">
        <v>4</v>
      </c>
      <c r="C2427" s="6">
        <v>1982</v>
      </c>
      <c r="D2427" s="27">
        <f>SPFI_CLB14!$D$5</f>
        <v>0.98153299999999999</v>
      </c>
      <c r="E2427" s="27"/>
      <c r="F2427" s="27"/>
      <c r="G2427" s="27"/>
      <c r="H2427" s="27"/>
      <c r="I2427" s="27"/>
      <c r="J2427" s="33">
        <f t="shared" ref="J2427:J2439" si="2142">D2427*J$78</f>
        <v>0</v>
      </c>
      <c r="K2427" s="27"/>
      <c r="L2427" s="27"/>
      <c r="M2427" s="27"/>
      <c r="N2427" s="27"/>
      <c r="O2427" s="27"/>
      <c r="P2427" s="34">
        <f t="shared" si="2131"/>
        <v>0</v>
      </c>
      <c r="Q2427" s="35">
        <f t="shared" ref="Q2427:Q2443" si="2143">IF(C$78&gt;0,P2427/C$78,0)</f>
        <v>0</v>
      </c>
    </row>
    <row r="2428" spans="1:17" x14ac:dyDescent="0.2">
      <c r="A2428" s="10"/>
      <c r="B2428" s="26"/>
      <c r="C2428" s="11">
        <v>1983</v>
      </c>
      <c r="D2428" s="32">
        <f>SPFI_CLB14!$D$6</f>
        <v>0.93659899999999996</v>
      </c>
      <c r="E2428" s="32"/>
      <c r="F2428" s="32"/>
      <c r="G2428" s="32"/>
      <c r="H2428" s="32"/>
      <c r="I2428" s="32"/>
      <c r="J2428" s="28">
        <f t="shared" si="2142"/>
        <v>0</v>
      </c>
      <c r="K2428" s="29"/>
      <c r="L2428" s="29"/>
      <c r="M2428" s="29"/>
      <c r="N2428" s="29"/>
      <c r="O2428" s="29"/>
      <c r="P2428" s="30">
        <f t="shared" ref="P2428:P2439" si="2144">SUM(J2428:O2428)</f>
        <v>0</v>
      </c>
      <c r="Q2428" s="31">
        <f t="shared" si="2143"/>
        <v>0</v>
      </c>
    </row>
    <row r="2429" spans="1:17" x14ac:dyDescent="0.2">
      <c r="A2429" s="10"/>
      <c r="B2429" s="26"/>
      <c r="C2429" s="11">
        <v>1984</v>
      </c>
      <c r="D2429" s="32">
        <f>SPFI_CLB14!$D$7</f>
        <v>0.92793599999999998</v>
      </c>
      <c r="E2429" s="32"/>
      <c r="F2429" s="32"/>
      <c r="G2429" s="32"/>
      <c r="H2429" s="32"/>
      <c r="I2429" s="32"/>
      <c r="J2429" s="28">
        <f t="shared" si="2142"/>
        <v>0</v>
      </c>
      <c r="K2429" s="29"/>
      <c r="L2429" s="29"/>
      <c r="M2429" s="29"/>
      <c r="N2429" s="29"/>
      <c r="O2429" s="29"/>
      <c r="P2429" s="30">
        <f t="shared" si="2144"/>
        <v>0</v>
      </c>
      <c r="Q2429" s="31">
        <f t="shared" si="2143"/>
        <v>0</v>
      </c>
    </row>
    <row r="2430" spans="1:17" x14ac:dyDescent="0.2">
      <c r="A2430" s="10"/>
      <c r="B2430" s="26"/>
      <c r="C2430" s="11">
        <v>1985</v>
      </c>
      <c r="D2430" s="32">
        <f>SPFI_CLB14!$D$8</f>
        <v>0.90386500000000003</v>
      </c>
      <c r="E2430" s="32"/>
      <c r="F2430" s="32"/>
      <c r="G2430" s="32"/>
      <c r="H2430" s="32"/>
      <c r="I2430" s="32"/>
      <c r="J2430" s="28">
        <f t="shared" si="2142"/>
        <v>0</v>
      </c>
      <c r="K2430" s="29"/>
      <c r="L2430" s="29"/>
      <c r="M2430" s="29"/>
      <c r="N2430" s="29"/>
      <c r="O2430" s="29"/>
      <c r="P2430" s="30">
        <f t="shared" si="2144"/>
        <v>0</v>
      </c>
      <c r="Q2430" s="31">
        <f t="shared" si="2143"/>
        <v>0</v>
      </c>
    </row>
    <row r="2431" spans="1:17" x14ac:dyDescent="0.2">
      <c r="A2431" s="10"/>
      <c r="B2431" s="26"/>
      <c r="C2431" s="11">
        <v>1986</v>
      </c>
      <c r="D2431" s="32">
        <f>SPFI_CLB14!$D$9</f>
        <v>0.73087500000000005</v>
      </c>
      <c r="E2431" s="32"/>
      <c r="F2431" s="32"/>
      <c r="G2431" s="32"/>
      <c r="H2431" s="32"/>
      <c r="I2431" s="32"/>
      <c r="J2431" s="28">
        <f t="shared" si="2142"/>
        <v>0</v>
      </c>
      <c r="K2431" s="29"/>
      <c r="L2431" s="29"/>
      <c r="M2431" s="29"/>
      <c r="N2431" s="29"/>
      <c r="O2431" s="29"/>
      <c r="P2431" s="30">
        <f t="shared" si="2144"/>
        <v>0</v>
      </c>
      <c r="Q2431" s="31">
        <f t="shared" si="2143"/>
        <v>0</v>
      </c>
    </row>
    <row r="2432" spans="1:17" x14ac:dyDescent="0.2">
      <c r="A2432" s="10"/>
      <c r="B2432" s="26"/>
      <c r="C2432" s="11">
        <v>1987</v>
      </c>
      <c r="D2432" s="32">
        <f>SPFI_CLB14!$D$10</f>
        <v>0.71733499999999994</v>
      </c>
      <c r="E2432" s="32"/>
      <c r="F2432" s="32"/>
      <c r="G2432" s="32"/>
      <c r="H2432" s="32"/>
      <c r="I2432" s="32"/>
      <c r="J2432" s="28">
        <f t="shared" si="2142"/>
        <v>0</v>
      </c>
      <c r="K2432" s="29"/>
      <c r="L2432" s="29"/>
      <c r="M2432" s="29"/>
      <c r="N2432" s="29"/>
      <c r="O2432" s="29"/>
      <c r="P2432" s="30">
        <f t="shared" si="2144"/>
        <v>0</v>
      </c>
      <c r="Q2432" s="31">
        <f t="shared" si="2143"/>
        <v>0</v>
      </c>
    </row>
    <row r="2433" spans="1:17" x14ac:dyDescent="0.2">
      <c r="A2433" s="10"/>
      <c r="B2433" s="26"/>
      <c r="C2433" s="11">
        <v>1988</v>
      </c>
      <c r="D2433" s="32">
        <f>SPFI_CLB14!$D$11</f>
        <v>0.64558800000000005</v>
      </c>
      <c r="E2433" s="32"/>
      <c r="F2433" s="32"/>
      <c r="G2433" s="32"/>
      <c r="H2433" s="32"/>
      <c r="I2433" s="32"/>
      <c r="J2433" s="28">
        <f t="shared" si="2142"/>
        <v>0</v>
      </c>
      <c r="K2433" s="29"/>
      <c r="L2433" s="29"/>
      <c r="M2433" s="29"/>
      <c r="N2433" s="29"/>
      <c r="O2433" s="29"/>
      <c r="P2433" s="30">
        <f t="shared" si="2144"/>
        <v>0</v>
      </c>
      <c r="Q2433" s="31">
        <f t="shared" si="2143"/>
        <v>0</v>
      </c>
    </row>
    <row r="2434" spans="1:17" x14ac:dyDescent="0.2">
      <c r="A2434" s="10"/>
      <c r="B2434" s="26"/>
      <c r="C2434" s="11">
        <v>1989</v>
      </c>
      <c r="D2434" s="32">
        <f>SPFI_CLB14!$D$12</f>
        <v>0.65287700000000004</v>
      </c>
      <c r="E2434" s="32"/>
      <c r="F2434" s="32"/>
      <c r="G2434" s="32"/>
      <c r="H2434" s="32"/>
      <c r="I2434" s="32"/>
      <c r="J2434" s="28">
        <f t="shared" si="2142"/>
        <v>0</v>
      </c>
      <c r="K2434" s="29"/>
      <c r="L2434" s="29"/>
      <c r="M2434" s="29"/>
      <c r="N2434" s="29"/>
      <c r="O2434" s="29"/>
      <c r="P2434" s="30">
        <f t="shared" si="2144"/>
        <v>0</v>
      </c>
      <c r="Q2434" s="31">
        <f t="shared" si="2143"/>
        <v>0</v>
      </c>
    </row>
    <row r="2435" spans="1:17" x14ac:dyDescent="0.2">
      <c r="A2435" s="10"/>
      <c r="B2435" s="26"/>
      <c r="C2435" s="11">
        <v>1990</v>
      </c>
      <c r="D2435" s="32">
        <f>SPFI_CLB14!$D$13</f>
        <v>0.56965100000000002</v>
      </c>
      <c r="E2435" s="32"/>
      <c r="F2435" s="32"/>
      <c r="G2435" s="32"/>
      <c r="H2435" s="32"/>
      <c r="I2435" s="32"/>
      <c r="J2435" s="28">
        <f t="shared" si="2142"/>
        <v>0</v>
      </c>
      <c r="K2435" s="29"/>
      <c r="L2435" s="29"/>
      <c r="M2435" s="29"/>
      <c r="N2435" s="29"/>
      <c r="O2435" s="29"/>
      <c r="P2435" s="30">
        <f t="shared" si="2144"/>
        <v>0</v>
      </c>
      <c r="Q2435" s="31">
        <f t="shared" si="2143"/>
        <v>0</v>
      </c>
    </row>
    <row r="2436" spans="1:17" x14ac:dyDescent="0.2">
      <c r="A2436" s="10"/>
      <c r="B2436" s="26"/>
      <c r="C2436" s="11">
        <v>1991</v>
      </c>
      <c r="D2436" s="32">
        <f>SPFI_CLB14!$D$14</f>
        <v>0.62776900000000002</v>
      </c>
      <c r="E2436" s="32"/>
      <c r="F2436" s="32"/>
      <c r="G2436" s="32"/>
      <c r="H2436" s="32"/>
      <c r="I2436" s="32"/>
      <c r="J2436" s="28">
        <f t="shared" si="2142"/>
        <v>0</v>
      </c>
      <c r="K2436" s="29"/>
      <c r="L2436" s="29"/>
      <c r="M2436" s="29"/>
      <c r="N2436" s="29"/>
      <c r="O2436" s="29"/>
      <c r="P2436" s="30">
        <f t="shared" si="2144"/>
        <v>0</v>
      </c>
      <c r="Q2436" s="31">
        <f t="shared" si="2143"/>
        <v>0</v>
      </c>
    </row>
    <row r="2437" spans="1:17" x14ac:dyDescent="0.2">
      <c r="A2437" s="10"/>
      <c r="B2437" s="26"/>
      <c r="C2437" s="11">
        <v>1992</v>
      </c>
      <c r="D2437" s="32">
        <f>SPFI_CLB14!$D$15</f>
        <v>0.43504100000000001</v>
      </c>
      <c r="E2437" s="32"/>
      <c r="F2437" s="32"/>
      <c r="G2437" s="32"/>
      <c r="H2437" s="32"/>
      <c r="I2437" s="32"/>
      <c r="J2437" s="28">
        <f t="shared" si="2142"/>
        <v>0</v>
      </c>
      <c r="K2437" s="29"/>
      <c r="L2437" s="29"/>
      <c r="M2437" s="29"/>
      <c r="N2437" s="29"/>
      <c r="O2437" s="29"/>
      <c r="P2437" s="30">
        <f t="shared" si="2144"/>
        <v>0</v>
      </c>
      <c r="Q2437" s="31">
        <f t="shared" si="2143"/>
        <v>0</v>
      </c>
    </row>
    <row r="2438" spans="1:17" x14ac:dyDescent="0.2">
      <c r="A2438" s="10"/>
      <c r="B2438" s="26"/>
      <c r="C2438" s="11">
        <v>1993</v>
      </c>
      <c r="D2438" s="32">
        <f>SPFI_CLB14!$D$16</f>
        <v>0.499164</v>
      </c>
      <c r="E2438" s="32"/>
      <c r="F2438" s="32"/>
      <c r="G2438" s="32"/>
      <c r="H2438" s="32"/>
      <c r="I2438" s="32"/>
      <c r="J2438" s="28">
        <f t="shared" si="2142"/>
        <v>0</v>
      </c>
      <c r="K2438" s="29"/>
      <c r="L2438" s="29"/>
      <c r="M2438" s="29"/>
      <c r="N2438" s="29"/>
      <c r="O2438" s="29"/>
      <c r="P2438" s="30">
        <f t="shared" si="2144"/>
        <v>0</v>
      </c>
      <c r="Q2438" s="31">
        <f t="shared" si="2143"/>
        <v>0</v>
      </c>
    </row>
    <row r="2439" spans="1:17" x14ac:dyDescent="0.2">
      <c r="A2439" s="10"/>
      <c r="B2439" s="26"/>
      <c r="C2439" s="11">
        <v>1994</v>
      </c>
      <c r="D2439" s="32">
        <f>SPFI_CLB14!$D$17</f>
        <v>0.59591300000000003</v>
      </c>
      <c r="E2439" s="32"/>
      <c r="F2439" s="32"/>
      <c r="G2439" s="32"/>
      <c r="H2439" s="32"/>
      <c r="I2439" s="32"/>
      <c r="J2439" s="28">
        <f t="shared" si="2142"/>
        <v>0</v>
      </c>
      <c r="K2439" s="29"/>
      <c r="L2439" s="29"/>
      <c r="M2439" s="29"/>
      <c r="N2439" s="29"/>
      <c r="O2439" s="29"/>
      <c r="P2439" s="30">
        <f t="shared" si="2144"/>
        <v>0</v>
      </c>
      <c r="Q2439" s="31">
        <f t="shared" si="2143"/>
        <v>0</v>
      </c>
    </row>
    <row r="2440" spans="1:17" x14ac:dyDescent="0.2">
      <c r="A2440" s="10"/>
      <c r="B2440" s="26"/>
      <c r="C2440" s="11">
        <v>1995</v>
      </c>
      <c r="D2440" s="32">
        <f>SPFI_CLB14!$D$18</f>
        <v>0.25400800000000001</v>
      </c>
      <c r="E2440" s="32"/>
      <c r="F2440" s="32"/>
      <c r="G2440" s="32"/>
      <c r="H2440" s="32"/>
      <c r="I2440" s="32"/>
      <c r="J2440" s="28">
        <f t="shared" ref="J2440" si="2145">D2440*J$78</f>
        <v>0</v>
      </c>
      <c r="K2440" s="29"/>
      <c r="L2440" s="29"/>
      <c r="M2440" s="29"/>
      <c r="N2440" s="29"/>
      <c r="O2440" s="29"/>
      <c r="P2440" s="30">
        <f>SUM(J2440:O2440)</f>
        <v>0</v>
      </c>
      <c r="Q2440" s="31">
        <f t="shared" si="2143"/>
        <v>0</v>
      </c>
    </row>
    <row r="2441" spans="1:17" x14ac:dyDescent="0.2">
      <c r="A2441" s="10"/>
      <c r="B2441" s="26"/>
      <c r="C2441" s="11">
        <v>1996</v>
      </c>
      <c r="D2441" s="32">
        <f>SPFI_CLB14!$D$19</f>
        <v>0</v>
      </c>
      <c r="E2441" s="32"/>
      <c r="F2441" s="32"/>
      <c r="G2441" s="32"/>
      <c r="H2441" s="32"/>
      <c r="I2441" s="32"/>
      <c r="J2441" s="28">
        <f t="shared" ref="J2441" si="2146">D2441*J$78</f>
        <v>0</v>
      </c>
      <c r="K2441" s="29"/>
      <c r="L2441" s="29"/>
      <c r="M2441" s="29"/>
      <c r="N2441" s="29"/>
      <c r="O2441" s="29"/>
      <c r="P2441" s="30">
        <f>SUM(J2441:O2441)</f>
        <v>0</v>
      </c>
      <c r="Q2441" s="31">
        <f t="shared" si="2143"/>
        <v>0</v>
      </c>
    </row>
    <row r="2442" spans="1:17" x14ac:dyDescent="0.2">
      <c r="A2442" s="10"/>
      <c r="B2442" s="26"/>
      <c r="C2442" s="11">
        <v>1997</v>
      </c>
      <c r="D2442" s="32">
        <f>SPFI_CLB14!$D$20</f>
        <v>0.201487</v>
      </c>
      <c r="E2442" s="32"/>
      <c r="F2442" s="32"/>
      <c r="G2442" s="32"/>
      <c r="H2442" s="32"/>
      <c r="I2442" s="32"/>
      <c r="J2442" s="28">
        <f t="shared" ref="J2442" si="2147">D2442*J$78</f>
        <v>0</v>
      </c>
      <c r="K2442" s="29"/>
      <c r="L2442" s="29"/>
      <c r="M2442" s="29"/>
      <c r="N2442" s="29"/>
      <c r="O2442" s="29"/>
      <c r="P2442" s="30">
        <f>SUM(J2442:O2442)</f>
        <v>0</v>
      </c>
      <c r="Q2442" s="31">
        <f t="shared" si="2143"/>
        <v>0</v>
      </c>
    </row>
    <row r="2443" spans="1:17" x14ac:dyDescent="0.2">
      <c r="A2443" s="10"/>
      <c r="B2443" s="26"/>
      <c r="C2443" s="11">
        <v>1998</v>
      </c>
      <c r="D2443" s="32">
        <f>SPFI_CLB14!$D$21</f>
        <v>0.37506400000000001</v>
      </c>
      <c r="E2443" s="32"/>
      <c r="F2443" s="32"/>
      <c r="G2443" s="32"/>
      <c r="H2443" s="32"/>
      <c r="I2443" s="32"/>
      <c r="J2443" s="28">
        <f t="shared" ref="J2443" si="2148">D2443*J$78</f>
        <v>0</v>
      </c>
      <c r="K2443" s="29"/>
      <c r="L2443" s="29"/>
      <c r="M2443" s="29"/>
      <c r="N2443" s="29"/>
      <c r="O2443" s="29"/>
      <c r="P2443" s="30">
        <f>SUM(J2443:O2443)</f>
        <v>0</v>
      </c>
      <c r="Q2443" s="31">
        <f t="shared" si="2143"/>
        <v>0</v>
      </c>
    </row>
    <row r="2444" spans="1:17" x14ac:dyDescent="0.2">
      <c r="A2444" s="10"/>
      <c r="B2444" s="26"/>
      <c r="C2444" s="11">
        <v>1999</v>
      </c>
      <c r="D2444" s="32">
        <f>SPFI_CLB14!$D$22</f>
        <v>0.29823699999999997</v>
      </c>
      <c r="E2444" s="32"/>
      <c r="F2444" s="32"/>
      <c r="G2444" s="32"/>
      <c r="H2444" s="32"/>
      <c r="I2444" s="32"/>
      <c r="J2444" s="28">
        <f t="shared" ref="J2444" si="2149">D2444*J$78</f>
        <v>0</v>
      </c>
      <c r="K2444" s="29"/>
      <c r="L2444" s="29"/>
      <c r="M2444" s="29"/>
      <c r="N2444" s="29"/>
      <c r="O2444" s="29"/>
      <c r="P2444" s="30">
        <f>SUM(J2444:O2444)</f>
        <v>0</v>
      </c>
      <c r="Q2444" s="31">
        <f t="shared" ref="Q2444:Q2449" si="2150">IF(C$78&gt;0,P2444/C$78,0)</f>
        <v>0</v>
      </c>
    </row>
    <row r="2445" spans="1:17" x14ac:dyDescent="0.2">
      <c r="A2445" s="10"/>
      <c r="B2445" s="26"/>
      <c r="C2445" s="11">
        <v>2000</v>
      </c>
      <c r="D2445" s="32">
        <f>SPFI_CLB14!$D$23</f>
        <v>8.4414000000000003E-2</v>
      </c>
      <c r="E2445" s="32"/>
      <c r="F2445" s="32"/>
      <c r="G2445" s="32"/>
      <c r="H2445" s="32"/>
      <c r="I2445" s="32"/>
      <c r="J2445" s="28">
        <f t="shared" ref="J2445" si="2151">D2445*J$78</f>
        <v>0</v>
      </c>
      <c r="K2445" s="29"/>
      <c r="L2445" s="29"/>
      <c r="M2445" s="29"/>
      <c r="N2445" s="29"/>
      <c r="O2445" s="29"/>
      <c r="P2445" s="30">
        <f t="shared" ref="P2445:P2450" si="2152">SUM(J2445:O2445)</f>
        <v>0</v>
      </c>
      <c r="Q2445" s="31">
        <f t="shared" si="2150"/>
        <v>0</v>
      </c>
    </row>
    <row r="2446" spans="1:17" x14ac:dyDescent="0.2">
      <c r="A2446" s="10"/>
      <c r="B2446" s="26"/>
      <c r="C2446" s="11">
        <v>2001</v>
      </c>
      <c r="D2446" s="32">
        <f>SPFI_CLB14!$D$24</f>
        <v>7.8909000000000007E-2</v>
      </c>
      <c r="E2446" s="32"/>
      <c r="F2446" s="32"/>
      <c r="G2446" s="32"/>
      <c r="H2446" s="32"/>
      <c r="I2446" s="32"/>
      <c r="J2446" s="28">
        <f t="shared" ref="J2446" si="2153">D2446*J$78</f>
        <v>0</v>
      </c>
      <c r="K2446" s="29"/>
      <c r="L2446" s="29"/>
      <c r="M2446" s="29"/>
      <c r="N2446" s="29"/>
      <c r="O2446" s="29"/>
      <c r="P2446" s="30">
        <f t="shared" si="2152"/>
        <v>0</v>
      </c>
      <c r="Q2446" s="31">
        <f t="shared" si="2150"/>
        <v>0</v>
      </c>
    </row>
    <row r="2447" spans="1:17" x14ac:dyDescent="0.2">
      <c r="A2447" s="10"/>
      <c r="B2447" s="26"/>
      <c r="C2447" s="11">
        <v>2002</v>
      </c>
      <c r="D2447" s="32">
        <f>SPFI_CLB14!$D$25</f>
        <v>0.29974699999999999</v>
      </c>
      <c r="E2447" s="32"/>
      <c r="F2447" s="32"/>
      <c r="G2447" s="32"/>
      <c r="H2447" s="32"/>
      <c r="I2447" s="32"/>
      <c r="J2447" s="28">
        <f t="shared" ref="J2447" si="2154">D2447*J$78</f>
        <v>0</v>
      </c>
      <c r="K2447" s="29"/>
      <c r="L2447" s="29"/>
      <c r="M2447" s="29"/>
      <c r="N2447" s="29"/>
      <c r="O2447" s="29"/>
      <c r="P2447" s="30">
        <f t="shared" si="2152"/>
        <v>0</v>
      </c>
      <c r="Q2447" s="31">
        <f t="shared" si="2150"/>
        <v>0</v>
      </c>
    </row>
    <row r="2448" spans="1:17" x14ac:dyDescent="0.2">
      <c r="A2448" s="10"/>
      <c r="B2448" s="26"/>
      <c r="C2448" s="11">
        <v>2003</v>
      </c>
      <c r="D2448" s="32">
        <f>SPFI_CLB14!$D$26</f>
        <v>0.20691100000000001</v>
      </c>
      <c r="E2448" s="32"/>
      <c r="F2448" s="32"/>
      <c r="G2448" s="32"/>
      <c r="H2448" s="32"/>
      <c r="I2448" s="32"/>
      <c r="J2448" s="28">
        <f t="shared" ref="J2448" si="2155">D2448*J$78</f>
        <v>0</v>
      </c>
      <c r="K2448" s="29"/>
      <c r="L2448" s="29"/>
      <c r="M2448" s="29"/>
      <c r="N2448" s="29"/>
      <c r="O2448" s="29"/>
      <c r="P2448" s="30">
        <f t="shared" si="2152"/>
        <v>0</v>
      </c>
      <c r="Q2448" s="31">
        <f t="shared" si="2150"/>
        <v>0</v>
      </c>
    </row>
    <row r="2449" spans="1:17" x14ac:dyDescent="0.2">
      <c r="A2449" s="10"/>
      <c r="B2449" s="26"/>
      <c r="C2449" s="11">
        <v>2004</v>
      </c>
      <c r="D2449" s="32">
        <f>SPFI_CLB14!$D$27</f>
        <v>0.269237</v>
      </c>
      <c r="E2449" s="32"/>
      <c r="F2449" s="32"/>
      <c r="G2449" s="32"/>
      <c r="H2449" s="32"/>
      <c r="I2449" s="32"/>
      <c r="J2449" s="28">
        <f t="shared" ref="J2449" si="2156">D2449*J$78</f>
        <v>0</v>
      </c>
      <c r="K2449" s="29"/>
      <c r="L2449" s="29"/>
      <c r="M2449" s="29"/>
      <c r="N2449" s="29"/>
      <c r="O2449" s="29"/>
      <c r="P2449" s="30">
        <f t="shared" si="2152"/>
        <v>0</v>
      </c>
      <c r="Q2449" s="31">
        <f t="shared" si="2150"/>
        <v>0</v>
      </c>
    </row>
    <row r="2450" spans="1:17" x14ac:dyDescent="0.2">
      <c r="A2450" s="10"/>
      <c r="B2450" s="26"/>
      <c r="C2450" s="11">
        <v>2005</v>
      </c>
      <c r="D2450" s="32">
        <f>SPFI_CLB14!$D$28</f>
        <v>0.37848700000000002</v>
      </c>
      <c r="E2450" s="32"/>
      <c r="F2450" s="32"/>
      <c r="G2450" s="32"/>
      <c r="H2450" s="32"/>
      <c r="I2450" s="32"/>
      <c r="J2450" s="28">
        <f t="shared" ref="J2450" si="2157">D2450*J$78</f>
        <v>0</v>
      </c>
      <c r="K2450" s="29"/>
      <c r="L2450" s="29"/>
      <c r="M2450" s="29"/>
      <c r="N2450" s="29"/>
      <c r="O2450" s="29"/>
      <c r="P2450" s="30">
        <f t="shared" si="2152"/>
        <v>0</v>
      </c>
      <c r="Q2450" s="31">
        <f t="shared" ref="Q2450:Q2455" si="2158">IF(C$78&gt;0,P2450/C$78,0)</f>
        <v>0</v>
      </c>
    </row>
    <row r="2451" spans="1:17" x14ac:dyDescent="0.2">
      <c r="A2451" s="10"/>
      <c r="B2451" s="26"/>
      <c r="C2451" s="11">
        <v>2006</v>
      </c>
      <c r="D2451" s="32">
        <f>SPFI_CLB14!$D$29</f>
        <v>0.381023</v>
      </c>
      <c r="E2451" s="32"/>
      <c r="F2451" s="32"/>
      <c r="G2451" s="32"/>
      <c r="H2451" s="32"/>
      <c r="I2451" s="32"/>
      <c r="J2451" s="28">
        <f t="shared" ref="J2451" si="2159">D2451*J$78</f>
        <v>0</v>
      </c>
      <c r="K2451" s="29"/>
      <c r="L2451" s="29"/>
      <c r="M2451" s="29"/>
      <c r="N2451" s="29"/>
      <c r="O2451" s="29"/>
      <c r="P2451" s="30">
        <f t="shared" ref="P2451:P2458" si="2160">SUM(J2451:O2451)</f>
        <v>0</v>
      </c>
      <c r="Q2451" s="31">
        <f t="shared" si="2158"/>
        <v>0</v>
      </c>
    </row>
    <row r="2452" spans="1:17" x14ac:dyDescent="0.2">
      <c r="A2452" s="10"/>
      <c r="B2452" s="26"/>
      <c r="C2452" s="11">
        <v>2007</v>
      </c>
      <c r="D2452" s="32">
        <f>SPFI_CLB14!$D$30</f>
        <v>0.356512</v>
      </c>
      <c r="E2452" s="32"/>
      <c r="F2452" s="32"/>
      <c r="G2452" s="32"/>
      <c r="H2452" s="32"/>
      <c r="I2452" s="32"/>
      <c r="J2452" s="28">
        <f t="shared" ref="J2452" si="2161">D2452*J$78</f>
        <v>0</v>
      </c>
      <c r="K2452" s="29"/>
      <c r="L2452" s="29"/>
      <c r="M2452" s="29"/>
      <c r="N2452" s="29"/>
      <c r="O2452" s="29"/>
      <c r="P2452" s="30">
        <f t="shared" si="2160"/>
        <v>0</v>
      </c>
      <c r="Q2452" s="31">
        <f t="shared" si="2158"/>
        <v>0</v>
      </c>
    </row>
    <row r="2453" spans="1:17" x14ac:dyDescent="0.2">
      <c r="A2453" s="10"/>
      <c r="B2453" s="26"/>
      <c r="C2453" s="11">
        <v>2008</v>
      </c>
      <c r="D2453" s="32">
        <f>SPFI_CLB14!$D$31</f>
        <v>0.25494499999999998</v>
      </c>
      <c r="E2453" s="32"/>
      <c r="F2453" s="32"/>
      <c r="G2453" s="32"/>
      <c r="H2453" s="32"/>
      <c r="I2453" s="32"/>
      <c r="J2453" s="28">
        <f t="shared" ref="J2453" si="2162">D2453*J$78</f>
        <v>0</v>
      </c>
      <c r="K2453" s="29"/>
      <c r="L2453" s="29"/>
      <c r="M2453" s="29"/>
      <c r="N2453" s="29"/>
      <c r="O2453" s="29"/>
      <c r="P2453" s="30">
        <f t="shared" si="2160"/>
        <v>0</v>
      </c>
      <c r="Q2453" s="31">
        <f t="shared" si="2158"/>
        <v>0</v>
      </c>
    </row>
    <row r="2454" spans="1:17" x14ac:dyDescent="0.2">
      <c r="A2454" s="10"/>
      <c r="B2454" s="26"/>
      <c r="C2454" s="11">
        <v>2009</v>
      </c>
      <c r="D2454" s="32">
        <f>SPFI_CLB14!$D$32</f>
        <v>0.52383000000000002</v>
      </c>
      <c r="E2454" s="32"/>
      <c r="F2454" s="32"/>
      <c r="G2454" s="32"/>
      <c r="H2454" s="32"/>
      <c r="I2454" s="32"/>
      <c r="J2454" s="28">
        <f t="shared" ref="J2454" si="2163">D2454*J$78</f>
        <v>0</v>
      </c>
      <c r="K2454" s="29"/>
      <c r="L2454" s="29"/>
      <c r="M2454" s="29"/>
      <c r="N2454" s="29"/>
      <c r="O2454" s="29"/>
      <c r="P2454" s="30">
        <f t="shared" si="2160"/>
        <v>0</v>
      </c>
      <c r="Q2454" s="31">
        <f t="shared" si="2158"/>
        <v>0</v>
      </c>
    </row>
    <row r="2455" spans="1:17" x14ac:dyDescent="0.2">
      <c r="A2455" s="10"/>
      <c r="B2455" s="26"/>
      <c r="C2455" s="11">
        <v>2010</v>
      </c>
      <c r="D2455" s="32">
        <f>SPFI_CLB14!$D$33</f>
        <v>0.31394</v>
      </c>
      <c r="E2455" s="32"/>
      <c r="F2455" s="32"/>
      <c r="G2455" s="32"/>
      <c r="H2455" s="32"/>
      <c r="I2455" s="32"/>
      <c r="J2455" s="28">
        <f t="shared" ref="J2455" si="2164">D2455*J$78</f>
        <v>0</v>
      </c>
      <c r="K2455" s="29"/>
      <c r="L2455" s="29"/>
      <c r="M2455" s="29"/>
      <c r="N2455" s="29"/>
      <c r="O2455" s="29"/>
      <c r="P2455" s="30">
        <f t="shared" si="2160"/>
        <v>0</v>
      </c>
      <c r="Q2455" s="31">
        <f t="shared" si="2158"/>
        <v>0</v>
      </c>
    </row>
    <row r="2456" spans="1:17" x14ac:dyDescent="0.2">
      <c r="A2456" s="10"/>
      <c r="B2456" s="26"/>
      <c r="C2456" s="11">
        <v>2011</v>
      </c>
      <c r="D2456" s="32">
        <f>SPFI_CLB14!$D$34</f>
        <v>0.294348</v>
      </c>
      <c r="E2456" s="32"/>
      <c r="F2456" s="32"/>
      <c r="G2456" s="32"/>
      <c r="H2456" s="32"/>
      <c r="I2456" s="32"/>
      <c r="J2456" s="28">
        <f t="shared" ref="J2456" si="2165">D2456*J$78</f>
        <v>0</v>
      </c>
      <c r="K2456" s="29"/>
      <c r="L2456" s="29"/>
      <c r="M2456" s="29"/>
      <c r="N2456" s="29"/>
      <c r="O2456" s="29"/>
      <c r="P2456" s="30">
        <f t="shared" ref="P2456" si="2166">SUM(J2456:O2456)</f>
        <v>0</v>
      </c>
      <c r="Q2456" s="31">
        <f t="shared" ref="Q2456" si="2167">IF(C$78&gt;0,P2456/C$78,0)</f>
        <v>0</v>
      </c>
    </row>
    <row r="2457" spans="1:17" x14ac:dyDescent="0.2">
      <c r="A2457" s="10"/>
      <c r="B2457" s="26"/>
      <c r="C2457" s="11">
        <v>2012</v>
      </c>
      <c r="D2457" s="32">
        <f>SPFI_CLB14!$D$35</f>
        <v>0.34784100000000001</v>
      </c>
      <c r="E2457" s="32"/>
      <c r="F2457" s="32"/>
      <c r="G2457" s="32"/>
      <c r="H2457" s="32"/>
      <c r="I2457" s="32"/>
      <c r="J2457" s="28">
        <f t="shared" ref="J2457" si="2168">D2457*J$78</f>
        <v>0</v>
      </c>
      <c r="K2457" s="29"/>
      <c r="L2457" s="29"/>
      <c r="M2457" s="29"/>
      <c r="N2457" s="29"/>
      <c r="O2457" s="29"/>
      <c r="P2457" s="30">
        <f t="shared" ref="P2457" si="2169">SUM(J2457:O2457)</f>
        <v>0</v>
      </c>
      <c r="Q2457" s="31">
        <f t="shared" ref="Q2457" si="2170">IF(C$78&gt;0,P2457/C$78,0)</f>
        <v>0</v>
      </c>
    </row>
    <row r="2458" spans="1:17" x14ac:dyDescent="0.2">
      <c r="A2458" s="5" t="s">
        <v>24</v>
      </c>
      <c r="B2458" s="21">
        <v>5</v>
      </c>
      <c r="C2458" s="6">
        <v>1982</v>
      </c>
      <c r="D2458" s="27">
        <f>SPFI_CLB14!$D$5</f>
        <v>0.98153299999999999</v>
      </c>
      <c r="E2458" s="27"/>
      <c r="F2458" s="27"/>
      <c r="G2458" s="27"/>
      <c r="H2458" s="27"/>
      <c r="I2458" s="27"/>
      <c r="J2458" s="33">
        <f t="shared" ref="J2458:J2470" si="2171">D2458*J$79</f>
        <v>0</v>
      </c>
      <c r="K2458" s="27"/>
      <c r="L2458" s="27"/>
      <c r="M2458" s="27"/>
      <c r="N2458" s="27"/>
      <c r="O2458" s="27"/>
      <c r="P2458" s="34">
        <f t="shared" si="2160"/>
        <v>0</v>
      </c>
      <c r="Q2458" s="35">
        <f t="shared" ref="Q2458:Q2474" si="2172">IF(C$79&gt;0,P2458/C$79,0)</f>
        <v>0</v>
      </c>
    </row>
    <row r="2459" spans="1:17" x14ac:dyDescent="0.2">
      <c r="A2459" s="10"/>
      <c r="B2459" s="26"/>
      <c r="C2459" s="11">
        <v>1983</v>
      </c>
      <c r="D2459" s="32">
        <f>SPFI_CLB14!$D$6</f>
        <v>0.93659899999999996</v>
      </c>
      <c r="E2459" s="32"/>
      <c r="F2459" s="32"/>
      <c r="G2459" s="32"/>
      <c r="H2459" s="32"/>
      <c r="I2459" s="32"/>
      <c r="J2459" s="28">
        <f t="shared" si="2171"/>
        <v>0</v>
      </c>
      <c r="K2459" s="29"/>
      <c r="L2459" s="29"/>
      <c r="M2459" s="29"/>
      <c r="N2459" s="29"/>
      <c r="O2459" s="29"/>
      <c r="P2459" s="30">
        <f t="shared" ref="P2459:P2470" si="2173">SUM(J2459:O2459)</f>
        <v>0</v>
      </c>
      <c r="Q2459" s="31">
        <f t="shared" si="2172"/>
        <v>0</v>
      </c>
    </row>
    <row r="2460" spans="1:17" x14ac:dyDescent="0.2">
      <c r="A2460" s="10"/>
      <c r="B2460" s="26"/>
      <c r="C2460" s="11">
        <v>1984</v>
      </c>
      <c r="D2460" s="32">
        <f>SPFI_CLB14!$D$7</f>
        <v>0.92793599999999998</v>
      </c>
      <c r="E2460" s="32"/>
      <c r="F2460" s="32"/>
      <c r="G2460" s="32"/>
      <c r="H2460" s="32"/>
      <c r="I2460" s="32"/>
      <c r="J2460" s="28">
        <f t="shared" si="2171"/>
        <v>0</v>
      </c>
      <c r="K2460" s="29"/>
      <c r="L2460" s="29"/>
      <c r="M2460" s="29"/>
      <c r="N2460" s="29"/>
      <c r="O2460" s="29"/>
      <c r="P2460" s="30">
        <f t="shared" si="2173"/>
        <v>0</v>
      </c>
      <c r="Q2460" s="31">
        <f t="shared" si="2172"/>
        <v>0</v>
      </c>
    </row>
    <row r="2461" spans="1:17" x14ac:dyDescent="0.2">
      <c r="A2461" s="10"/>
      <c r="B2461" s="26"/>
      <c r="C2461" s="11">
        <v>1985</v>
      </c>
      <c r="D2461" s="32">
        <f>SPFI_CLB14!$D$8</f>
        <v>0.90386500000000003</v>
      </c>
      <c r="E2461" s="32"/>
      <c r="F2461" s="32"/>
      <c r="G2461" s="32"/>
      <c r="H2461" s="32"/>
      <c r="I2461" s="32"/>
      <c r="J2461" s="28">
        <f t="shared" si="2171"/>
        <v>0</v>
      </c>
      <c r="K2461" s="29"/>
      <c r="L2461" s="29"/>
      <c r="M2461" s="29"/>
      <c r="N2461" s="29"/>
      <c r="O2461" s="29"/>
      <c r="P2461" s="30">
        <f t="shared" si="2173"/>
        <v>0</v>
      </c>
      <c r="Q2461" s="31">
        <f t="shared" si="2172"/>
        <v>0</v>
      </c>
    </row>
    <row r="2462" spans="1:17" x14ac:dyDescent="0.2">
      <c r="A2462" s="10"/>
      <c r="B2462" s="26"/>
      <c r="C2462" s="11">
        <v>1986</v>
      </c>
      <c r="D2462" s="32">
        <f>SPFI_CLB14!$D$9</f>
        <v>0.73087500000000005</v>
      </c>
      <c r="E2462" s="32"/>
      <c r="F2462" s="32"/>
      <c r="G2462" s="32"/>
      <c r="H2462" s="32"/>
      <c r="I2462" s="32"/>
      <c r="J2462" s="28">
        <f t="shared" si="2171"/>
        <v>0</v>
      </c>
      <c r="K2462" s="29"/>
      <c r="L2462" s="29"/>
      <c r="M2462" s="29"/>
      <c r="N2462" s="29"/>
      <c r="O2462" s="29"/>
      <c r="P2462" s="30">
        <f t="shared" si="2173"/>
        <v>0</v>
      </c>
      <c r="Q2462" s="31">
        <f t="shared" si="2172"/>
        <v>0</v>
      </c>
    </row>
    <row r="2463" spans="1:17" x14ac:dyDescent="0.2">
      <c r="A2463" s="10"/>
      <c r="B2463" s="26"/>
      <c r="C2463" s="11">
        <v>1987</v>
      </c>
      <c r="D2463" s="32">
        <f>SPFI_CLB14!$D$10</f>
        <v>0.71733499999999994</v>
      </c>
      <c r="E2463" s="32"/>
      <c r="F2463" s="32"/>
      <c r="G2463" s="32"/>
      <c r="H2463" s="32"/>
      <c r="I2463" s="32"/>
      <c r="J2463" s="28">
        <f t="shared" si="2171"/>
        <v>0</v>
      </c>
      <c r="K2463" s="29"/>
      <c r="L2463" s="29"/>
      <c r="M2463" s="29"/>
      <c r="N2463" s="29"/>
      <c r="O2463" s="29"/>
      <c r="P2463" s="30">
        <f t="shared" si="2173"/>
        <v>0</v>
      </c>
      <c r="Q2463" s="31">
        <f t="shared" si="2172"/>
        <v>0</v>
      </c>
    </row>
    <row r="2464" spans="1:17" x14ac:dyDescent="0.2">
      <c r="A2464" s="10"/>
      <c r="B2464" s="26"/>
      <c r="C2464" s="11">
        <v>1988</v>
      </c>
      <c r="D2464" s="32">
        <f>SPFI_CLB14!$D$11</f>
        <v>0.64558800000000005</v>
      </c>
      <c r="E2464" s="32"/>
      <c r="F2464" s="32"/>
      <c r="G2464" s="32"/>
      <c r="H2464" s="32"/>
      <c r="I2464" s="32"/>
      <c r="J2464" s="28">
        <f t="shared" si="2171"/>
        <v>0</v>
      </c>
      <c r="K2464" s="29"/>
      <c r="L2464" s="29"/>
      <c r="M2464" s="29"/>
      <c r="N2464" s="29"/>
      <c r="O2464" s="29"/>
      <c r="P2464" s="30">
        <f t="shared" si="2173"/>
        <v>0</v>
      </c>
      <c r="Q2464" s="31">
        <f t="shared" si="2172"/>
        <v>0</v>
      </c>
    </row>
    <row r="2465" spans="1:17" x14ac:dyDescent="0.2">
      <c r="A2465" s="10"/>
      <c r="B2465" s="26"/>
      <c r="C2465" s="11">
        <v>1989</v>
      </c>
      <c r="D2465" s="32">
        <f>SPFI_CLB14!$D$12</f>
        <v>0.65287700000000004</v>
      </c>
      <c r="E2465" s="32"/>
      <c r="F2465" s="32"/>
      <c r="G2465" s="32"/>
      <c r="H2465" s="32"/>
      <c r="I2465" s="32"/>
      <c r="J2465" s="28">
        <f t="shared" si="2171"/>
        <v>0</v>
      </c>
      <c r="K2465" s="29"/>
      <c r="L2465" s="29"/>
      <c r="M2465" s="29"/>
      <c r="N2465" s="29"/>
      <c r="O2465" s="29"/>
      <c r="P2465" s="30">
        <f t="shared" si="2173"/>
        <v>0</v>
      </c>
      <c r="Q2465" s="31">
        <f t="shared" si="2172"/>
        <v>0</v>
      </c>
    </row>
    <row r="2466" spans="1:17" x14ac:dyDescent="0.2">
      <c r="A2466" s="10"/>
      <c r="B2466" s="26"/>
      <c r="C2466" s="11">
        <v>1990</v>
      </c>
      <c r="D2466" s="32">
        <f>SPFI_CLB14!$D$13</f>
        <v>0.56965100000000002</v>
      </c>
      <c r="E2466" s="32"/>
      <c r="F2466" s="32"/>
      <c r="G2466" s="32"/>
      <c r="H2466" s="32"/>
      <c r="I2466" s="32"/>
      <c r="J2466" s="28">
        <f t="shared" si="2171"/>
        <v>0</v>
      </c>
      <c r="K2466" s="29"/>
      <c r="L2466" s="29"/>
      <c r="M2466" s="29"/>
      <c r="N2466" s="29"/>
      <c r="O2466" s="29"/>
      <c r="P2466" s="30">
        <f t="shared" si="2173"/>
        <v>0</v>
      </c>
      <c r="Q2466" s="31">
        <f t="shared" si="2172"/>
        <v>0</v>
      </c>
    </row>
    <row r="2467" spans="1:17" x14ac:dyDescent="0.2">
      <c r="A2467" s="10"/>
      <c r="B2467" s="26"/>
      <c r="C2467" s="11">
        <v>1991</v>
      </c>
      <c r="D2467" s="32">
        <f>SPFI_CLB14!$D$14</f>
        <v>0.62776900000000002</v>
      </c>
      <c r="E2467" s="32"/>
      <c r="F2467" s="32"/>
      <c r="G2467" s="32"/>
      <c r="H2467" s="32"/>
      <c r="I2467" s="32"/>
      <c r="J2467" s="28">
        <f t="shared" si="2171"/>
        <v>0</v>
      </c>
      <c r="K2467" s="29"/>
      <c r="L2467" s="29"/>
      <c r="M2467" s="29"/>
      <c r="N2467" s="29"/>
      <c r="O2467" s="29"/>
      <c r="P2467" s="30">
        <f t="shared" si="2173"/>
        <v>0</v>
      </c>
      <c r="Q2467" s="31">
        <f t="shared" si="2172"/>
        <v>0</v>
      </c>
    </row>
    <row r="2468" spans="1:17" x14ac:dyDescent="0.2">
      <c r="A2468" s="10"/>
      <c r="B2468" s="26"/>
      <c r="C2468" s="11">
        <v>1992</v>
      </c>
      <c r="D2468" s="32">
        <f>SPFI_CLB14!$D$15</f>
        <v>0.43504100000000001</v>
      </c>
      <c r="E2468" s="32"/>
      <c r="F2468" s="32"/>
      <c r="G2468" s="32"/>
      <c r="H2468" s="32"/>
      <c r="I2468" s="32"/>
      <c r="J2468" s="28">
        <f t="shared" si="2171"/>
        <v>0</v>
      </c>
      <c r="K2468" s="29"/>
      <c r="L2468" s="29"/>
      <c r="M2468" s="29"/>
      <c r="N2468" s="29"/>
      <c r="O2468" s="29"/>
      <c r="P2468" s="30">
        <f t="shared" si="2173"/>
        <v>0</v>
      </c>
      <c r="Q2468" s="31">
        <f t="shared" si="2172"/>
        <v>0</v>
      </c>
    </row>
    <row r="2469" spans="1:17" x14ac:dyDescent="0.2">
      <c r="A2469" s="10"/>
      <c r="B2469" s="26"/>
      <c r="C2469" s="11">
        <v>1993</v>
      </c>
      <c r="D2469" s="32">
        <f>SPFI_CLB14!$D$16</f>
        <v>0.499164</v>
      </c>
      <c r="E2469" s="32"/>
      <c r="F2469" s="32"/>
      <c r="G2469" s="32"/>
      <c r="H2469" s="32"/>
      <c r="I2469" s="32"/>
      <c r="J2469" s="28">
        <f t="shared" si="2171"/>
        <v>0</v>
      </c>
      <c r="K2469" s="29"/>
      <c r="L2469" s="29"/>
      <c r="M2469" s="29"/>
      <c r="N2469" s="29"/>
      <c r="O2469" s="29"/>
      <c r="P2469" s="30">
        <f t="shared" si="2173"/>
        <v>0</v>
      </c>
      <c r="Q2469" s="31">
        <f t="shared" si="2172"/>
        <v>0</v>
      </c>
    </row>
    <row r="2470" spans="1:17" x14ac:dyDescent="0.2">
      <c r="A2470" s="10"/>
      <c r="B2470" s="26" t="s">
        <v>48</v>
      </c>
      <c r="C2470" s="11">
        <v>1994</v>
      </c>
      <c r="D2470" s="32">
        <f>SPFI_CLB14!$D$17</f>
        <v>0.59591300000000003</v>
      </c>
      <c r="E2470" s="32"/>
      <c r="F2470" s="32"/>
      <c r="G2470" s="32"/>
      <c r="H2470" s="32"/>
      <c r="I2470" s="32"/>
      <c r="J2470" s="28">
        <f t="shared" si="2171"/>
        <v>0</v>
      </c>
      <c r="K2470" s="29"/>
      <c r="L2470" s="29"/>
      <c r="M2470" s="29"/>
      <c r="N2470" s="29"/>
      <c r="O2470" s="29"/>
      <c r="P2470" s="30">
        <f t="shared" si="2173"/>
        <v>0</v>
      </c>
      <c r="Q2470" s="31">
        <f t="shared" si="2172"/>
        <v>0</v>
      </c>
    </row>
    <row r="2471" spans="1:17" x14ac:dyDescent="0.2">
      <c r="A2471" s="10"/>
      <c r="B2471" s="26"/>
      <c r="C2471" s="11">
        <v>1995</v>
      </c>
      <c r="D2471" s="32">
        <f>SPFI_CLB14!$D$18</f>
        <v>0.25400800000000001</v>
      </c>
      <c r="E2471" s="32"/>
      <c r="F2471" s="32"/>
      <c r="G2471" s="32"/>
      <c r="H2471" s="32"/>
      <c r="I2471" s="32"/>
      <c r="J2471" s="28">
        <f t="shared" ref="J2471" si="2174">D2471*J$79</f>
        <v>0</v>
      </c>
      <c r="K2471" s="29"/>
      <c r="L2471" s="29"/>
      <c r="M2471" s="29"/>
      <c r="N2471" s="29"/>
      <c r="O2471" s="29"/>
      <c r="P2471" s="30">
        <f>SUM(J2471:O2471)</f>
        <v>0</v>
      </c>
      <c r="Q2471" s="31">
        <f t="shared" si="2172"/>
        <v>0</v>
      </c>
    </row>
    <row r="2472" spans="1:17" x14ac:dyDescent="0.2">
      <c r="A2472" s="10"/>
      <c r="B2472" s="26"/>
      <c r="C2472" s="11">
        <v>1996</v>
      </c>
      <c r="D2472" s="32">
        <f>SPFI_CLB14!$D$19</f>
        <v>0</v>
      </c>
      <c r="E2472" s="32"/>
      <c r="F2472" s="32"/>
      <c r="G2472" s="32"/>
      <c r="H2472" s="32"/>
      <c r="I2472" s="32"/>
      <c r="J2472" s="28">
        <f t="shared" ref="J2472" si="2175">D2472*J$79</f>
        <v>0</v>
      </c>
      <c r="K2472" s="29"/>
      <c r="L2472" s="29"/>
      <c r="M2472" s="29"/>
      <c r="N2472" s="29"/>
      <c r="O2472" s="29"/>
      <c r="P2472" s="30">
        <f>SUM(J2472:O2472)</f>
        <v>0</v>
      </c>
      <c r="Q2472" s="31">
        <f t="shared" si="2172"/>
        <v>0</v>
      </c>
    </row>
    <row r="2473" spans="1:17" x14ac:dyDescent="0.2">
      <c r="A2473" s="10"/>
      <c r="B2473" s="26"/>
      <c r="C2473" s="11">
        <v>1997</v>
      </c>
      <c r="D2473" s="32">
        <f>SPFI_CLB14!$D$20</f>
        <v>0.201487</v>
      </c>
      <c r="E2473" s="32"/>
      <c r="F2473" s="32"/>
      <c r="G2473" s="32"/>
      <c r="H2473" s="32"/>
      <c r="I2473" s="32"/>
      <c r="J2473" s="28">
        <f t="shared" ref="J2473" si="2176">D2473*J$79</f>
        <v>0</v>
      </c>
      <c r="K2473" s="29"/>
      <c r="L2473" s="29"/>
      <c r="M2473" s="29"/>
      <c r="N2473" s="29"/>
      <c r="O2473" s="29"/>
      <c r="P2473" s="30">
        <f>SUM(J2473:O2473)</f>
        <v>0</v>
      </c>
      <c r="Q2473" s="31">
        <f t="shared" si="2172"/>
        <v>0</v>
      </c>
    </row>
    <row r="2474" spans="1:17" x14ac:dyDescent="0.2">
      <c r="A2474" s="10"/>
      <c r="B2474" s="26"/>
      <c r="C2474" s="11">
        <v>1998</v>
      </c>
      <c r="D2474" s="32">
        <f>SPFI_CLB14!$D$21</f>
        <v>0.37506400000000001</v>
      </c>
      <c r="E2474" s="32"/>
      <c r="F2474" s="32"/>
      <c r="G2474" s="32"/>
      <c r="H2474" s="32"/>
      <c r="I2474" s="32"/>
      <c r="J2474" s="28">
        <f t="shared" ref="J2474" si="2177">D2474*J$79</f>
        <v>0</v>
      </c>
      <c r="K2474" s="29"/>
      <c r="L2474" s="29"/>
      <c r="M2474" s="29"/>
      <c r="N2474" s="29"/>
      <c r="O2474" s="29"/>
      <c r="P2474" s="30">
        <f>SUM(J2474:O2474)</f>
        <v>0</v>
      </c>
      <c r="Q2474" s="31">
        <f t="shared" si="2172"/>
        <v>0</v>
      </c>
    </row>
    <row r="2475" spans="1:17" x14ac:dyDescent="0.2">
      <c r="A2475" s="10"/>
      <c r="B2475" s="26"/>
      <c r="C2475" s="11">
        <v>1999</v>
      </c>
      <c r="D2475" s="32">
        <f>SPFI_CLB14!$D$22</f>
        <v>0.29823699999999997</v>
      </c>
      <c r="E2475" s="32"/>
      <c r="F2475" s="32"/>
      <c r="G2475" s="32"/>
      <c r="H2475" s="32"/>
      <c r="I2475" s="32"/>
      <c r="J2475" s="28">
        <f t="shared" ref="J2475" si="2178">D2475*J$79</f>
        <v>0</v>
      </c>
      <c r="K2475" s="29"/>
      <c r="L2475" s="29"/>
      <c r="M2475" s="29"/>
      <c r="N2475" s="29"/>
      <c r="O2475" s="29"/>
      <c r="P2475" s="30">
        <f>SUM(J2475:O2475)</f>
        <v>0</v>
      </c>
      <c r="Q2475" s="31">
        <f t="shared" ref="Q2475:Q2480" si="2179">IF(C$79&gt;0,P2475/C$79,0)</f>
        <v>0</v>
      </c>
    </row>
    <row r="2476" spans="1:17" x14ac:dyDescent="0.2">
      <c r="A2476" s="10"/>
      <c r="B2476" s="26"/>
      <c r="C2476" s="11">
        <v>2000</v>
      </c>
      <c r="D2476" s="32">
        <f>SPFI_CLB14!$D$23</f>
        <v>8.4414000000000003E-2</v>
      </c>
      <c r="E2476" s="32"/>
      <c r="F2476" s="32"/>
      <c r="G2476" s="32"/>
      <c r="H2476" s="32"/>
      <c r="I2476" s="32"/>
      <c r="J2476" s="28">
        <f t="shared" ref="J2476" si="2180">D2476*J$79</f>
        <v>0</v>
      </c>
      <c r="K2476" s="29"/>
      <c r="L2476" s="29"/>
      <c r="M2476" s="29"/>
      <c r="N2476" s="29"/>
      <c r="O2476" s="29"/>
      <c r="P2476" s="30">
        <f t="shared" ref="P2476:P2481" si="2181">SUM(J2476:O2476)</f>
        <v>0</v>
      </c>
      <c r="Q2476" s="31">
        <f t="shared" si="2179"/>
        <v>0</v>
      </c>
    </row>
    <row r="2477" spans="1:17" x14ac:dyDescent="0.2">
      <c r="A2477" s="10"/>
      <c r="B2477" s="26"/>
      <c r="C2477" s="11">
        <v>2001</v>
      </c>
      <c r="D2477" s="32">
        <f>SPFI_CLB14!$D$24</f>
        <v>7.8909000000000007E-2</v>
      </c>
      <c r="E2477" s="32"/>
      <c r="F2477" s="32"/>
      <c r="G2477" s="32"/>
      <c r="H2477" s="32"/>
      <c r="I2477" s="32"/>
      <c r="J2477" s="28">
        <f t="shared" ref="J2477" si="2182">D2477*J$79</f>
        <v>0</v>
      </c>
      <c r="K2477" s="29"/>
      <c r="L2477" s="29"/>
      <c r="M2477" s="29"/>
      <c r="N2477" s="29"/>
      <c r="O2477" s="29"/>
      <c r="P2477" s="30">
        <f t="shared" si="2181"/>
        <v>0</v>
      </c>
      <c r="Q2477" s="31">
        <f t="shared" si="2179"/>
        <v>0</v>
      </c>
    </row>
    <row r="2478" spans="1:17" x14ac:dyDescent="0.2">
      <c r="A2478" s="10"/>
      <c r="B2478" s="26"/>
      <c r="C2478" s="11">
        <v>2002</v>
      </c>
      <c r="D2478" s="32">
        <f>SPFI_CLB14!$D$25</f>
        <v>0.29974699999999999</v>
      </c>
      <c r="E2478" s="32"/>
      <c r="F2478" s="32"/>
      <c r="G2478" s="32"/>
      <c r="H2478" s="32"/>
      <c r="I2478" s="32"/>
      <c r="J2478" s="28">
        <f t="shared" ref="J2478" si="2183">D2478*J$79</f>
        <v>0</v>
      </c>
      <c r="K2478" s="29"/>
      <c r="L2478" s="29"/>
      <c r="M2478" s="29"/>
      <c r="N2478" s="29"/>
      <c r="O2478" s="29"/>
      <c r="P2478" s="30">
        <f t="shared" si="2181"/>
        <v>0</v>
      </c>
      <c r="Q2478" s="31">
        <f t="shared" si="2179"/>
        <v>0</v>
      </c>
    </row>
    <row r="2479" spans="1:17" x14ac:dyDescent="0.2">
      <c r="A2479" s="10"/>
      <c r="B2479" s="26"/>
      <c r="C2479" s="11">
        <v>2003</v>
      </c>
      <c r="D2479" s="32">
        <f>SPFI_CLB14!$D$26</f>
        <v>0.20691100000000001</v>
      </c>
      <c r="E2479" s="32"/>
      <c r="F2479" s="32"/>
      <c r="G2479" s="32"/>
      <c r="H2479" s="32"/>
      <c r="I2479" s="32"/>
      <c r="J2479" s="28">
        <f t="shared" ref="J2479" si="2184">D2479*J$79</f>
        <v>0</v>
      </c>
      <c r="K2479" s="29"/>
      <c r="L2479" s="29"/>
      <c r="M2479" s="29"/>
      <c r="N2479" s="29"/>
      <c r="O2479" s="29"/>
      <c r="P2479" s="30">
        <f t="shared" si="2181"/>
        <v>0</v>
      </c>
      <c r="Q2479" s="31">
        <f t="shared" si="2179"/>
        <v>0</v>
      </c>
    </row>
    <row r="2480" spans="1:17" x14ac:dyDescent="0.2">
      <c r="A2480" s="10"/>
      <c r="B2480" s="26"/>
      <c r="C2480" s="11">
        <v>2004</v>
      </c>
      <c r="D2480" s="32">
        <f>SPFI_CLB14!$D$27</f>
        <v>0.269237</v>
      </c>
      <c r="E2480" s="32"/>
      <c r="F2480" s="32"/>
      <c r="G2480" s="32"/>
      <c r="H2480" s="32"/>
      <c r="I2480" s="32"/>
      <c r="J2480" s="28">
        <f t="shared" ref="J2480" si="2185">D2480*J$79</f>
        <v>0</v>
      </c>
      <c r="K2480" s="29"/>
      <c r="L2480" s="29"/>
      <c r="M2480" s="29"/>
      <c r="N2480" s="29"/>
      <c r="O2480" s="29"/>
      <c r="P2480" s="30">
        <f t="shared" si="2181"/>
        <v>0</v>
      </c>
      <c r="Q2480" s="31">
        <f t="shared" si="2179"/>
        <v>0</v>
      </c>
    </row>
    <row r="2481" spans="1:17" x14ac:dyDescent="0.2">
      <c r="A2481" s="10"/>
      <c r="B2481" s="26"/>
      <c r="C2481" s="11">
        <v>2005</v>
      </c>
      <c r="D2481" s="32">
        <f>SPFI_CLB14!$D$28</f>
        <v>0.37848700000000002</v>
      </c>
      <c r="E2481" s="32"/>
      <c r="F2481" s="32"/>
      <c r="G2481" s="32"/>
      <c r="H2481" s="32"/>
      <c r="I2481" s="32"/>
      <c r="J2481" s="28">
        <f t="shared" ref="J2481" si="2186">D2481*J$79</f>
        <v>0</v>
      </c>
      <c r="K2481" s="29"/>
      <c r="L2481" s="29"/>
      <c r="M2481" s="29"/>
      <c r="N2481" s="29"/>
      <c r="O2481" s="29"/>
      <c r="P2481" s="30">
        <f t="shared" si="2181"/>
        <v>0</v>
      </c>
      <c r="Q2481" s="31">
        <f t="shared" ref="Q2481:Q2486" si="2187">IF(C$79&gt;0,P2481/C$79,0)</f>
        <v>0</v>
      </c>
    </row>
    <row r="2482" spans="1:17" x14ac:dyDescent="0.2">
      <c r="A2482" s="10"/>
      <c r="B2482" s="26"/>
      <c r="C2482" s="11">
        <v>2006</v>
      </c>
      <c r="D2482" s="32">
        <f>SPFI_CLB14!$D$29</f>
        <v>0.381023</v>
      </c>
      <c r="E2482" s="32"/>
      <c r="F2482" s="32"/>
      <c r="G2482" s="32"/>
      <c r="H2482" s="32"/>
      <c r="I2482" s="32"/>
      <c r="J2482" s="28">
        <f t="shared" ref="J2482" si="2188">D2482*J$79</f>
        <v>0</v>
      </c>
      <c r="K2482" s="29"/>
      <c r="L2482" s="29"/>
      <c r="M2482" s="29"/>
      <c r="N2482" s="29"/>
      <c r="O2482" s="29"/>
      <c r="P2482" s="30">
        <f t="shared" ref="P2482:P2489" si="2189">SUM(J2482:O2482)</f>
        <v>0</v>
      </c>
      <c r="Q2482" s="31">
        <f t="shared" si="2187"/>
        <v>0</v>
      </c>
    </row>
    <row r="2483" spans="1:17" x14ac:dyDescent="0.2">
      <c r="A2483" s="10"/>
      <c r="B2483" s="26"/>
      <c r="C2483" s="11">
        <v>2007</v>
      </c>
      <c r="D2483" s="32">
        <f>SPFI_CLB14!$D$30</f>
        <v>0.356512</v>
      </c>
      <c r="E2483" s="32"/>
      <c r="F2483" s="32"/>
      <c r="G2483" s="32"/>
      <c r="H2483" s="32"/>
      <c r="I2483" s="32"/>
      <c r="J2483" s="28">
        <f t="shared" ref="J2483" si="2190">D2483*J$79</f>
        <v>0</v>
      </c>
      <c r="K2483" s="29"/>
      <c r="L2483" s="29"/>
      <c r="M2483" s="29"/>
      <c r="N2483" s="29"/>
      <c r="O2483" s="29"/>
      <c r="P2483" s="30">
        <f t="shared" si="2189"/>
        <v>0</v>
      </c>
      <c r="Q2483" s="31">
        <f t="shared" si="2187"/>
        <v>0</v>
      </c>
    </row>
    <row r="2484" spans="1:17" x14ac:dyDescent="0.2">
      <c r="A2484" s="10"/>
      <c r="B2484" s="26"/>
      <c r="C2484" s="11">
        <v>2008</v>
      </c>
      <c r="D2484" s="32">
        <f>SPFI_CLB14!$D$31</f>
        <v>0.25494499999999998</v>
      </c>
      <c r="E2484" s="32"/>
      <c r="F2484" s="32"/>
      <c r="G2484" s="32"/>
      <c r="H2484" s="32"/>
      <c r="I2484" s="32"/>
      <c r="J2484" s="28">
        <f t="shared" ref="J2484" si="2191">D2484*J$79</f>
        <v>0</v>
      </c>
      <c r="K2484" s="29"/>
      <c r="L2484" s="29"/>
      <c r="M2484" s="29"/>
      <c r="N2484" s="29"/>
      <c r="O2484" s="29"/>
      <c r="P2484" s="30">
        <f t="shared" si="2189"/>
        <v>0</v>
      </c>
      <c r="Q2484" s="31">
        <f t="shared" si="2187"/>
        <v>0</v>
      </c>
    </row>
    <row r="2485" spans="1:17" x14ac:dyDescent="0.2">
      <c r="A2485" s="10"/>
      <c r="B2485" s="26"/>
      <c r="C2485" s="11">
        <v>2009</v>
      </c>
      <c r="D2485" s="32">
        <f>SPFI_CLB14!$D$32</f>
        <v>0.52383000000000002</v>
      </c>
      <c r="E2485" s="32"/>
      <c r="F2485" s="32"/>
      <c r="G2485" s="32"/>
      <c r="H2485" s="32"/>
      <c r="I2485" s="32"/>
      <c r="J2485" s="28">
        <f t="shared" ref="J2485" si="2192">D2485*J$79</f>
        <v>0</v>
      </c>
      <c r="K2485" s="29"/>
      <c r="L2485" s="29"/>
      <c r="M2485" s="29"/>
      <c r="N2485" s="29"/>
      <c r="O2485" s="29"/>
      <c r="P2485" s="30">
        <f t="shared" si="2189"/>
        <v>0</v>
      </c>
      <c r="Q2485" s="31">
        <f t="shared" si="2187"/>
        <v>0</v>
      </c>
    </row>
    <row r="2486" spans="1:17" x14ac:dyDescent="0.2">
      <c r="A2486" s="10"/>
      <c r="B2486" s="26"/>
      <c r="C2486" s="11">
        <v>2010</v>
      </c>
      <c r="D2486" s="32">
        <f>SPFI_CLB14!$D$33</f>
        <v>0.31394</v>
      </c>
      <c r="E2486" s="32"/>
      <c r="F2486" s="32"/>
      <c r="G2486" s="32"/>
      <c r="H2486" s="32"/>
      <c r="I2486" s="32"/>
      <c r="J2486" s="28">
        <f t="shared" ref="J2486" si="2193">D2486*J$79</f>
        <v>0</v>
      </c>
      <c r="K2486" s="29"/>
      <c r="L2486" s="29"/>
      <c r="M2486" s="29"/>
      <c r="N2486" s="29"/>
      <c r="O2486" s="29"/>
      <c r="P2486" s="30">
        <f t="shared" si="2189"/>
        <v>0</v>
      </c>
      <c r="Q2486" s="31">
        <f t="shared" si="2187"/>
        <v>0</v>
      </c>
    </row>
    <row r="2487" spans="1:17" x14ac:dyDescent="0.2">
      <c r="A2487" s="10"/>
      <c r="B2487" s="26"/>
      <c r="C2487" s="11">
        <v>2011</v>
      </c>
      <c r="D2487" s="32">
        <f>SPFI_CLB14!$D$34</f>
        <v>0.294348</v>
      </c>
      <c r="E2487" s="32"/>
      <c r="F2487" s="32"/>
      <c r="G2487" s="32"/>
      <c r="H2487" s="32"/>
      <c r="I2487" s="32"/>
      <c r="J2487" s="28">
        <f t="shared" ref="J2487" si="2194">D2487*J$79</f>
        <v>0</v>
      </c>
      <c r="K2487" s="29"/>
      <c r="L2487" s="29"/>
      <c r="M2487" s="29"/>
      <c r="N2487" s="29"/>
      <c r="O2487" s="29"/>
      <c r="P2487" s="30">
        <f t="shared" ref="P2487" si="2195">SUM(J2487:O2487)</f>
        <v>0</v>
      </c>
      <c r="Q2487" s="31">
        <f t="shared" ref="Q2487" si="2196">IF(C$79&gt;0,P2487/C$79,0)</f>
        <v>0</v>
      </c>
    </row>
    <row r="2488" spans="1:17" x14ac:dyDescent="0.2">
      <c r="A2488" s="10"/>
      <c r="B2488" s="26"/>
      <c r="C2488" s="11">
        <v>2012</v>
      </c>
      <c r="D2488" s="32">
        <f>SPFI_CLB14!$D$35</f>
        <v>0.34784100000000001</v>
      </c>
      <c r="E2488" s="32"/>
      <c r="F2488" s="32"/>
      <c r="G2488" s="32"/>
      <c r="H2488" s="32"/>
      <c r="I2488" s="32"/>
      <c r="J2488" s="28">
        <f t="shared" ref="J2488" si="2197">D2488*J$79</f>
        <v>0</v>
      </c>
      <c r="K2488" s="29"/>
      <c r="L2488" s="29"/>
      <c r="M2488" s="29"/>
      <c r="N2488" s="29"/>
      <c r="O2488" s="29"/>
      <c r="P2488" s="30">
        <f t="shared" ref="P2488" si="2198">SUM(J2488:O2488)</f>
        <v>0</v>
      </c>
      <c r="Q2488" s="31">
        <f t="shared" ref="Q2488" si="2199">IF(C$79&gt;0,P2488/C$79,0)</f>
        <v>0</v>
      </c>
    </row>
    <row r="2489" spans="1:17" x14ac:dyDescent="0.2">
      <c r="A2489" s="5" t="s">
        <v>25</v>
      </c>
      <c r="B2489" s="21">
        <v>2</v>
      </c>
      <c r="C2489" s="6">
        <v>1982</v>
      </c>
      <c r="D2489" s="27">
        <f>SPFI_CLB14!$D$5</f>
        <v>0.98153299999999999</v>
      </c>
      <c r="E2489" s="27"/>
      <c r="F2489" s="27"/>
      <c r="G2489" s="27"/>
      <c r="H2489" s="27"/>
      <c r="I2489" s="27"/>
      <c r="J2489" s="33">
        <f t="shared" ref="J2489:J2501" si="2200">D2489*J$80</f>
        <v>0</v>
      </c>
      <c r="K2489" s="27"/>
      <c r="L2489" s="27"/>
      <c r="M2489" s="27"/>
      <c r="N2489" s="27"/>
      <c r="O2489" s="27"/>
      <c r="P2489" s="34">
        <f t="shared" si="2189"/>
        <v>0</v>
      </c>
      <c r="Q2489" s="35">
        <f t="shared" ref="Q2489:Q2505" si="2201">IF(C$80&gt;0,P2489/C$80,0)</f>
        <v>0</v>
      </c>
    </row>
    <row r="2490" spans="1:17" x14ac:dyDescent="0.2">
      <c r="A2490" s="10"/>
      <c r="B2490" s="26"/>
      <c r="C2490" s="11">
        <v>1983</v>
      </c>
      <c r="D2490" s="32">
        <f>SPFI_CLB14!$D$6</f>
        <v>0.93659899999999996</v>
      </c>
      <c r="E2490" s="32"/>
      <c r="F2490" s="32"/>
      <c r="G2490" s="32"/>
      <c r="H2490" s="32"/>
      <c r="I2490" s="32"/>
      <c r="J2490" s="28">
        <f t="shared" si="2200"/>
        <v>0</v>
      </c>
      <c r="K2490" s="29"/>
      <c r="L2490" s="29"/>
      <c r="M2490" s="29"/>
      <c r="N2490" s="29"/>
      <c r="O2490" s="29"/>
      <c r="P2490" s="30">
        <f t="shared" ref="P2490:P2501" si="2202">SUM(J2490:O2490)</f>
        <v>0</v>
      </c>
      <c r="Q2490" s="31">
        <f t="shared" si="2201"/>
        <v>0</v>
      </c>
    </row>
    <row r="2491" spans="1:17" x14ac:dyDescent="0.2">
      <c r="A2491" s="10"/>
      <c r="B2491" s="26"/>
      <c r="C2491" s="11">
        <v>1984</v>
      </c>
      <c r="D2491" s="32">
        <f>SPFI_CLB14!$D$7</f>
        <v>0.92793599999999998</v>
      </c>
      <c r="E2491" s="32"/>
      <c r="F2491" s="32"/>
      <c r="G2491" s="32"/>
      <c r="H2491" s="32"/>
      <c r="I2491" s="32"/>
      <c r="J2491" s="28">
        <f t="shared" si="2200"/>
        <v>0</v>
      </c>
      <c r="K2491" s="29"/>
      <c r="L2491" s="29"/>
      <c r="M2491" s="29"/>
      <c r="N2491" s="29"/>
      <c r="O2491" s="29"/>
      <c r="P2491" s="30">
        <f t="shared" si="2202"/>
        <v>0</v>
      </c>
      <c r="Q2491" s="31">
        <f t="shared" si="2201"/>
        <v>0</v>
      </c>
    </row>
    <row r="2492" spans="1:17" x14ac:dyDescent="0.2">
      <c r="A2492" s="10"/>
      <c r="B2492" s="26"/>
      <c r="C2492" s="11">
        <v>1985</v>
      </c>
      <c r="D2492" s="32">
        <f>SPFI_CLB14!$D$8</f>
        <v>0.90386500000000003</v>
      </c>
      <c r="E2492" s="32"/>
      <c r="F2492" s="32"/>
      <c r="G2492" s="32"/>
      <c r="H2492" s="32"/>
      <c r="I2492" s="32"/>
      <c r="J2492" s="28">
        <f t="shared" si="2200"/>
        <v>0</v>
      </c>
      <c r="K2492" s="29"/>
      <c r="L2492" s="29"/>
      <c r="M2492" s="29"/>
      <c r="N2492" s="29"/>
      <c r="O2492" s="29"/>
      <c r="P2492" s="30">
        <f t="shared" si="2202"/>
        <v>0</v>
      </c>
      <c r="Q2492" s="31">
        <f t="shared" si="2201"/>
        <v>0</v>
      </c>
    </row>
    <row r="2493" spans="1:17" x14ac:dyDescent="0.2">
      <c r="A2493" s="10"/>
      <c r="B2493" s="26"/>
      <c r="C2493" s="11">
        <v>1986</v>
      </c>
      <c r="D2493" s="32">
        <f>SPFI_CLB14!$D$9</f>
        <v>0.73087500000000005</v>
      </c>
      <c r="E2493" s="32"/>
      <c r="F2493" s="32"/>
      <c r="G2493" s="32"/>
      <c r="H2493" s="32"/>
      <c r="I2493" s="32"/>
      <c r="J2493" s="28">
        <f t="shared" si="2200"/>
        <v>0</v>
      </c>
      <c r="K2493" s="29"/>
      <c r="L2493" s="29"/>
      <c r="M2493" s="29"/>
      <c r="N2493" s="29"/>
      <c r="O2493" s="29"/>
      <c r="P2493" s="30">
        <f t="shared" si="2202"/>
        <v>0</v>
      </c>
      <c r="Q2493" s="31">
        <f t="shared" si="2201"/>
        <v>0</v>
      </c>
    </row>
    <row r="2494" spans="1:17" x14ac:dyDescent="0.2">
      <c r="A2494" s="10"/>
      <c r="B2494" s="26"/>
      <c r="C2494" s="11">
        <v>1987</v>
      </c>
      <c r="D2494" s="32">
        <f>SPFI_CLB14!$D$10</f>
        <v>0.71733499999999994</v>
      </c>
      <c r="E2494" s="32"/>
      <c r="F2494" s="32"/>
      <c r="G2494" s="32"/>
      <c r="H2494" s="32"/>
      <c r="I2494" s="32"/>
      <c r="J2494" s="28">
        <f t="shared" si="2200"/>
        <v>0</v>
      </c>
      <c r="K2494" s="29"/>
      <c r="L2494" s="29"/>
      <c r="M2494" s="29"/>
      <c r="N2494" s="29"/>
      <c r="O2494" s="29"/>
      <c r="P2494" s="30">
        <f t="shared" si="2202"/>
        <v>0</v>
      </c>
      <c r="Q2494" s="31">
        <f t="shared" si="2201"/>
        <v>0</v>
      </c>
    </row>
    <row r="2495" spans="1:17" x14ac:dyDescent="0.2">
      <c r="A2495" s="10"/>
      <c r="B2495" s="26"/>
      <c r="C2495" s="11">
        <v>1988</v>
      </c>
      <c r="D2495" s="32">
        <f>SPFI_CLB14!$D$11</f>
        <v>0.64558800000000005</v>
      </c>
      <c r="E2495" s="32"/>
      <c r="F2495" s="32"/>
      <c r="G2495" s="32"/>
      <c r="H2495" s="32"/>
      <c r="I2495" s="32"/>
      <c r="J2495" s="28">
        <f t="shared" si="2200"/>
        <v>0</v>
      </c>
      <c r="K2495" s="29"/>
      <c r="L2495" s="29"/>
      <c r="M2495" s="29"/>
      <c r="N2495" s="29"/>
      <c r="O2495" s="29"/>
      <c r="P2495" s="30">
        <f t="shared" si="2202"/>
        <v>0</v>
      </c>
      <c r="Q2495" s="31">
        <f t="shared" si="2201"/>
        <v>0</v>
      </c>
    </row>
    <row r="2496" spans="1:17" x14ac:dyDescent="0.2">
      <c r="A2496" s="10"/>
      <c r="B2496" s="26"/>
      <c r="C2496" s="11">
        <v>1989</v>
      </c>
      <c r="D2496" s="32">
        <f>SPFI_CLB14!$D$12</f>
        <v>0.65287700000000004</v>
      </c>
      <c r="E2496" s="32"/>
      <c r="F2496" s="32"/>
      <c r="G2496" s="32"/>
      <c r="H2496" s="32"/>
      <c r="I2496" s="32"/>
      <c r="J2496" s="28">
        <f t="shared" si="2200"/>
        <v>0</v>
      </c>
      <c r="K2496" s="29"/>
      <c r="L2496" s="29"/>
      <c r="M2496" s="29"/>
      <c r="N2496" s="29"/>
      <c r="O2496" s="29"/>
      <c r="P2496" s="30">
        <f t="shared" si="2202"/>
        <v>0</v>
      </c>
      <c r="Q2496" s="31">
        <f t="shared" si="2201"/>
        <v>0</v>
      </c>
    </row>
    <row r="2497" spans="1:17" x14ac:dyDescent="0.2">
      <c r="A2497" s="10"/>
      <c r="B2497" s="26"/>
      <c r="C2497" s="11">
        <v>1990</v>
      </c>
      <c r="D2497" s="32">
        <f>SPFI_CLB14!$D$13</f>
        <v>0.56965100000000002</v>
      </c>
      <c r="E2497" s="32"/>
      <c r="F2497" s="32"/>
      <c r="G2497" s="32"/>
      <c r="H2497" s="32"/>
      <c r="I2497" s="32"/>
      <c r="J2497" s="28">
        <f t="shared" si="2200"/>
        <v>0</v>
      </c>
      <c r="K2497" s="29"/>
      <c r="L2497" s="29"/>
      <c r="M2497" s="29"/>
      <c r="N2497" s="29"/>
      <c r="O2497" s="29"/>
      <c r="P2497" s="30">
        <f t="shared" si="2202"/>
        <v>0</v>
      </c>
      <c r="Q2497" s="31">
        <f t="shared" si="2201"/>
        <v>0</v>
      </c>
    </row>
    <row r="2498" spans="1:17" x14ac:dyDescent="0.2">
      <c r="A2498" s="10"/>
      <c r="B2498" s="26"/>
      <c r="C2498" s="11">
        <v>1991</v>
      </c>
      <c r="D2498" s="32">
        <f>SPFI_CLB14!$D$14</f>
        <v>0.62776900000000002</v>
      </c>
      <c r="E2498" s="32"/>
      <c r="F2498" s="32"/>
      <c r="G2498" s="32"/>
      <c r="H2498" s="32"/>
      <c r="I2498" s="32"/>
      <c r="J2498" s="28">
        <f t="shared" si="2200"/>
        <v>0</v>
      </c>
      <c r="K2498" s="29"/>
      <c r="L2498" s="29"/>
      <c r="M2498" s="29"/>
      <c r="N2498" s="29"/>
      <c r="O2498" s="29"/>
      <c r="P2498" s="30">
        <f t="shared" si="2202"/>
        <v>0</v>
      </c>
      <c r="Q2498" s="31">
        <f t="shared" si="2201"/>
        <v>0</v>
      </c>
    </row>
    <row r="2499" spans="1:17" x14ac:dyDescent="0.2">
      <c r="A2499" s="10"/>
      <c r="B2499" s="26"/>
      <c r="C2499" s="11">
        <v>1992</v>
      </c>
      <c r="D2499" s="32">
        <f>SPFI_CLB14!$D$15</f>
        <v>0.43504100000000001</v>
      </c>
      <c r="E2499" s="32"/>
      <c r="F2499" s="32"/>
      <c r="G2499" s="32"/>
      <c r="H2499" s="32"/>
      <c r="I2499" s="32"/>
      <c r="J2499" s="28">
        <f t="shared" si="2200"/>
        <v>0</v>
      </c>
      <c r="K2499" s="29"/>
      <c r="L2499" s="29"/>
      <c r="M2499" s="29"/>
      <c r="N2499" s="29"/>
      <c r="O2499" s="29"/>
      <c r="P2499" s="30">
        <f t="shared" si="2202"/>
        <v>0</v>
      </c>
      <c r="Q2499" s="31">
        <f t="shared" si="2201"/>
        <v>0</v>
      </c>
    </row>
    <row r="2500" spans="1:17" x14ac:dyDescent="0.2">
      <c r="A2500" s="10"/>
      <c r="B2500" s="26"/>
      <c r="C2500" s="11">
        <v>1993</v>
      </c>
      <c r="D2500" s="32">
        <f>SPFI_CLB14!$D$16</f>
        <v>0.499164</v>
      </c>
      <c r="E2500" s="32"/>
      <c r="F2500" s="32"/>
      <c r="G2500" s="32"/>
      <c r="H2500" s="32"/>
      <c r="I2500" s="32"/>
      <c r="J2500" s="28">
        <f t="shared" si="2200"/>
        <v>0</v>
      </c>
      <c r="K2500" s="29"/>
      <c r="L2500" s="29"/>
      <c r="M2500" s="29"/>
      <c r="N2500" s="29"/>
      <c r="O2500" s="29"/>
      <c r="P2500" s="30">
        <f t="shared" si="2202"/>
        <v>0</v>
      </c>
      <c r="Q2500" s="31">
        <f t="shared" si="2201"/>
        <v>0</v>
      </c>
    </row>
    <row r="2501" spans="1:17" x14ac:dyDescent="0.2">
      <c r="A2501" s="10"/>
      <c r="B2501" s="26"/>
      <c r="C2501" s="11">
        <v>1994</v>
      </c>
      <c r="D2501" s="32">
        <f>SPFI_CLB14!$D$17</f>
        <v>0.59591300000000003</v>
      </c>
      <c r="E2501" s="32"/>
      <c r="F2501" s="32"/>
      <c r="G2501" s="32"/>
      <c r="H2501" s="32"/>
      <c r="I2501" s="32"/>
      <c r="J2501" s="28">
        <f t="shared" si="2200"/>
        <v>0</v>
      </c>
      <c r="K2501" s="29"/>
      <c r="L2501" s="29"/>
      <c r="M2501" s="29"/>
      <c r="N2501" s="29"/>
      <c r="O2501" s="29"/>
      <c r="P2501" s="30">
        <f t="shared" si="2202"/>
        <v>0</v>
      </c>
      <c r="Q2501" s="31">
        <f t="shared" si="2201"/>
        <v>0</v>
      </c>
    </row>
    <row r="2502" spans="1:17" x14ac:dyDescent="0.2">
      <c r="A2502" s="10"/>
      <c r="B2502" s="26"/>
      <c r="C2502" s="11">
        <v>1995</v>
      </c>
      <c r="D2502" s="32">
        <f>SPFI_CLB14!$D$18</f>
        <v>0.25400800000000001</v>
      </c>
      <c r="E2502" s="32"/>
      <c r="F2502" s="32"/>
      <c r="G2502" s="32"/>
      <c r="H2502" s="32"/>
      <c r="I2502" s="32"/>
      <c r="J2502" s="28">
        <f t="shared" ref="J2502" si="2203">D2502*J$80</f>
        <v>0</v>
      </c>
      <c r="K2502" s="29"/>
      <c r="L2502" s="29"/>
      <c r="M2502" s="29"/>
      <c r="N2502" s="29"/>
      <c r="O2502" s="29"/>
      <c r="P2502" s="30">
        <f>SUM(J2502:O2502)</f>
        <v>0</v>
      </c>
      <c r="Q2502" s="31">
        <f t="shared" si="2201"/>
        <v>0</v>
      </c>
    </row>
    <row r="2503" spans="1:17" x14ac:dyDescent="0.2">
      <c r="A2503" s="10"/>
      <c r="B2503" s="26"/>
      <c r="C2503" s="11">
        <v>1996</v>
      </c>
      <c r="D2503" s="32">
        <f>SPFI_CLB14!$D$19</f>
        <v>0</v>
      </c>
      <c r="E2503" s="32"/>
      <c r="F2503" s="32"/>
      <c r="G2503" s="32"/>
      <c r="H2503" s="32"/>
      <c r="I2503" s="32"/>
      <c r="J2503" s="28">
        <f t="shared" ref="J2503" si="2204">D2503*J$80</f>
        <v>0</v>
      </c>
      <c r="K2503" s="29"/>
      <c r="L2503" s="29"/>
      <c r="M2503" s="29"/>
      <c r="N2503" s="29"/>
      <c r="O2503" s="29"/>
      <c r="P2503" s="30">
        <f>SUM(J2503:O2503)</f>
        <v>0</v>
      </c>
      <c r="Q2503" s="31">
        <f t="shared" si="2201"/>
        <v>0</v>
      </c>
    </row>
    <row r="2504" spans="1:17" x14ac:dyDescent="0.2">
      <c r="A2504" s="10"/>
      <c r="B2504" s="26"/>
      <c r="C2504" s="11">
        <v>1997</v>
      </c>
      <c r="D2504" s="32">
        <f>SPFI_CLB14!$D$20</f>
        <v>0.201487</v>
      </c>
      <c r="E2504" s="32"/>
      <c r="F2504" s="32"/>
      <c r="G2504" s="32"/>
      <c r="H2504" s="32"/>
      <c r="I2504" s="32"/>
      <c r="J2504" s="28">
        <f t="shared" ref="J2504" si="2205">D2504*J$80</f>
        <v>0</v>
      </c>
      <c r="K2504" s="29"/>
      <c r="L2504" s="29"/>
      <c r="M2504" s="29"/>
      <c r="N2504" s="29"/>
      <c r="O2504" s="29"/>
      <c r="P2504" s="30">
        <f>SUM(J2504:O2504)</f>
        <v>0</v>
      </c>
      <c r="Q2504" s="31">
        <f t="shared" si="2201"/>
        <v>0</v>
      </c>
    </row>
    <row r="2505" spans="1:17" x14ac:dyDescent="0.2">
      <c r="A2505" s="10"/>
      <c r="B2505" s="26"/>
      <c r="C2505" s="11">
        <v>1998</v>
      </c>
      <c r="D2505" s="32">
        <f>SPFI_CLB14!$D$21</f>
        <v>0.37506400000000001</v>
      </c>
      <c r="E2505" s="32"/>
      <c r="F2505" s="32"/>
      <c r="G2505" s="32"/>
      <c r="H2505" s="32"/>
      <c r="I2505" s="32"/>
      <c r="J2505" s="28">
        <f t="shared" ref="J2505" si="2206">D2505*J$80</f>
        <v>0</v>
      </c>
      <c r="K2505" s="29"/>
      <c r="L2505" s="29"/>
      <c r="M2505" s="29"/>
      <c r="N2505" s="29"/>
      <c r="O2505" s="29"/>
      <c r="P2505" s="30">
        <f>SUM(J2505:O2505)</f>
        <v>0</v>
      </c>
      <c r="Q2505" s="31">
        <f t="shared" si="2201"/>
        <v>0</v>
      </c>
    </row>
    <row r="2506" spans="1:17" x14ac:dyDescent="0.2">
      <c r="A2506" s="10"/>
      <c r="B2506" s="26"/>
      <c r="C2506" s="11">
        <v>1999</v>
      </c>
      <c r="D2506" s="32">
        <f>SPFI_CLB14!$D$22</f>
        <v>0.29823699999999997</v>
      </c>
      <c r="E2506" s="32"/>
      <c r="F2506" s="32"/>
      <c r="G2506" s="32"/>
      <c r="H2506" s="32"/>
      <c r="I2506" s="32"/>
      <c r="J2506" s="28">
        <f t="shared" ref="J2506" si="2207">D2506*J$80</f>
        <v>0</v>
      </c>
      <c r="K2506" s="29"/>
      <c r="L2506" s="29"/>
      <c r="M2506" s="29"/>
      <c r="N2506" s="29"/>
      <c r="O2506" s="29"/>
      <c r="P2506" s="30">
        <f>SUM(J2506:O2506)</f>
        <v>0</v>
      </c>
      <c r="Q2506" s="31">
        <f t="shared" ref="Q2506:Q2511" si="2208">IF(C$80&gt;0,P2506/C$80,0)</f>
        <v>0</v>
      </c>
    </row>
    <row r="2507" spans="1:17" x14ac:dyDescent="0.2">
      <c r="A2507" s="10"/>
      <c r="B2507" s="26"/>
      <c r="C2507" s="11">
        <v>2000</v>
      </c>
      <c r="D2507" s="32">
        <f>SPFI_CLB14!$D$23</f>
        <v>8.4414000000000003E-2</v>
      </c>
      <c r="E2507" s="32"/>
      <c r="F2507" s="32"/>
      <c r="G2507" s="32"/>
      <c r="H2507" s="32"/>
      <c r="I2507" s="32"/>
      <c r="J2507" s="28">
        <f t="shared" ref="J2507" si="2209">D2507*J$80</f>
        <v>0</v>
      </c>
      <c r="K2507" s="29"/>
      <c r="L2507" s="29"/>
      <c r="M2507" s="29"/>
      <c r="N2507" s="29"/>
      <c r="O2507" s="29"/>
      <c r="P2507" s="30">
        <f t="shared" ref="P2507:P2512" si="2210">SUM(J2507:O2507)</f>
        <v>0</v>
      </c>
      <c r="Q2507" s="31">
        <f t="shared" si="2208"/>
        <v>0</v>
      </c>
    </row>
    <row r="2508" spans="1:17" x14ac:dyDescent="0.2">
      <c r="A2508" s="10"/>
      <c r="B2508" s="26"/>
      <c r="C2508" s="11">
        <v>2001</v>
      </c>
      <c r="D2508" s="32">
        <f>SPFI_CLB14!$D$24</f>
        <v>7.8909000000000007E-2</v>
      </c>
      <c r="E2508" s="32"/>
      <c r="F2508" s="32"/>
      <c r="G2508" s="32"/>
      <c r="H2508" s="32"/>
      <c r="I2508" s="32"/>
      <c r="J2508" s="28">
        <f t="shared" ref="J2508" si="2211">D2508*J$80</f>
        <v>0</v>
      </c>
      <c r="K2508" s="29"/>
      <c r="L2508" s="29"/>
      <c r="M2508" s="29"/>
      <c r="N2508" s="29"/>
      <c r="O2508" s="29"/>
      <c r="P2508" s="30">
        <f t="shared" si="2210"/>
        <v>0</v>
      </c>
      <c r="Q2508" s="31">
        <f t="shared" si="2208"/>
        <v>0</v>
      </c>
    </row>
    <row r="2509" spans="1:17" x14ac:dyDescent="0.2">
      <c r="A2509" s="10"/>
      <c r="B2509" s="26"/>
      <c r="C2509" s="11">
        <v>2002</v>
      </c>
      <c r="D2509" s="32">
        <f>SPFI_CLB14!$D$25</f>
        <v>0.29974699999999999</v>
      </c>
      <c r="E2509" s="32"/>
      <c r="F2509" s="32"/>
      <c r="G2509" s="32"/>
      <c r="H2509" s="32"/>
      <c r="I2509" s="32"/>
      <c r="J2509" s="28">
        <f t="shared" ref="J2509" si="2212">D2509*J$80</f>
        <v>0</v>
      </c>
      <c r="K2509" s="29"/>
      <c r="L2509" s="29"/>
      <c r="M2509" s="29"/>
      <c r="N2509" s="29"/>
      <c r="O2509" s="29"/>
      <c r="P2509" s="30">
        <f t="shared" si="2210"/>
        <v>0</v>
      </c>
      <c r="Q2509" s="31">
        <f t="shared" si="2208"/>
        <v>0</v>
      </c>
    </row>
    <row r="2510" spans="1:17" x14ac:dyDescent="0.2">
      <c r="A2510" s="10"/>
      <c r="B2510" s="26"/>
      <c r="C2510" s="11">
        <v>2003</v>
      </c>
      <c r="D2510" s="32">
        <f>SPFI_CLB14!$D$26</f>
        <v>0.20691100000000001</v>
      </c>
      <c r="E2510" s="32"/>
      <c r="F2510" s="32"/>
      <c r="G2510" s="32"/>
      <c r="H2510" s="32"/>
      <c r="I2510" s="32"/>
      <c r="J2510" s="28">
        <f t="shared" ref="J2510" si="2213">D2510*J$80</f>
        <v>0</v>
      </c>
      <c r="K2510" s="29"/>
      <c r="L2510" s="29"/>
      <c r="M2510" s="29"/>
      <c r="N2510" s="29"/>
      <c r="O2510" s="29"/>
      <c r="P2510" s="30">
        <f t="shared" si="2210"/>
        <v>0</v>
      </c>
      <c r="Q2510" s="31">
        <f t="shared" si="2208"/>
        <v>0</v>
      </c>
    </row>
    <row r="2511" spans="1:17" x14ac:dyDescent="0.2">
      <c r="A2511" s="10"/>
      <c r="B2511" s="26"/>
      <c r="C2511" s="11">
        <v>2004</v>
      </c>
      <c r="D2511" s="32">
        <f>SPFI_CLB14!$D$27</f>
        <v>0.269237</v>
      </c>
      <c r="E2511" s="32"/>
      <c r="F2511" s="32"/>
      <c r="G2511" s="32"/>
      <c r="H2511" s="32"/>
      <c r="I2511" s="32"/>
      <c r="J2511" s="28">
        <f t="shared" ref="J2511" si="2214">D2511*J$80</f>
        <v>0</v>
      </c>
      <c r="K2511" s="29"/>
      <c r="L2511" s="29"/>
      <c r="M2511" s="29"/>
      <c r="N2511" s="29"/>
      <c r="O2511" s="29"/>
      <c r="P2511" s="30">
        <f t="shared" si="2210"/>
        <v>0</v>
      </c>
      <c r="Q2511" s="31">
        <f t="shared" si="2208"/>
        <v>0</v>
      </c>
    </row>
    <row r="2512" spans="1:17" x14ac:dyDescent="0.2">
      <c r="A2512" s="10"/>
      <c r="B2512" s="26"/>
      <c r="C2512" s="11">
        <v>2005</v>
      </c>
      <c r="D2512" s="32">
        <f>SPFI_CLB14!$D$28</f>
        <v>0.37848700000000002</v>
      </c>
      <c r="E2512" s="32"/>
      <c r="F2512" s="32"/>
      <c r="G2512" s="32"/>
      <c r="H2512" s="32"/>
      <c r="I2512" s="32"/>
      <c r="J2512" s="28">
        <f t="shared" ref="J2512" si="2215">D2512*J$80</f>
        <v>0</v>
      </c>
      <c r="K2512" s="29"/>
      <c r="L2512" s="29"/>
      <c r="M2512" s="29"/>
      <c r="N2512" s="29"/>
      <c r="O2512" s="29"/>
      <c r="P2512" s="30">
        <f t="shared" si="2210"/>
        <v>0</v>
      </c>
      <c r="Q2512" s="31">
        <f t="shared" ref="Q2512:Q2517" si="2216">IF(C$80&gt;0,P2512/C$80,0)</f>
        <v>0</v>
      </c>
    </row>
    <row r="2513" spans="1:17" x14ac:dyDescent="0.2">
      <c r="A2513" s="10"/>
      <c r="B2513" s="26"/>
      <c r="C2513" s="11">
        <v>2006</v>
      </c>
      <c r="D2513" s="32">
        <f>SPFI_CLB14!$D$29</f>
        <v>0.381023</v>
      </c>
      <c r="E2513" s="32"/>
      <c r="F2513" s="32"/>
      <c r="G2513" s="32"/>
      <c r="H2513" s="32"/>
      <c r="I2513" s="32"/>
      <c r="J2513" s="28">
        <f t="shared" ref="J2513" si="2217">D2513*J$80</f>
        <v>0</v>
      </c>
      <c r="K2513" s="29"/>
      <c r="L2513" s="29"/>
      <c r="M2513" s="29"/>
      <c r="N2513" s="29"/>
      <c r="O2513" s="29"/>
      <c r="P2513" s="30">
        <f t="shared" ref="P2513:P2520" si="2218">SUM(J2513:O2513)</f>
        <v>0</v>
      </c>
      <c r="Q2513" s="31">
        <f t="shared" si="2216"/>
        <v>0</v>
      </c>
    </row>
    <row r="2514" spans="1:17" x14ac:dyDescent="0.2">
      <c r="A2514" s="10"/>
      <c r="B2514" s="26"/>
      <c r="C2514" s="11">
        <v>2007</v>
      </c>
      <c r="D2514" s="32">
        <f>SPFI_CLB14!$D$30</f>
        <v>0.356512</v>
      </c>
      <c r="E2514" s="32"/>
      <c r="F2514" s="32"/>
      <c r="G2514" s="32"/>
      <c r="H2514" s="32"/>
      <c r="I2514" s="32"/>
      <c r="J2514" s="28">
        <f t="shared" ref="J2514" si="2219">D2514*J$80</f>
        <v>0</v>
      </c>
      <c r="K2514" s="29"/>
      <c r="L2514" s="29"/>
      <c r="M2514" s="29"/>
      <c r="N2514" s="29"/>
      <c r="O2514" s="29"/>
      <c r="P2514" s="30">
        <f t="shared" si="2218"/>
        <v>0</v>
      </c>
      <c r="Q2514" s="31">
        <f t="shared" si="2216"/>
        <v>0</v>
      </c>
    </row>
    <row r="2515" spans="1:17" x14ac:dyDescent="0.2">
      <c r="A2515" s="10"/>
      <c r="B2515" s="26"/>
      <c r="C2515" s="11">
        <v>2008</v>
      </c>
      <c r="D2515" s="32">
        <f>SPFI_CLB14!$D$31</f>
        <v>0.25494499999999998</v>
      </c>
      <c r="E2515" s="32"/>
      <c r="F2515" s="32"/>
      <c r="G2515" s="32"/>
      <c r="H2515" s="32"/>
      <c r="I2515" s="32"/>
      <c r="J2515" s="28">
        <f t="shared" ref="J2515" si="2220">D2515*J$80</f>
        <v>0</v>
      </c>
      <c r="K2515" s="29"/>
      <c r="L2515" s="29"/>
      <c r="M2515" s="29"/>
      <c r="N2515" s="29"/>
      <c r="O2515" s="29"/>
      <c r="P2515" s="30">
        <f t="shared" si="2218"/>
        <v>0</v>
      </c>
      <c r="Q2515" s="31">
        <f t="shared" si="2216"/>
        <v>0</v>
      </c>
    </row>
    <row r="2516" spans="1:17" x14ac:dyDescent="0.2">
      <c r="A2516" s="10"/>
      <c r="B2516" s="26"/>
      <c r="C2516" s="11">
        <v>2009</v>
      </c>
      <c r="D2516" s="32">
        <f>SPFI_CLB14!$D$32</f>
        <v>0.52383000000000002</v>
      </c>
      <c r="E2516" s="32"/>
      <c r="F2516" s="32"/>
      <c r="G2516" s="32"/>
      <c r="H2516" s="32"/>
      <c r="I2516" s="32"/>
      <c r="J2516" s="28">
        <f t="shared" ref="J2516" si="2221">D2516*J$80</f>
        <v>0</v>
      </c>
      <c r="K2516" s="29"/>
      <c r="L2516" s="29"/>
      <c r="M2516" s="29"/>
      <c r="N2516" s="29"/>
      <c r="O2516" s="29"/>
      <c r="P2516" s="30">
        <f t="shared" si="2218"/>
        <v>0</v>
      </c>
      <c r="Q2516" s="31">
        <f t="shared" si="2216"/>
        <v>0</v>
      </c>
    </row>
    <row r="2517" spans="1:17" x14ac:dyDescent="0.2">
      <c r="A2517" s="10"/>
      <c r="B2517" s="26"/>
      <c r="C2517" s="11">
        <v>2010</v>
      </c>
      <c r="D2517" s="32">
        <f>SPFI_CLB14!$D$33</f>
        <v>0.31394</v>
      </c>
      <c r="E2517" s="32"/>
      <c r="F2517" s="32"/>
      <c r="G2517" s="32"/>
      <c r="H2517" s="32"/>
      <c r="I2517" s="32"/>
      <c r="J2517" s="28">
        <f t="shared" ref="J2517" si="2222">D2517*J$80</f>
        <v>0</v>
      </c>
      <c r="K2517" s="29"/>
      <c r="L2517" s="29"/>
      <c r="M2517" s="29"/>
      <c r="N2517" s="29"/>
      <c r="O2517" s="29"/>
      <c r="P2517" s="30">
        <f t="shared" si="2218"/>
        <v>0</v>
      </c>
      <c r="Q2517" s="31">
        <f t="shared" si="2216"/>
        <v>0</v>
      </c>
    </row>
    <row r="2518" spans="1:17" x14ac:dyDescent="0.2">
      <c r="A2518" s="10"/>
      <c r="B2518" s="26"/>
      <c r="C2518" s="11">
        <v>2011</v>
      </c>
      <c r="D2518" s="32">
        <f>SPFI_CLB14!$D$34</f>
        <v>0.294348</v>
      </c>
      <c r="E2518" s="32"/>
      <c r="F2518" s="32"/>
      <c r="G2518" s="32"/>
      <c r="H2518" s="32"/>
      <c r="I2518" s="32"/>
      <c r="J2518" s="28">
        <f t="shared" ref="J2518" si="2223">D2518*J$80</f>
        <v>0</v>
      </c>
      <c r="K2518" s="29"/>
      <c r="L2518" s="29"/>
      <c r="M2518" s="29"/>
      <c r="N2518" s="29"/>
      <c r="O2518" s="29"/>
      <c r="P2518" s="30">
        <f t="shared" ref="P2518" si="2224">SUM(J2518:O2518)</f>
        <v>0</v>
      </c>
      <c r="Q2518" s="31">
        <f t="shared" ref="Q2518" si="2225">IF(C$80&gt;0,P2518/C$80,0)</f>
        <v>0</v>
      </c>
    </row>
    <row r="2519" spans="1:17" x14ac:dyDescent="0.2">
      <c r="A2519" s="10"/>
      <c r="B2519" s="26"/>
      <c r="C2519" s="11">
        <v>2012</v>
      </c>
      <c r="D2519" s="32">
        <f>SPFI_CLB14!$D$35</f>
        <v>0.34784100000000001</v>
      </c>
      <c r="E2519" s="32"/>
      <c r="F2519" s="32"/>
      <c r="G2519" s="32"/>
      <c r="H2519" s="32"/>
      <c r="I2519" s="32"/>
      <c r="J2519" s="28">
        <f t="shared" ref="J2519" si="2226">D2519*J$80</f>
        <v>0</v>
      </c>
      <c r="K2519" s="29"/>
      <c r="L2519" s="29"/>
      <c r="M2519" s="29"/>
      <c r="N2519" s="29"/>
      <c r="O2519" s="29"/>
      <c r="P2519" s="30">
        <f t="shared" ref="P2519" si="2227">SUM(J2519:O2519)</f>
        <v>0</v>
      </c>
      <c r="Q2519" s="31">
        <f t="shared" ref="Q2519" si="2228">IF(C$80&gt;0,P2519/C$80,0)</f>
        <v>0</v>
      </c>
    </row>
    <row r="2520" spans="1:17" x14ac:dyDescent="0.2">
      <c r="A2520" s="5" t="s">
        <v>25</v>
      </c>
      <c r="B2520" s="21">
        <v>3</v>
      </c>
      <c r="C2520" s="6">
        <v>1982</v>
      </c>
      <c r="D2520" s="27">
        <f>SPFI_CLB14!$D$5</f>
        <v>0.98153299999999999</v>
      </c>
      <c r="E2520" s="27"/>
      <c r="F2520" s="27"/>
      <c r="G2520" s="27"/>
      <c r="H2520" s="27"/>
      <c r="I2520" s="27"/>
      <c r="J2520" s="33">
        <f t="shared" ref="J2520:J2532" si="2229">D2520*J$81</f>
        <v>0</v>
      </c>
      <c r="K2520" s="27"/>
      <c r="L2520" s="27"/>
      <c r="M2520" s="27"/>
      <c r="N2520" s="27"/>
      <c r="O2520" s="27"/>
      <c r="P2520" s="34">
        <f t="shared" si="2218"/>
        <v>0</v>
      </c>
      <c r="Q2520" s="35">
        <f t="shared" ref="Q2520:Q2536" si="2230">IF(C$81&gt;0,P2520/C$81,0)</f>
        <v>0</v>
      </c>
    </row>
    <row r="2521" spans="1:17" x14ac:dyDescent="0.2">
      <c r="A2521" s="10"/>
      <c r="B2521" s="26"/>
      <c r="C2521" s="11">
        <v>1983</v>
      </c>
      <c r="D2521" s="32">
        <f>SPFI_CLB14!$D$6</f>
        <v>0.93659899999999996</v>
      </c>
      <c r="E2521" s="32"/>
      <c r="F2521" s="32"/>
      <c r="G2521" s="32"/>
      <c r="H2521" s="32"/>
      <c r="I2521" s="32"/>
      <c r="J2521" s="28">
        <f t="shared" si="2229"/>
        <v>0</v>
      </c>
      <c r="K2521" s="29"/>
      <c r="L2521" s="29"/>
      <c r="M2521" s="29"/>
      <c r="N2521" s="29"/>
      <c r="O2521" s="29"/>
      <c r="P2521" s="30">
        <f t="shared" ref="P2521:P2532" si="2231">SUM(J2521:O2521)</f>
        <v>0</v>
      </c>
      <c r="Q2521" s="31">
        <f t="shared" si="2230"/>
        <v>0</v>
      </c>
    </row>
    <row r="2522" spans="1:17" x14ac:dyDescent="0.2">
      <c r="A2522" s="10"/>
      <c r="B2522" s="26"/>
      <c r="C2522" s="11">
        <v>1984</v>
      </c>
      <c r="D2522" s="32">
        <f>SPFI_CLB14!$D$7</f>
        <v>0.92793599999999998</v>
      </c>
      <c r="E2522" s="32"/>
      <c r="F2522" s="32"/>
      <c r="G2522" s="32"/>
      <c r="H2522" s="32"/>
      <c r="I2522" s="32"/>
      <c r="J2522" s="28">
        <f t="shared" si="2229"/>
        <v>0</v>
      </c>
      <c r="K2522" s="29"/>
      <c r="L2522" s="29"/>
      <c r="M2522" s="29"/>
      <c r="N2522" s="29"/>
      <c r="O2522" s="29"/>
      <c r="P2522" s="30">
        <f t="shared" si="2231"/>
        <v>0</v>
      </c>
      <c r="Q2522" s="31">
        <f t="shared" si="2230"/>
        <v>0</v>
      </c>
    </row>
    <row r="2523" spans="1:17" x14ac:dyDescent="0.2">
      <c r="A2523" s="10"/>
      <c r="B2523" s="26"/>
      <c r="C2523" s="11">
        <v>1985</v>
      </c>
      <c r="D2523" s="32">
        <f>SPFI_CLB14!$D$8</f>
        <v>0.90386500000000003</v>
      </c>
      <c r="E2523" s="32"/>
      <c r="F2523" s="32"/>
      <c r="G2523" s="32"/>
      <c r="H2523" s="32"/>
      <c r="I2523" s="32"/>
      <c r="J2523" s="28">
        <f t="shared" si="2229"/>
        <v>0</v>
      </c>
      <c r="K2523" s="29"/>
      <c r="L2523" s="29"/>
      <c r="M2523" s="29"/>
      <c r="N2523" s="29"/>
      <c r="O2523" s="29"/>
      <c r="P2523" s="30">
        <f t="shared" si="2231"/>
        <v>0</v>
      </c>
      <c r="Q2523" s="31">
        <f t="shared" si="2230"/>
        <v>0</v>
      </c>
    </row>
    <row r="2524" spans="1:17" x14ac:dyDescent="0.2">
      <c r="A2524" s="10"/>
      <c r="B2524" s="26"/>
      <c r="C2524" s="11">
        <v>1986</v>
      </c>
      <c r="D2524" s="32">
        <f>SPFI_CLB14!$D$9</f>
        <v>0.73087500000000005</v>
      </c>
      <c r="E2524" s="32"/>
      <c r="F2524" s="32"/>
      <c r="G2524" s="32"/>
      <c r="H2524" s="32"/>
      <c r="I2524" s="32"/>
      <c r="J2524" s="28">
        <f t="shared" si="2229"/>
        <v>0</v>
      </c>
      <c r="K2524" s="29"/>
      <c r="L2524" s="29"/>
      <c r="M2524" s="29"/>
      <c r="N2524" s="29"/>
      <c r="O2524" s="29"/>
      <c r="P2524" s="30">
        <f t="shared" si="2231"/>
        <v>0</v>
      </c>
      <c r="Q2524" s="31">
        <f t="shared" si="2230"/>
        <v>0</v>
      </c>
    </row>
    <row r="2525" spans="1:17" x14ac:dyDescent="0.2">
      <c r="A2525" s="10"/>
      <c r="B2525" s="26"/>
      <c r="C2525" s="11">
        <v>1987</v>
      </c>
      <c r="D2525" s="32">
        <f>SPFI_CLB14!$D$10</f>
        <v>0.71733499999999994</v>
      </c>
      <c r="E2525" s="32"/>
      <c r="F2525" s="32"/>
      <c r="G2525" s="32"/>
      <c r="H2525" s="32"/>
      <c r="I2525" s="32"/>
      <c r="J2525" s="28">
        <f t="shared" si="2229"/>
        <v>0</v>
      </c>
      <c r="K2525" s="29"/>
      <c r="L2525" s="29"/>
      <c r="M2525" s="29"/>
      <c r="N2525" s="29"/>
      <c r="O2525" s="29"/>
      <c r="P2525" s="30">
        <f t="shared" si="2231"/>
        <v>0</v>
      </c>
      <c r="Q2525" s="31">
        <f t="shared" si="2230"/>
        <v>0</v>
      </c>
    </row>
    <row r="2526" spans="1:17" x14ac:dyDescent="0.2">
      <c r="A2526" s="10"/>
      <c r="B2526" s="26"/>
      <c r="C2526" s="11">
        <v>1988</v>
      </c>
      <c r="D2526" s="32">
        <f>SPFI_CLB14!$D$11</f>
        <v>0.64558800000000005</v>
      </c>
      <c r="E2526" s="32"/>
      <c r="F2526" s="32"/>
      <c r="G2526" s="32"/>
      <c r="H2526" s="32"/>
      <c r="I2526" s="32"/>
      <c r="J2526" s="28">
        <f t="shared" si="2229"/>
        <v>0</v>
      </c>
      <c r="K2526" s="29"/>
      <c r="L2526" s="29"/>
      <c r="M2526" s="29"/>
      <c r="N2526" s="29"/>
      <c r="O2526" s="29"/>
      <c r="P2526" s="30">
        <f t="shared" si="2231"/>
        <v>0</v>
      </c>
      <c r="Q2526" s="31">
        <f t="shared" si="2230"/>
        <v>0</v>
      </c>
    </row>
    <row r="2527" spans="1:17" x14ac:dyDescent="0.2">
      <c r="A2527" s="10"/>
      <c r="B2527" s="26"/>
      <c r="C2527" s="11">
        <v>1989</v>
      </c>
      <c r="D2527" s="32">
        <f>SPFI_CLB14!$D$12</f>
        <v>0.65287700000000004</v>
      </c>
      <c r="E2527" s="32"/>
      <c r="F2527" s="32"/>
      <c r="G2527" s="32"/>
      <c r="H2527" s="32"/>
      <c r="I2527" s="32"/>
      <c r="J2527" s="28">
        <f t="shared" si="2229"/>
        <v>0</v>
      </c>
      <c r="K2527" s="29"/>
      <c r="L2527" s="29"/>
      <c r="M2527" s="29"/>
      <c r="N2527" s="29"/>
      <c r="O2527" s="29"/>
      <c r="P2527" s="30">
        <f t="shared" si="2231"/>
        <v>0</v>
      </c>
      <c r="Q2527" s="31">
        <f t="shared" si="2230"/>
        <v>0</v>
      </c>
    </row>
    <row r="2528" spans="1:17" x14ac:dyDescent="0.2">
      <c r="A2528" s="10"/>
      <c r="B2528" s="26"/>
      <c r="C2528" s="11">
        <v>1990</v>
      </c>
      <c r="D2528" s="32">
        <f>SPFI_CLB14!$D$13</f>
        <v>0.56965100000000002</v>
      </c>
      <c r="E2528" s="32"/>
      <c r="F2528" s="32"/>
      <c r="G2528" s="32"/>
      <c r="H2528" s="32"/>
      <c r="I2528" s="32"/>
      <c r="J2528" s="28">
        <f t="shared" si="2229"/>
        <v>0</v>
      </c>
      <c r="K2528" s="29"/>
      <c r="L2528" s="29"/>
      <c r="M2528" s="29"/>
      <c r="N2528" s="29"/>
      <c r="O2528" s="29"/>
      <c r="P2528" s="30">
        <f t="shared" si="2231"/>
        <v>0</v>
      </c>
      <c r="Q2528" s="31">
        <f t="shared" si="2230"/>
        <v>0</v>
      </c>
    </row>
    <row r="2529" spans="1:17" x14ac:dyDescent="0.2">
      <c r="A2529" s="10"/>
      <c r="B2529" s="26"/>
      <c r="C2529" s="11">
        <v>1991</v>
      </c>
      <c r="D2529" s="32">
        <f>SPFI_CLB14!$D$14</f>
        <v>0.62776900000000002</v>
      </c>
      <c r="E2529" s="32"/>
      <c r="F2529" s="32"/>
      <c r="G2529" s="32"/>
      <c r="H2529" s="32"/>
      <c r="I2529" s="32"/>
      <c r="J2529" s="28">
        <f t="shared" si="2229"/>
        <v>0</v>
      </c>
      <c r="K2529" s="29"/>
      <c r="L2529" s="29"/>
      <c r="M2529" s="29"/>
      <c r="N2529" s="29"/>
      <c r="O2529" s="29"/>
      <c r="P2529" s="30">
        <f t="shared" si="2231"/>
        <v>0</v>
      </c>
      <c r="Q2529" s="31">
        <f t="shared" si="2230"/>
        <v>0</v>
      </c>
    </row>
    <row r="2530" spans="1:17" x14ac:dyDescent="0.2">
      <c r="A2530" s="10"/>
      <c r="B2530" s="26"/>
      <c r="C2530" s="11">
        <v>1992</v>
      </c>
      <c r="D2530" s="32">
        <f>SPFI_CLB14!$D$15</f>
        <v>0.43504100000000001</v>
      </c>
      <c r="E2530" s="32"/>
      <c r="F2530" s="32"/>
      <c r="G2530" s="32"/>
      <c r="H2530" s="32"/>
      <c r="I2530" s="32"/>
      <c r="J2530" s="28">
        <f t="shared" si="2229"/>
        <v>0</v>
      </c>
      <c r="K2530" s="29"/>
      <c r="L2530" s="29"/>
      <c r="M2530" s="29"/>
      <c r="N2530" s="29"/>
      <c r="O2530" s="29"/>
      <c r="P2530" s="30">
        <f t="shared" si="2231"/>
        <v>0</v>
      </c>
      <c r="Q2530" s="31">
        <f t="shared" si="2230"/>
        <v>0</v>
      </c>
    </row>
    <row r="2531" spans="1:17" x14ac:dyDescent="0.2">
      <c r="A2531" s="10"/>
      <c r="B2531" s="26"/>
      <c r="C2531" s="11">
        <v>1993</v>
      </c>
      <c r="D2531" s="32">
        <f>SPFI_CLB14!$D$16</f>
        <v>0.499164</v>
      </c>
      <c r="E2531" s="32"/>
      <c r="F2531" s="32"/>
      <c r="G2531" s="32"/>
      <c r="H2531" s="32"/>
      <c r="I2531" s="32"/>
      <c r="J2531" s="28">
        <f t="shared" si="2229"/>
        <v>0</v>
      </c>
      <c r="K2531" s="29"/>
      <c r="L2531" s="29"/>
      <c r="M2531" s="29"/>
      <c r="N2531" s="29"/>
      <c r="O2531" s="29"/>
      <c r="P2531" s="30">
        <f t="shared" si="2231"/>
        <v>0</v>
      </c>
      <c r="Q2531" s="31">
        <f t="shared" si="2230"/>
        <v>0</v>
      </c>
    </row>
    <row r="2532" spans="1:17" x14ac:dyDescent="0.2">
      <c r="A2532" s="10"/>
      <c r="B2532" s="26"/>
      <c r="C2532" s="11">
        <v>1994</v>
      </c>
      <c r="D2532" s="32">
        <f>SPFI_CLB14!$D$17</f>
        <v>0.59591300000000003</v>
      </c>
      <c r="E2532" s="32"/>
      <c r="F2532" s="32"/>
      <c r="G2532" s="32"/>
      <c r="H2532" s="32"/>
      <c r="I2532" s="32"/>
      <c r="J2532" s="28">
        <f t="shared" si="2229"/>
        <v>0</v>
      </c>
      <c r="K2532" s="29"/>
      <c r="L2532" s="29"/>
      <c r="M2532" s="29"/>
      <c r="N2532" s="29"/>
      <c r="O2532" s="29"/>
      <c r="P2532" s="30">
        <f t="shared" si="2231"/>
        <v>0</v>
      </c>
      <c r="Q2532" s="31">
        <f t="shared" si="2230"/>
        <v>0</v>
      </c>
    </row>
    <row r="2533" spans="1:17" x14ac:dyDescent="0.2">
      <c r="A2533" s="10"/>
      <c r="B2533" s="26"/>
      <c r="C2533" s="11">
        <v>1995</v>
      </c>
      <c r="D2533" s="32">
        <f>SPFI_CLB14!$D$18</f>
        <v>0.25400800000000001</v>
      </c>
      <c r="E2533" s="32"/>
      <c r="F2533" s="32"/>
      <c r="G2533" s="32"/>
      <c r="H2533" s="32"/>
      <c r="I2533" s="32"/>
      <c r="J2533" s="28">
        <f t="shared" ref="J2533" si="2232">D2533*J$81</f>
        <v>0</v>
      </c>
      <c r="K2533" s="29"/>
      <c r="L2533" s="29"/>
      <c r="M2533" s="29"/>
      <c r="N2533" s="29"/>
      <c r="O2533" s="29"/>
      <c r="P2533" s="30">
        <f>SUM(J2533:O2533)</f>
        <v>0</v>
      </c>
      <c r="Q2533" s="31">
        <f t="shared" si="2230"/>
        <v>0</v>
      </c>
    </row>
    <row r="2534" spans="1:17" x14ac:dyDescent="0.2">
      <c r="A2534" s="10"/>
      <c r="B2534" s="26"/>
      <c r="C2534" s="11">
        <v>1996</v>
      </c>
      <c r="D2534" s="32">
        <f>SPFI_CLB14!$D$19</f>
        <v>0</v>
      </c>
      <c r="E2534" s="32"/>
      <c r="F2534" s="32"/>
      <c r="G2534" s="32"/>
      <c r="H2534" s="32"/>
      <c r="I2534" s="32"/>
      <c r="J2534" s="28">
        <f t="shared" ref="J2534" si="2233">D2534*J$81</f>
        <v>0</v>
      </c>
      <c r="K2534" s="29"/>
      <c r="L2534" s="29"/>
      <c r="M2534" s="29"/>
      <c r="N2534" s="29"/>
      <c r="O2534" s="29"/>
      <c r="P2534" s="30">
        <f>SUM(J2534:O2534)</f>
        <v>0</v>
      </c>
      <c r="Q2534" s="31">
        <f t="shared" si="2230"/>
        <v>0</v>
      </c>
    </row>
    <row r="2535" spans="1:17" x14ac:dyDescent="0.2">
      <c r="A2535" s="10"/>
      <c r="B2535" s="26"/>
      <c r="C2535" s="11">
        <v>1997</v>
      </c>
      <c r="D2535" s="32">
        <f>SPFI_CLB14!$D$20</f>
        <v>0.201487</v>
      </c>
      <c r="E2535" s="32"/>
      <c r="F2535" s="32"/>
      <c r="G2535" s="32"/>
      <c r="H2535" s="32"/>
      <c r="I2535" s="32"/>
      <c r="J2535" s="28">
        <f t="shared" ref="J2535" si="2234">D2535*J$81</f>
        <v>0</v>
      </c>
      <c r="K2535" s="29"/>
      <c r="L2535" s="29"/>
      <c r="M2535" s="29"/>
      <c r="N2535" s="29"/>
      <c r="O2535" s="29"/>
      <c r="P2535" s="30">
        <f>SUM(J2535:O2535)</f>
        <v>0</v>
      </c>
      <c r="Q2535" s="31">
        <f t="shared" si="2230"/>
        <v>0</v>
      </c>
    </row>
    <row r="2536" spans="1:17" x14ac:dyDescent="0.2">
      <c r="A2536" s="10"/>
      <c r="B2536" s="26"/>
      <c r="C2536" s="11">
        <v>1998</v>
      </c>
      <c r="D2536" s="32">
        <f>SPFI_CLB14!$D$21</f>
        <v>0.37506400000000001</v>
      </c>
      <c r="E2536" s="32"/>
      <c r="F2536" s="32"/>
      <c r="G2536" s="32"/>
      <c r="H2536" s="32"/>
      <c r="I2536" s="32"/>
      <c r="J2536" s="28">
        <f t="shared" ref="J2536" si="2235">D2536*J$81</f>
        <v>0</v>
      </c>
      <c r="K2536" s="29"/>
      <c r="L2536" s="29"/>
      <c r="M2536" s="29"/>
      <c r="N2536" s="29"/>
      <c r="O2536" s="29"/>
      <c r="P2536" s="30">
        <f>SUM(J2536:O2536)</f>
        <v>0</v>
      </c>
      <c r="Q2536" s="31">
        <f t="shared" si="2230"/>
        <v>0</v>
      </c>
    </row>
    <row r="2537" spans="1:17" x14ac:dyDescent="0.2">
      <c r="A2537" s="10"/>
      <c r="B2537" s="26"/>
      <c r="C2537" s="11">
        <v>1999</v>
      </c>
      <c r="D2537" s="32">
        <f>SPFI_CLB14!$D$22</f>
        <v>0.29823699999999997</v>
      </c>
      <c r="E2537" s="32"/>
      <c r="F2537" s="32"/>
      <c r="G2537" s="32"/>
      <c r="H2537" s="32"/>
      <c r="I2537" s="32"/>
      <c r="J2537" s="28">
        <f t="shared" ref="J2537" si="2236">D2537*J$81</f>
        <v>0</v>
      </c>
      <c r="K2537" s="29"/>
      <c r="L2537" s="29"/>
      <c r="M2537" s="29"/>
      <c r="N2537" s="29"/>
      <c r="O2537" s="29"/>
      <c r="P2537" s="30">
        <f>SUM(J2537:O2537)</f>
        <v>0</v>
      </c>
      <c r="Q2537" s="31">
        <f t="shared" ref="Q2537:Q2542" si="2237">IF(C$81&gt;0,P2537/C$81,0)</f>
        <v>0</v>
      </c>
    </row>
    <row r="2538" spans="1:17" x14ac:dyDescent="0.2">
      <c r="A2538" s="10"/>
      <c r="B2538" s="26"/>
      <c r="C2538" s="11">
        <v>2000</v>
      </c>
      <c r="D2538" s="32">
        <f>SPFI_CLB14!$D$23</f>
        <v>8.4414000000000003E-2</v>
      </c>
      <c r="E2538" s="32"/>
      <c r="F2538" s="32"/>
      <c r="G2538" s="32"/>
      <c r="H2538" s="32"/>
      <c r="I2538" s="32"/>
      <c r="J2538" s="28">
        <f t="shared" ref="J2538" si="2238">D2538*J$81</f>
        <v>0</v>
      </c>
      <c r="K2538" s="29"/>
      <c r="L2538" s="29"/>
      <c r="M2538" s="29"/>
      <c r="N2538" s="29"/>
      <c r="O2538" s="29"/>
      <c r="P2538" s="30">
        <f t="shared" ref="P2538:P2543" si="2239">SUM(J2538:O2538)</f>
        <v>0</v>
      </c>
      <c r="Q2538" s="31">
        <f t="shared" si="2237"/>
        <v>0</v>
      </c>
    </row>
    <row r="2539" spans="1:17" x14ac:dyDescent="0.2">
      <c r="A2539" s="10"/>
      <c r="B2539" s="26"/>
      <c r="C2539" s="11">
        <v>2001</v>
      </c>
      <c r="D2539" s="32">
        <f>SPFI_CLB14!$D$24</f>
        <v>7.8909000000000007E-2</v>
      </c>
      <c r="E2539" s="32"/>
      <c r="F2539" s="32"/>
      <c r="G2539" s="32"/>
      <c r="H2539" s="32"/>
      <c r="I2539" s="32"/>
      <c r="J2539" s="28">
        <f t="shared" ref="J2539" si="2240">D2539*J$81</f>
        <v>0</v>
      </c>
      <c r="K2539" s="29"/>
      <c r="L2539" s="29"/>
      <c r="M2539" s="29"/>
      <c r="N2539" s="29"/>
      <c r="O2539" s="29"/>
      <c r="P2539" s="30">
        <f t="shared" si="2239"/>
        <v>0</v>
      </c>
      <c r="Q2539" s="31">
        <f t="shared" si="2237"/>
        <v>0</v>
      </c>
    </row>
    <row r="2540" spans="1:17" x14ac:dyDescent="0.2">
      <c r="A2540" s="10"/>
      <c r="B2540" s="26"/>
      <c r="C2540" s="11">
        <v>2002</v>
      </c>
      <c r="D2540" s="32">
        <f>SPFI_CLB14!$D$25</f>
        <v>0.29974699999999999</v>
      </c>
      <c r="E2540" s="32"/>
      <c r="F2540" s="32"/>
      <c r="G2540" s="32"/>
      <c r="H2540" s="32"/>
      <c r="I2540" s="32"/>
      <c r="J2540" s="28">
        <f t="shared" ref="J2540" si="2241">D2540*J$81</f>
        <v>0</v>
      </c>
      <c r="K2540" s="29"/>
      <c r="L2540" s="29"/>
      <c r="M2540" s="29"/>
      <c r="N2540" s="29"/>
      <c r="O2540" s="29"/>
      <c r="P2540" s="30">
        <f t="shared" si="2239"/>
        <v>0</v>
      </c>
      <c r="Q2540" s="31">
        <f t="shared" si="2237"/>
        <v>0</v>
      </c>
    </row>
    <row r="2541" spans="1:17" x14ac:dyDescent="0.2">
      <c r="A2541" s="10"/>
      <c r="B2541" s="26"/>
      <c r="C2541" s="11">
        <v>2003</v>
      </c>
      <c r="D2541" s="32">
        <f>SPFI_CLB14!$D$26</f>
        <v>0.20691100000000001</v>
      </c>
      <c r="E2541" s="32"/>
      <c r="F2541" s="32"/>
      <c r="G2541" s="32"/>
      <c r="H2541" s="32"/>
      <c r="I2541" s="32"/>
      <c r="J2541" s="28">
        <f t="shared" ref="J2541" si="2242">D2541*J$81</f>
        <v>0</v>
      </c>
      <c r="K2541" s="29"/>
      <c r="L2541" s="29"/>
      <c r="M2541" s="29"/>
      <c r="N2541" s="29"/>
      <c r="O2541" s="29"/>
      <c r="P2541" s="30">
        <f t="shared" si="2239"/>
        <v>0</v>
      </c>
      <c r="Q2541" s="31">
        <f t="shared" si="2237"/>
        <v>0</v>
      </c>
    </row>
    <row r="2542" spans="1:17" x14ac:dyDescent="0.2">
      <c r="A2542" s="10"/>
      <c r="B2542" s="26"/>
      <c r="C2542" s="11">
        <v>2004</v>
      </c>
      <c r="D2542" s="32">
        <f>SPFI_CLB14!$D$27</f>
        <v>0.269237</v>
      </c>
      <c r="E2542" s="32"/>
      <c r="F2542" s="32"/>
      <c r="G2542" s="32"/>
      <c r="H2542" s="32"/>
      <c r="I2542" s="32"/>
      <c r="J2542" s="28">
        <f t="shared" ref="J2542" si="2243">D2542*J$81</f>
        <v>0</v>
      </c>
      <c r="K2542" s="29"/>
      <c r="L2542" s="29"/>
      <c r="M2542" s="29"/>
      <c r="N2542" s="29"/>
      <c r="O2542" s="29"/>
      <c r="P2542" s="30">
        <f t="shared" si="2239"/>
        <v>0</v>
      </c>
      <c r="Q2542" s="31">
        <f t="shared" si="2237"/>
        <v>0</v>
      </c>
    </row>
    <row r="2543" spans="1:17" x14ac:dyDescent="0.2">
      <c r="A2543" s="10"/>
      <c r="B2543" s="26"/>
      <c r="C2543" s="11">
        <v>2005</v>
      </c>
      <c r="D2543" s="32">
        <f>SPFI_CLB14!$D$28</f>
        <v>0.37848700000000002</v>
      </c>
      <c r="E2543" s="32"/>
      <c r="F2543" s="32"/>
      <c r="G2543" s="32"/>
      <c r="H2543" s="32"/>
      <c r="I2543" s="32"/>
      <c r="J2543" s="28">
        <f t="shared" ref="J2543" si="2244">D2543*J$81</f>
        <v>0</v>
      </c>
      <c r="K2543" s="29"/>
      <c r="L2543" s="29"/>
      <c r="M2543" s="29"/>
      <c r="N2543" s="29"/>
      <c r="O2543" s="29"/>
      <c r="P2543" s="30">
        <f t="shared" si="2239"/>
        <v>0</v>
      </c>
      <c r="Q2543" s="31">
        <f t="shared" ref="Q2543:Q2548" si="2245">IF(C$81&gt;0,P2543/C$81,0)</f>
        <v>0</v>
      </c>
    </row>
    <row r="2544" spans="1:17" x14ac:dyDescent="0.2">
      <c r="A2544" s="10"/>
      <c r="B2544" s="26"/>
      <c r="C2544" s="11">
        <v>2006</v>
      </c>
      <c r="D2544" s="32">
        <f>SPFI_CLB14!$D$29</f>
        <v>0.381023</v>
      </c>
      <c r="E2544" s="32"/>
      <c r="F2544" s="32"/>
      <c r="G2544" s="32"/>
      <c r="H2544" s="32"/>
      <c r="I2544" s="32"/>
      <c r="J2544" s="28">
        <f t="shared" ref="J2544" si="2246">D2544*J$81</f>
        <v>0</v>
      </c>
      <c r="K2544" s="29"/>
      <c r="L2544" s="29"/>
      <c r="M2544" s="29"/>
      <c r="N2544" s="29"/>
      <c r="O2544" s="29"/>
      <c r="P2544" s="30">
        <f t="shared" ref="P2544:P2551" si="2247">SUM(J2544:O2544)</f>
        <v>0</v>
      </c>
      <c r="Q2544" s="31">
        <f t="shared" si="2245"/>
        <v>0</v>
      </c>
    </row>
    <row r="2545" spans="1:17" x14ac:dyDescent="0.2">
      <c r="A2545" s="10"/>
      <c r="B2545" s="26"/>
      <c r="C2545" s="11">
        <v>2007</v>
      </c>
      <c r="D2545" s="32">
        <f>SPFI_CLB14!$D$30</f>
        <v>0.356512</v>
      </c>
      <c r="E2545" s="32"/>
      <c r="F2545" s="32"/>
      <c r="G2545" s="32"/>
      <c r="H2545" s="32"/>
      <c r="I2545" s="32"/>
      <c r="J2545" s="28">
        <f t="shared" ref="J2545" si="2248">D2545*J$81</f>
        <v>0</v>
      </c>
      <c r="K2545" s="29"/>
      <c r="L2545" s="29"/>
      <c r="M2545" s="29"/>
      <c r="N2545" s="29"/>
      <c r="O2545" s="29"/>
      <c r="P2545" s="30">
        <f t="shared" si="2247"/>
        <v>0</v>
      </c>
      <c r="Q2545" s="31">
        <f t="shared" si="2245"/>
        <v>0</v>
      </c>
    </row>
    <row r="2546" spans="1:17" x14ac:dyDescent="0.2">
      <c r="A2546" s="10"/>
      <c r="B2546" s="26"/>
      <c r="C2546" s="11">
        <v>2008</v>
      </c>
      <c r="D2546" s="32">
        <f>SPFI_CLB14!$D$31</f>
        <v>0.25494499999999998</v>
      </c>
      <c r="E2546" s="32"/>
      <c r="F2546" s="32"/>
      <c r="G2546" s="32"/>
      <c r="H2546" s="32"/>
      <c r="I2546" s="32"/>
      <c r="J2546" s="28">
        <f t="shared" ref="J2546" si="2249">D2546*J$81</f>
        <v>0</v>
      </c>
      <c r="K2546" s="29"/>
      <c r="L2546" s="29"/>
      <c r="M2546" s="29"/>
      <c r="N2546" s="29"/>
      <c r="O2546" s="29"/>
      <c r="P2546" s="30">
        <f t="shared" si="2247"/>
        <v>0</v>
      </c>
      <c r="Q2546" s="31">
        <f t="shared" si="2245"/>
        <v>0</v>
      </c>
    </row>
    <row r="2547" spans="1:17" x14ac:dyDescent="0.2">
      <c r="A2547" s="10"/>
      <c r="B2547" s="26"/>
      <c r="C2547" s="11">
        <v>2009</v>
      </c>
      <c r="D2547" s="32">
        <f>SPFI_CLB14!$D$32</f>
        <v>0.52383000000000002</v>
      </c>
      <c r="E2547" s="32"/>
      <c r="F2547" s="32"/>
      <c r="G2547" s="32"/>
      <c r="H2547" s="32"/>
      <c r="I2547" s="32"/>
      <c r="J2547" s="28">
        <f t="shared" ref="J2547" si="2250">D2547*J$81</f>
        <v>0</v>
      </c>
      <c r="K2547" s="29"/>
      <c r="L2547" s="29"/>
      <c r="M2547" s="29"/>
      <c r="N2547" s="29"/>
      <c r="O2547" s="29"/>
      <c r="P2547" s="30">
        <f t="shared" si="2247"/>
        <v>0</v>
      </c>
      <c r="Q2547" s="31">
        <f t="shared" si="2245"/>
        <v>0</v>
      </c>
    </row>
    <row r="2548" spans="1:17" x14ac:dyDescent="0.2">
      <c r="A2548" s="10"/>
      <c r="B2548" s="26"/>
      <c r="C2548" s="11">
        <v>2010</v>
      </c>
      <c r="D2548" s="32">
        <f>SPFI_CLB14!$D$33</f>
        <v>0.31394</v>
      </c>
      <c r="E2548" s="32"/>
      <c r="F2548" s="32"/>
      <c r="G2548" s="32"/>
      <c r="H2548" s="32"/>
      <c r="I2548" s="32"/>
      <c r="J2548" s="28">
        <f t="shared" ref="J2548" si="2251">D2548*J$81</f>
        <v>0</v>
      </c>
      <c r="K2548" s="29"/>
      <c r="L2548" s="29"/>
      <c r="M2548" s="29"/>
      <c r="N2548" s="29"/>
      <c r="O2548" s="29"/>
      <c r="P2548" s="30">
        <f t="shared" si="2247"/>
        <v>0</v>
      </c>
      <c r="Q2548" s="31">
        <f t="shared" si="2245"/>
        <v>0</v>
      </c>
    </row>
    <row r="2549" spans="1:17" x14ac:dyDescent="0.2">
      <c r="A2549" s="10"/>
      <c r="B2549" s="26"/>
      <c r="C2549" s="11">
        <v>2011</v>
      </c>
      <c r="D2549" s="32">
        <f>SPFI_CLB14!$D$34</f>
        <v>0.294348</v>
      </c>
      <c r="E2549" s="32"/>
      <c r="F2549" s="32"/>
      <c r="G2549" s="32"/>
      <c r="H2549" s="32"/>
      <c r="I2549" s="32"/>
      <c r="J2549" s="28">
        <f t="shared" ref="J2549" si="2252">D2549*J$81</f>
        <v>0</v>
      </c>
      <c r="K2549" s="29"/>
      <c r="L2549" s="29"/>
      <c r="M2549" s="29"/>
      <c r="N2549" s="29"/>
      <c r="O2549" s="29"/>
      <c r="P2549" s="30">
        <f t="shared" ref="P2549" si="2253">SUM(J2549:O2549)</f>
        <v>0</v>
      </c>
      <c r="Q2549" s="31">
        <f t="shared" ref="Q2549" si="2254">IF(C$81&gt;0,P2549/C$81,0)</f>
        <v>0</v>
      </c>
    </row>
    <row r="2550" spans="1:17" x14ac:dyDescent="0.2">
      <c r="A2550" s="10"/>
      <c r="B2550" s="26"/>
      <c r="C2550" s="11">
        <v>2012</v>
      </c>
      <c r="D2550" s="32">
        <f>SPFI_CLB14!$D$35</f>
        <v>0.34784100000000001</v>
      </c>
      <c r="E2550" s="32"/>
      <c r="F2550" s="32"/>
      <c r="G2550" s="32"/>
      <c r="H2550" s="32"/>
      <c r="I2550" s="32"/>
      <c r="J2550" s="28">
        <f t="shared" ref="J2550" si="2255">D2550*J$81</f>
        <v>0</v>
      </c>
      <c r="K2550" s="29"/>
      <c r="L2550" s="29"/>
      <c r="M2550" s="29"/>
      <c r="N2550" s="29"/>
      <c r="O2550" s="29"/>
      <c r="P2550" s="30">
        <f t="shared" ref="P2550" si="2256">SUM(J2550:O2550)</f>
        <v>0</v>
      </c>
      <c r="Q2550" s="31">
        <f t="shared" ref="Q2550" si="2257">IF(C$81&gt;0,P2550/C$81,0)</f>
        <v>0</v>
      </c>
    </row>
    <row r="2551" spans="1:17" x14ac:dyDescent="0.2">
      <c r="A2551" s="5" t="s">
        <v>25</v>
      </c>
      <c r="B2551" s="21">
        <v>4</v>
      </c>
      <c r="C2551" s="6">
        <v>1982</v>
      </c>
      <c r="D2551" s="27">
        <f>SPFI_CLB14!$D$5</f>
        <v>0.98153299999999999</v>
      </c>
      <c r="E2551" s="27"/>
      <c r="F2551" s="27"/>
      <c r="G2551" s="27"/>
      <c r="H2551" s="27"/>
      <c r="I2551" s="27"/>
      <c r="J2551" s="33">
        <f t="shared" ref="J2551:J2563" si="2258">D2551*J$82</f>
        <v>0</v>
      </c>
      <c r="K2551" s="27"/>
      <c r="L2551" s="27"/>
      <c r="M2551" s="27"/>
      <c r="N2551" s="27"/>
      <c r="O2551" s="27"/>
      <c r="P2551" s="34">
        <f t="shared" si="2247"/>
        <v>0</v>
      </c>
      <c r="Q2551" s="35">
        <f t="shared" ref="Q2551:Q2567" si="2259">IF(C$82&gt;0,P2551/C$82,0)</f>
        <v>0</v>
      </c>
    </row>
    <row r="2552" spans="1:17" x14ac:dyDescent="0.2">
      <c r="A2552" s="10"/>
      <c r="B2552" s="26"/>
      <c r="C2552" s="11">
        <v>1983</v>
      </c>
      <c r="D2552" s="32">
        <f>SPFI_CLB14!$D$6</f>
        <v>0.93659899999999996</v>
      </c>
      <c r="E2552" s="32"/>
      <c r="F2552" s="32"/>
      <c r="G2552" s="32"/>
      <c r="H2552" s="32"/>
      <c r="I2552" s="32"/>
      <c r="J2552" s="28">
        <f t="shared" si="2258"/>
        <v>0</v>
      </c>
      <c r="K2552" s="29"/>
      <c r="L2552" s="29"/>
      <c r="M2552" s="29"/>
      <c r="N2552" s="29"/>
      <c r="O2552" s="29"/>
      <c r="P2552" s="30">
        <f t="shared" ref="P2552:P2563" si="2260">SUM(J2552:O2552)</f>
        <v>0</v>
      </c>
      <c r="Q2552" s="31">
        <f t="shared" si="2259"/>
        <v>0</v>
      </c>
    </row>
    <row r="2553" spans="1:17" x14ac:dyDescent="0.2">
      <c r="A2553" s="10"/>
      <c r="B2553" s="26"/>
      <c r="C2553" s="11">
        <v>1984</v>
      </c>
      <c r="D2553" s="32">
        <f>SPFI_CLB14!$D$7</f>
        <v>0.92793599999999998</v>
      </c>
      <c r="E2553" s="32"/>
      <c r="F2553" s="32"/>
      <c r="G2553" s="32"/>
      <c r="H2553" s="32"/>
      <c r="I2553" s="32"/>
      <c r="J2553" s="28">
        <f t="shared" si="2258"/>
        <v>0</v>
      </c>
      <c r="K2553" s="29"/>
      <c r="L2553" s="29"/>
      <c r="M2553" s="29"/>
      <c r="N2553" s="29"/>
      <c r="O2553" s="29"/>
      <c r="P2553" s="30">
        <f t="shared" si="2260"/>
        <v>0</v>
      </c>
      <c r="Q2553" s="31">
        <f t="shared" si="2259"/>
        <v>0</v>
      </c>
    </row>
    <row r="2554" spans="1:17" x14ac:dyDescent="0.2">
      <c r="A2554" s="10"/>
      <c r="B2554" s="26"/>
      <c r="C2554" s="11">
        <v>1985</v>
      </c>
      <c r="D2554" s="32">
        <f>SPFI_CLB14!$D$8</f>
        <v>0.90386500000000003</v>
      </c>
      <c r="E2554" s="32"/>
      <c r="F2554" s="32"/>
      <c r="G2554" s="32"/>
      <c r="H2554" s="32"/>
      <c r="I2554" s="32"/>
      <c r="J2554" s="28">
        <f t="shared" si="2258"/>
        <v>0</v>
      </c>
      <c r="K2554" s="29"/>
      <c r="L2554" s="29"/>
      <c r="M2554" s="29"/>
      <c r="N2554" s="29"/>
      <c r="O2554" s="29"/>
      <c r="P2554" s="30">
        <f t="shared" si="2260"/>
        <v>0</v>
      </c>
      <c r="Q2554" s="31">
        <f t="shared" si="2259"/>
        <v>0</v>
      </c>
    </row>
    <row r="2555" spans="1:17" x14ac:dyDescent="0.2">
      <c r="A2555" s="10"/>
      <c r="B2555" s="26"/>
      <c r="C2555" s="11">
        <v>1986</v>
      </c>
      <c r="D2555" s="32">
        <f>SPFI_CLB14!$D$9</f>
        <v>0.73087500000000005</v>
      </c>
      <c r="E2555" s="32"/>
      <c r="F2555" s="32"/>
      <c r="G2555" s="32"/>
      <c r="H2555" s="32"/>
      <c r="I2555" s="32"/>
      <c r="J2555" s="28">
        <f t="shared" si="2258"/>
        <v>0</v>
      </c>
      <c r="K2555" s="29"/>
      <c r="L2555" s="29"/>
      <c r="M2555" s="29"/>
      <c r="N2555" s="29"/>
      <c r="O2555" s="29"/>
      <c r="P2555" s="30">
        <f t="shared" si="2260"/>
        <v>0</v>
      </c>
      <c r="Q2555" s="31">
        <f t="shared" si="2259"/>
        <v>0</v>
      </c>
    </row>
    <row r="2556" spans="1:17" x14ac:dyDescent="0.2">
      <c r="A2556" s="10"/>
      <c r="B2556" s="26"/>
      <c r="C2556" s="11">
        <v>1987</v>
      </c>
      <c r="D2556" s="32">
        <f>SPFI_CLB14!$D$10</f>
        <v>0.71733499999999994</v>
      </c>
      <c r="E2556" s="32"/>
      <c r="F2556" s="32"/>
      <c r="G2556" s="32"/>
      <c r="H2556" s="32"/>
      <c r="I2556" s="32"/>
      <c r="J2556" s="28">
        <f t="shared" si="2258"/>
        <v>0</v>
      </c>
      <c r="K2556" s="29"/>
      <c r="L2556" s="29"/>
      <c r="M2556" s="29"/>
      <c r="N2556" s="29"/>
      <c r="O2556" s="29"/>
      <c r="P2556" s="30">
        <f t="shared" si="2260"/>
        <v>0</v>
      </c>
      <c r="Q2556" s="31">
        <f t="shared" si="2259"/>
        <v>0</v>
      </c>
    </row>
    <row r="2557" spans="1:17" x14ac:dyDescent="0.2">
      <c r="A2557" s="10"/>
      <c r="B2557" s="26"/>
      <c r="C2557" s="11">
        <v>1988</v>
      </c>
      <c r="D2557" s="32">
        <f>SPFI_CLB14!$D$11</f>
        <v>0.64558800000000005</v>
      </c>
      <c r="E2557" s="32"/>
      <c r="F2557" s="32"/>
      <c r="G2557" s="32"/>
      <c r="H2557" s="32"/>
      <c r="I2557" s="32"/>
      <c r="J2557" s="28">
        <f t="shared" si="2258"/>
        <v>0</v>
      </c>
      <c r="K2557" s="29"/>
      <c r="L2557" s="29"/>
      <c r="M2557" s="29"/>
      <c r="N2557" s="29"/>
      <c r="O2557" s="29"/>
      <c r="P2557" s="30">
        <f t="shared" si="2260"/>
        <v>0</v>
      </c>
      <c r="Q2557" s="31">
        <f t="shared" si="2259"/>
        <v>0</v>
      </c>
    </row>
    <row r="2558" spans="1:17" x14ac:dyDescent="0.2">
      <c r="A2558" s="10"/>
      <c r="B2558" s="26"/>
      <c r="C2558" s="11">
        <v>1989</v>
      </c>
      <c r="D2558" s="32">
        <f>SPFI_CLB14!$D$12</f>
        <v>0.65287700000000004</v>
      </c>
      <c r="E2558" s="32"/>
      <c r="F2558" s="32"/>
      <c r="G2558" s="32"/>
      <c r="H2558" s="32"/>
      <c r="I2558" s="32"/>
      <c r="J2558" s="28">
        <f t="shared" si="2258"/>
        <v>0</v>
      </c>
      <c r="K2558" s="29"/>
      <c r="L2558" s="29"/>
      <c r="M2558" s="29"/>
      <c r="N2558" s="29"/>
      <c r="O2558" s="29"/>
      <c r="P2558" s="30">
        <f t="shared" si="2260"/>
        <v>0</v>
      </c>
      <c r="Q2558" s="31">
        <f t="shared" si="2259"/>
        <v>0</v>
      </c>
    </row>
    <row r="2559" spans="1:17" x14ac:dyDescent="0.2">
      <c r="A2559" s="10"/>
      <c r="B2559" s="26"/>
      <c r="C2559" s="11">
        <v>1990</v>
      </c>
      <c r="D2559" s="32">
        <f>SPFI_CLB14!$D$13</f>
        <v>0.56965100000000002</v>
      </c>
      <c r="E2559" s="32"/>
      <c r="F2559" s="32"/>
      <c r="G2559" s="32"/>
      <c r="H2559" s="32"/>
      <c r="I2559" s="32"/>
      <c r="J2559" s="28">
        <f t="shared" si="2258"/>
        <v>0</v>
      </c>
      <c r="K2559" s="29"/>
      <c r="L2559" s="29"/>
      <c r="M2559" s="29"/>
      <c r="N2559" s="29"/>
      <c r="O2559" s="29"/>
      <c r="P2559" s="30">
        <f t="shared" si="2260"/>
        <v>0</v>
      </c>
      <c r="Q2559" s="31">
        <f t="shared" si="2259"/>
        <v>0</v>
      </c>
    </row>
    <row r="2560" spans="1:17" x14ac:dyDescent="0.2">
      <c r="A2560" s="10"/>
      <c r="B2560" s="26"/>
      <c r="C2560" s="11">
        <v>1991</v>
      </c>
      <c r="D2560" s="32">
        <f>SPFI_CLB14!$D$14</f>
        <v>0.62776900000000002</v>
      </c>
      <c r="E2560" s="32"/>
      <c r="F2560" s="32"/>
      <c r="G2560" s="32"/>
      <c r="H2560" s="32"/>
      <c r="I2560" s="32"/>
      <c r="J2560" s="28">
        <f t="shared" si="2258"/>
        <v>0</v>
      </c>
      <c r="K2560" s="29"/>
      <c r="L2560" s="29"/>
      <c r="M2560" s="29"/>
      <c r="N2560" s="29"/>
      <c r="O2560" s="29"/>
      <c r="P2560" s="30">
        <f t="shared" si="2260"/>
        <v>0</v>
      </c>
      <c r="Q2560" s="31">
        <f t="shared" si="2259"/>
        <v>0</v>
      </c>
    </row>
    <row r="2561" spans="1:17" x14ac:dyDescent="0.2">
      <c r="A2561" s="10"/>
      <c r="B2561" s="26"/>
      <c r="C2561" s="11">
        <v>1992</v>
      </c>
      <c r="D2561" s="32">
        <f>SPFI_CLB14!$D$15</f>
        <v>0.43504100000000001</v>
      </c>
      <c r="E2561" s="32"/>
      <c r="F2561" s="32"/>
      <c r="G2561" s="32"/>
      <c r="H2561" s="32"/>
      <c r="I2561" s="32"/>
      <c r="J2561" s="28">
        <f t="shared" si="2258"/>
        <v>0</v>
      </c>
      <c r="K2561" s="29"/>
      <c r="L2561" s="29"/>
      <c r="M2561" s="29"/>
      <c r="N2561" s="29"/>
      <c r="O2561" s="29"/>
      <c r="P2561" s="30">
        <f t="shared" si="2260"/>
        <v>0</v>
      </c>
      <c r="Q2561" s="31">
        <f t="shared" si="2259"/>
        <v>0</v>
      </c>
    </row>
    <row r="2562" spans="1:17" x14ac:dyDescent="0.2">
      <c r="A2562" s="10"/>
      <c r="B2562" s="26"/>
      <c r="C2562" s="11">
        <v>1993</v>
      </c>
      <c r="D2562" s="32">
        <f>SPFI_CLB14!$D$16</f>
        <v>0.499164</v>
      </c>
      <c r="E2562" s="32"/>
      <c r="F2562" s="32"/>
      <c r="G2562" s="32"/>
      <c r="H2562" s="32"/>
      <c r="I2562" s="32"/>
      <c r="J2562" s="28">
        <f t="shared" si="2258"/>
        <v>0</v>
      </c>
      <c r="K2562" s="29"/>
      <c r="L2562" s="29"/>
      <c r="M2562" s="29"/>
      <c r="N2562" s="29"/>
      <c r="O2562" s="29"/>
      <c r="P2562" s="30">
        <f t="shared" si="2260"/>
        <v>0</v>
      </c>
      <c r="Q2562" s="31">
        <f t="shared" si="2259"/>
        <v>0</v>
      </c>
    </row>
    <row r="2563" spans="1:17" x14ac:dyDescent="0.2">
      <c r="A2563" s="10"/>
      <c r="B2563" s="26"/>
      <c r="C2563" s="11">
        <v>1994</v>
      </c>
      <c r="D2563" s="32">
        <f>SPFI_CLB14!$D$17</f>
        <v>0.59591300000000003</v>
      </c>
      <c r="E2563" s="32"/>
      <c r="F2563" s="32"/>
      <c r="G2563" s="32"/>
      <c r="H2563" s="32"/>
      <c r="I2563" s="32"/>
      <c r="J2563" s="28">
        <f t="shared" si="2258"/>
        <v>0</v>
      </c>
      <c r="K2563" s="29"/>
      <c r="L2563" s="29"/>
      <c r="M2563" s="29"/>
      <c r="N2563" s="29"/>
      <c r="O2563" s="29"/>
      <c r="P2563" s="30">
        <f t="shared" si="2260"/>
        <v>0</v>
      </c>
      <c r="Q2563" s="31">
        <f t="shared" si="2259"/>
        <v>0</v>
      </c>
    </row>
    <row r="2564" spans="1:17" x14ac:dyDescent="0.2">
      <c r="A2564" s="10"/>
      <c r="B2564" s="26"/>
      <c r="C2564" s="11">
        <v>1995</v>
      </c>
      <c r="D2564" s="32">
        <f>SPFI_CLB14!$D$18</f>
        <v>0.25400800000000001</v>
      </c>
      <c r="E2564" s="32"/>
      <c r="F2564" s="32"/>
      <c r="G2564" s="32"/>
      <c r="H2564" s="32"/>
      <c r="I2564" s="32"/>
      <c r="J2564" s="28">
        <f t="shared" ref="J2564" si="2261">D2564*J$82</f>
        <v>0</v>
      </c>
      <c r="K2564" s="29"/>
      <c r="L2564" s="29"/>
      <c r="M2564" s="29"/>
      <c r="N2564" s="29"/>
      <c r="O2564" s="29"/>
      <c r="P2564" s="30">
        <f>SUM(J2564:O2564)</f>
        <v>0</v>
      </c>
      <c r="Q2564" s="31">
        <f t="shared" si="2259"/>
        <v>0</v>
      </c>
    </row>
    <row r="2565" spans="1:17" x14ac:dyDescent="0.2">
      <c r="A2565" s="10"/>
      <c r="B2565" s="26"/>
      <c r="C2565" s="11">
        <v>1996</v>
      </c>
      <c r="D2565" s="32">
        <f>SPFI_CLB14!$D$19</f>
        <v>0</v>
      </c>
      <c r="E2565" s="32"/>
      <c r="F2565" s="32"/>
      <c r="G2565" s="32"/>
      <c r="H2565" s="32"/>
      <c r="I2565" s="32"/>
      <c r="J2565" s="28">
        <f t="shared" ref="J2565" si="2262">D2565*J$82</f>
        <v>0</v>
      </c>
      <c r="K2565" s="29"/>
      <c r="L2565" s="29"/>
      <c r="M2565" s="29"/>
      <c r="N2565" s="29"/>
      <c r="O2565" s="29"/>
      <c r="P2565" s="30">
        <f>SUM(J2565:O2565)</f>
        <v>0</v>
      </c>
      <c r="Q2565" s="31">
        <f t="shared" si="2259"/>
        <v>0</v>
      </c>
    </row>
    <row r="2566" spans="1:17" x14ac:dyDescent="0.2">
      <c r="A2566" s="10"/>
      <c r="B2566" s="26"/>
      <c r="C2566" s="11">
        <v>1997</v>
      </c>
      <c r="D2566" s="32">
        <f>SPFI_CLB14!$D$20</f>
        <v>0.201487</v>
      </c>
      <c r="E2566" s="32"/>
      <c r="F2566" s="32"/>
      <c r="G2566" s="32"/>
      <c r="H2566" s="32"/>
      <c r="I2566" s="32"/>
      <c r="J2566" s="28">
        <f t="shared" ref="J2566" si="2263">D2566*J$82</f>
        <v>0</v>
      </c>
      <c r="K2566" s="29"/>
      <c r="L2566" s="29"/>
      <c r="M2566" s="29"/>
      <c r="N2566" s="29"/>
      <c r="O2566" s="29"/>
      <c r="P2566" s="30">
        <f>SUM(J2566:O2566)</f>
        <v>0</v>
      </c>
      <c r="Q2566" s="31">
        <f t="shared" si="2259"/>
        <v>0</v>
      </c>
    </row>
    <row r="2567" spans="1:17" x14ac:dyDescent="0.2">
      <c r="A2567" s="10"/>
      <c r="B2567" s="26"/>
      <c r="C2567" s="11">
        <v>1998</v>
      </c>
      <c r="D2567" s="32">
        <f>SPFI_CLB14!$D$21</f>
        <v>0.37506400000000001</v>
      </c>
      <c r="E2567" s="32"/>
      <c r="F2567" s="32"/>
      <c r="G2567" s="32"/>
      <c r="H2567" s="32"/>
      <c r="I2567" s="32"/>
      <c r="J2567" s="28">
        <f t="shared" ref="J2567" si="2264">D2567*J$82</f>
        <v>0</v>
      </c>
      <c r="K2567" s="29"/>
      <c r="L2567" s="29"/>
      <c r="M2567" s="29"/>
      <c r="N2567" s="29"/>
      <c r="O2567" s="29"/>
      <c r="P2567" s="30">
        <f>SUM(J2567:O2567)</f>
        <v>0</v>
      </c>
      <c r="Q2567" s="31">
        <f t="shared" si="2259"/>
        <v>0</v>
      </c>
    </row>
    <row r="2568" spans="1:17" x14ac:dyDescent="0.2">
      <c r="A2568" s="10"/>
      <c r="B2568" s="26"/>
      <c r="C2568" s="11">
        <v>1999</v>
      </c>
      <c r="D2568" s="32">
        <f>SPFI_CLB14!$D$22</f>
        <v>0.29823699999999997</v>
      </c>
      <c r="E2568" s="32"/>
      <c r="F2568" s="32"/>
      <c r="G2568" s="32"/>
      <c r="H2568" s="32"/>
      <c r="I2568" s="32"/>
      <c r="J2568" s="28">
        <f t="shared" ref="J2568" si="2265">D2568*J$82</f>
        <v>0</v>
      </c>
      <c r="K2568" s="29"/>
      <c r="L2568" s="29"/>
      <c r="M2568" s="29"/>
      <c r="N2568" s="29"/>
      <c r="O2568" s="29"/>
      <c r="P2568" s="30">
        <f>SUM(J2568:O2568)</f>
        <v>0</v>
      </c>
      <c r="Q2568" s="31">
        <f t="shared" ref="Q2568:Q2573" si="2266">IF(C$82&gt;0,P2568/C$82,0)</f>
        <v>0</v>
      </c>
    </row>
    <row r="2569" spans="1:17" x14ac:dyDescent="0.2">
      <c r="A2569" s="10"/>
      <c r="B2569" s="26"/>
      <c r="C2569" s="11">
        <v>2000</v>
      </c>
      <c r="D2569" s="32">
        <f>SPFI_CLB14!$D$23</f>
        <v>8.4414000000000003E-2</v>
      </c>
      <c r="E2569" s="32"/>
      <c r="F2569" s="32"/>
      <c r="G2569" s="32"/>
      <c r="H2569" s="32"/>
      <c r="I2569" s="32"/>
      <c r="J2569" s="28">
        <f t="shared" ref="J2569" si="2267">D2569*J$82</f>
        <v>0</v>
      </c>
      <c r="K2569" s="29"/>
      <c r="L2569" s="29"/>
      <c r="M2569" s="29"/>
      <c r="N2569" s="29"/>
      <c r="O2569" s="29"/>
      <c r="P2569" s="30">
        <f t="shared" ref="P2569:P2574" si="2268">SUM(J2569:O2569)</f>
        <v>0</v>
      </c>
      <c r="Q2569" s="31">
        <f t="shared" si="2266"/>
        <v>0</v>
      </c>
    </row>
    <row r="2570" spans="1:17" x14ac:dyDescent="0.2">
      <c r="A2570" s="10"/>
      <c r="B2570" s="26"/>
      <c r="C2570" s="11">
        <v>2001</v>
      </c>
      <c r="D2570" s="32">
        <f>SPFI_CLB14!$D$24</f>
        <v>7.8909000000000007E-2</v>
      </c>
      <c r="E2570" s="32"/>
      <c r="F2570" s="32"/>
      <c r="G2570" s="32"/>
      <c r="H2570" s="32"/>
      <c r="I2570" s="32"/>
      <c r="J2570" s="28">
        <f t="shared" ref="J2570" si="2269">D2570*J$82</f>
        <v>0</v>
      </c>
      <c r="K2570" s="29"/>
      <c r="L2570" s="29"/>
      <c r="M2570" s="29"/>
      <c r="N2570" s="29"/>
      <c r="O2570" s="29"/>
      <c r="P2570" s="30">
        <f t="shared" si="2268"/>
        <v>0</v>
      </c>
      <c r="Q2570" s="31">
        <f t="shared" si="2266"/>
        <v>0</v>
      </c>
    </row>
    <row r="2571" spans="1:17" x14ac:dyDescent="0.2">
      <c r="A2571" s="10"/>
      <c r="B2571" s="26"/>
      <c r="C2571" s="11">
        <v>2002</v>
      </c>
      <c r="D2571" s="32">
        <f>SPFI_CLB14!$D$25</f>
        <v>0.29974699999999999</v>
      </c>
      <c r="E2571" s="32"/>
      <c r="F2571" s="32"/>
      <c r="G2571" s="32"/>
      <c r="H2571" s="32"/>
      <c r="I2571" s="32"/>
      <c r="J2571" s="28">
        <f t="shared" ref="J2571" si="2270">D2571*J$82</f>
        <v>0</v>
      </c>
      <c r="K2571" s="29"/>
      <c r="L2571" s="29"/>
      <c r="M2571" s="29"/>
      <c r="N2571" s="29"/>
      <c r="O2571" s="29"/>
      <c r="P2571" s="30">
        <f t="shared" si="2268"/>
        <v>0</v>
      </c>
      <c r="Q2571" s="31">
        <f t="shared" si="2266"/>
        <v>0</v>
      </c>
    </row>
    <row r="2572" spans="1:17" x14ac:dyDescent="0.2">
      <c r="A2572" s="10"/>
      <c r="B2572" s="26"/>
      <c r="C2572" s="11">
        <v>2003</v>
      </c>
      <c r="D2572" s="32">
        <f>SPFI_CLB14!$D$26</f>
        <v>0.20691100000000001</v>
      </c>
      <c r="E2572" s="32"/>
      <c r="F2572" s="32"/>
      <c r="G2572" s="32"/>
      <c r="H2572" s="32"/>
      <c r="I2572" s="32"/>
      <c r="J2572" s="28">
        <f t="shared" ref="J2572" si="2271">D2572*J$82</f>
        <v>0</v>
      </c>
      <c r="K2572" s="29"/>
      <c r="L2572" s="29"/>
      <c r="M2572" s="29"/>
      <c r="N2572" s="29"/>
      <c r="O2572" s="29"/>
      <c r="P2572" s="30">
        <f t="shared" si="2268"/>
        <v>0</v>
      </c>
      <c r="Q2572" s="31">
        <f t="shared" si="2266"/>
        <v>0</v>
      </c>
    </row>
    <row r="2573" spans="1:17" x14ac:dyDescent="0.2">
      <c r="A2573" s="10"/>
      <c r="B2573" s="26"/>
      <c r="C2573" s="11">
        <v>2004</v>
      </c>
      <c r="D2573" s="32">
        <f>SPFI_CLB14!$D$27</f>
        <v>0.269237</v>
      </c>
      <c r="E2573" s="32"/>
      <c r="F2573" s="32"/>
      <c r="G2573" s="32"/>
      <c r="H2573" s="32"/>
      <c r="I2573" s="32"/>
      <c r="J2573" s="28">
        <f t="shared" ref="J2573" si="2272">D2573*J$82</f>
        <v>0</v>
      </c>
      <c r="K2573" s="29"/>
      <c r="L2573" s="29"/>
      <c r="M2573" s="29"/>
      <c r="N2573" s="29"/>
      <c r="O2573" s="29"/>
      <c r="P2573" s="30">
        <f t="shared" si="2268"/>
        <v>0</v>
      </c>
      <c r="Q2573" s="31">
        <f t="shared" si="2266"/>
        <v>0</v>
      </c>
    </row>
    <row r="2574" spans="1:17" x14ac:dyDescent="0.2">
      <c r="A2574" s="10"/>
      <c r="B2574" s="26"/>
      <c r="C2574" s="11">
        <v>2005</v>
      </c>
      <c r="D2574" s="32">
        <f>SPFI_CLB14!$D$28</f>
        <v>0.37848700000000002</v>
      </c>
      <c r="E2574" s="32"/>
      <c r="F2574" s="32"/>
      <c r="G2574" s="32"/>
      <c r="H2574" s="32"/>
      <c r="I2574" s="32"/>
      <c r="J2574" s="28">
        <f t="shared" ref="J2574" si="2273">D2574*J$82</f>
        <v>0</v>
      </c>
      <c r="K2574" s="29"/>
      <c r="L2574" s="29"/>
      <c r="M2574" s="29"/>
      <c r="N2574" s="29"/>
      <c r="O2574" s="29"/>
      <c r="P2574" s="30">
        <f t="shared" si="2268"/>
        <v>0</v>
      </c>
      <c r="Q2574" s="31">
        <f t="shared" ref="Q2574:Q2579" si="2274">IF(C$82&gt;0,P2574/C$82,0)</f>
        <v>0</v>
      </c>
    </row>
    <row r="2575" spans="1:17" x14ac:dyDescent="0.2">
      <c r="A2575" s="10"/>
      <c r="B2575" s="26"/>
      <c r="C2575" s="11">
        <v>2006</v>
      </c>
      <c r="D2575" s="32">
        <f>SPFI_CLB14!$D$29</f>
        <v>0.381023</v>
      </c>
      <c r="E2575" s="32"/>
      <c r="F2575" s="32"/>
      <c r="G2575" s="32"/>
      <c r="H2575" s="32"/>
      <c r="I2575" s="32"/>
      <c r="J2575" s="28">
        <f t="shared" ref="J2575" si="2275">D2575*J$82</f>
        <v>0</v>
      </c>
      <c r="K2575" s="29"/>
      <c r="L2575" s="29"/>
      <c r="M2575" s="29"/>
      <c r="N2575" s="29"/>
      <c r="O2575" s="29"/>
      <c r="P2575" s="30">
        <f t="shared" ref="P2575:P2582" si="2276">SUM(J2575:O2575)</f>
        <v>0</v>
      </c>
      <c r="Q2575" s="31">
        <f t="shared" si="2274"/>
        <v>0</v>
      </c>
    </row>
    <row r="2576" spans="1:17" x14ac:dyDescent="0.2">
      <c r="A2576" s="10"/>
      <c r="B2576" s="26"/>
      <c r="C2576" s="11">
        <v>2007</v>
      </c>
      <c r="D2576" s="32">
        <f>SPFI_CLB14!$D$30</f>
        <v>0.356512</v>
      </c>
      <c r="E2576" s="32"/>
      <c r="F2576" s="32"/>
      <c r="G2576" s="32"/>
      <c r="H2576" s="32"/>
      <c r="I2576" s="32"/>
      <c r="J2576" s="28">
        <f t="shared" ref="J2576" si="2277">D2576*J$82</f>
        <v>0</v>
      </c>
      <c r="K2576" s="29"/>
      <c r="L2576" s="29"/>
      <c r="M2576" s="29"/>
      <c r="N2576" s="29"/>
      <c r="O2576" s="29"/>
      <c r="P2576" s="30">
        <f t="shared" si="2276"/>
        <v>0</v>
      </c>
      <c r="Q2576" s="31">
        <f t="shared" si="2274"/>
        <v>0</v>
      </c>
    </row>
    <row r="2577" spans="1:17" x14ac:dyDescent="0.2">
      <c r="A2577" s="10"/>
      <c r="B2577" s="26"/>
      <c r="C2577" s="11">
        <v>2008</v>
      </c>
      <c r="D2577" s="32">
        <f>SPFI_CLB14!$D$31</f>
        <v>0.25494499999999998</v>
      </c>
      <c r="E2577" s="32"/>
      <c r="F2577" s="32"/>
      <c r="G2577" s="32"/>
      <c r="H2577" s="32"/>
      <c r="I2577" s="32"/>
      <c r="J2577" s="28">
        <f t="shared" ref="J2577" si="2278">D2577*J$82</f>
        <v>0</v>
      </c>
      <c r="K2577" s="29"/>
      <c r="L2577" s="29"/>
      <c r="M2577" s="29"/>
      <c r="N2577" s="29"/>
      <c r="O2577" s="29"/>
      <c r="P2577" s="30">
        <f t="shared" si="2276"/>
        <v>0</v>
      </c>
      <c r="Q2577" s="31">
        <f t="shared" si="2274"/>
        <v>0</v>
      </c>
    </row>
    <row r="2578" spans="1:17" x14ac:dyDescent="0.2">
      <c r="A2578" s="10"/>
      <c r="B2578" s="26"/>
      <c r="C2578" s="11">
        <v>2009</v>
      </c>
      <c r="D2578" s="32">
        <f>SPFI_CLB14!$D$32</f>
        <v>0.52383000000000002</v>
      </c>
      <c r="E2578" s="32"/>
      <c r="F2578" s="32"/>
      <c r="G2578" s="32"/>
      <c r="H2578" s="32"/>
      <c r="I2578" s="32"/>
      <c r="J2578" s="28">
        <f t="shared" ref="J2578" si="2279">D2578*J$82</f>
        <v>0</v>
      </c>
      <c r="K2578" s="29"/>
      <c r="L2578" s="29"/>
      <c r="M2578" s="29"/>
      <c r="N2578" s="29"/>
      <c r="O2578" s="29"/>
      <c r="P2578" s="30">
        <f t="shared" si="2276"/>
        <v>0</v>
      </c>
      <c r="Q2578" s="31">
        <f t="shared" si="2274"/>
        <v>0</v>
      </c>
    </row>
    <row r="2579" spans="1:17" x14ac:dyDescent="0.2">
      <c r="A2579" s="10"/>
      <c r="B2579" s="26"/>
      <c r="C2579" s="11">
        <v>2010</v>
      </c>
      <c r="D2579" s="32">
        <f>SPFI_CLB14!$D$33</f>
        <v>0.31394</v>
      </c>
      <c r="E2579" s="32"/>
      <c r="F2579" s="32"/>
      <c r="G2579" s="32"/>
      <c r="H2579" s="32"/>
      <c r="I2579" s="32"/>
      <c r="J2579" s="28">
        <f t="shared" ref="J2579" si="2280">D2579*J$82</f>
        <v>0</v>
      </c>
      <c r="K2579" s="29"/>
      <c r="L2579" s="29"/>
      <c r="M2579" s="29"/>
      <c r="N2579" s="29"/>
      <c r="O2579" s="29"/>
      <c r="P2579" s="30">
        <f t="shared" si="2276"/>
        <v>0</v>
      </c>
      <c r="Q2579" s="31">
        <f t="shared" si="2274"/>
        <v>0</v>
      </c>
    </row>
    <row r="2580" spans="1:17" x14ac:dyDescent="0.2">
      <c r="A2580" s="10"/>
      <c r="B2580" s="26"/>
      <c r="C2580" s="11">
        <v>2011</v>
      </c>
      <c r="D2580" s="32">
        <f>SPFI_CLB14!$D$34</f>
        <v>0.294348</v>
      </c>
      <c r="E2580" s="32"/>
      <c r="F2580" s="32"/>
      <c r="G2580" s="32"/>
      <c r="H2580" s="32"/>
      <c r="I2580" s="32"/>
      <c r="J2580" s="28">
        <f t="shared" ref="J2580" si="2281">D2580*J$82</f>
        <v>0</v>
      </c>
      <c r="K2580" s="29"/>
      <c r="L2580" s="29"/>
      <c r="M2580" s="29"/>
      <c r="N2580" s="29"/>
      <c r="O2580" s="29"/>
      <c r="P2580" s="30">
        <f t="shared" ref="P2580" si="2282">SUM(J2580:O2580)</f>
        <v>0</v>
      </c>
      <c r="Q2580" s="31">
        <f t="shared" ref="Q2580" si="2283">IF(C$82&gt;0,P2580/C$82,0)</f>
        <v>0</v>
      </c>
    </row>
    <row r="2581" spans="1:17" x14ac:dyDescent="0.2">
      <c r="A2581" s="10"/>
      <c r="B2581" s="26"/>
      <c r="C2581" s="11">
        <v>2012</v>
      </c>
      <c r="D2581" s="32">
        <f>SPFI_CLB14!$D$35</f>
        <v>0.34784100000000001</v>
      </c>
      <c r="E2581" s="32"/>
      <c r="F2581" s="32"/>
      <c r="G2581" s="32"/>
      <c r="H2581" s="32"/>
      <c r="I2581" s="32"/>
      <c r="J2581" s="28">
        <f t="shared" ref="J2581" si="2284">D2581*J$82</f>
        <v>0</v>
      </c>
      <c r="K2581" s="29"/>
      <c r="L2581" s="29"/>
      <c r="M2581" s="29"/>
      <c r="N2581" s="29"/>
      <c r="O2581" s="29"/>
      <c r="P2581" s="30">
        <f t="shared" ref="P2581" si="2285">SUM(J2581:O2581)</f>
        <v>0</v>
      </c>
      <c r="Q2581" s="31">
        <f t="shared" ref="Q2581" si="2286">IF(C$82&gt;0,P2581/C$82,0)</f>
        <v>0</v>
      </c>
    </row>
    <row r="2582" spans="1:17" x14ac:dyDescent="0.2">
      <c r="A2582" s="5" t="s">
        <v>25</v>
      </c>
      <c r="B2582" s="21">
        <v>5</v>
      </c>
      <c r="C2582" s="6">
        <v>1982</v>
      </c>
      <c r="D2582" s="27">
        <f>SPFI_CLB14!$D$5</f>
        <v>0.98153299999999999</v>
      </c>
      <c r="E2582" s="27"/>
      <c r="F2582" s="27"/>
      <c r="G2582" s="27"/>
      <c r="H2582" s="27"/>
      <c r="I2582" s="27"/>
      <c r="J2582" s="33">
        <f t="shared" ref="J2582:J2594" si="2287">D2582*J$83</f>
        <v>0</v>
      </c>
      <c r="K2582" s="27"/>
      <c r="L2582" s="27"/>
      <c r="M2582" s="27"/>
      <c r="N2582" s="27"/>
      <c r="O2582" s="27"/>
      <c r="P2582" s="34">
        <f t="shared" si="2276"/>
        <v>0</v>
      </c>
      <c r="Q2582" s="35">
        <f t="shared" ref="Q2582:Q2598" si="2288">IF(C$83&gt;0,P2582/C$83,0)</f>
        <v>0</v>
      </c>
    </row>
    <row r="2583" spans="1:17" x14ac:dyDescent="0.2">
      <c r="A2583" s="10"/>
      <c r="B2583" s="26"/>
      <c r="C2583" s="11">
        <v>1983</v>
      </c>
      <c r="D2583" s="32">
        <f>SPFI_CLB14!$D$6</f>
        <v>0.93659899999999996</v>
      </c>
      <c r="E2583" s="32"/>
      <c r="F2583" s="32"/>
      <c r="G2583" s="32"/>
      <c r="H2583" s="32"/>
      <c r="I2583" s="32"/>
      <c r="J2583" s="28">
        <f t="shared" si="2287"/>
        <v>0</v>
      </c>
      <c r="K2583" s="29"/>
      <c r="L2583" s="29"/>
      <c r="M2583" s="29"/>
      <c r="N2583" s="29"/>
      <c r="O2583" s="29"/>
      <c r="P2583" s="30">
        <f t="shared" ref="P2583:P2594" si="2289">SUM(J2583:O2583)</f>
        <v>0</v>
      </c>
      <c r="Q2583" s="31">
        <f t="shared" si="2288"/>
        <v>0</v>
      </c>
    </row>
    <row r="2584" spans="1:17" x14ac:dyDescent="0.2">
      <c r="A2584" s="10"/>
      <c r="B2584" s="26"/>
      <c r="C2584" s="11">
        <v>1984</v>
      </c>
      <c r="D2584" s="32">
        <f>SPFI_CLB14!$D$7</f>
        <v>0.92793599999999998</v>
      </c>
      <c r="E2584" s="32"/>
      <c r="F2584" s="32"/>
      <c r="G2584" s="32"/>
      <c r="H2584" s="32"/>
      <c r="I2584" s="32"/>
      <c r="J2584" s="28">
        <f t="shared" si="2287"/>
        <v>0</v>
      </c>
      <c r="K2584" s="29"/>
      <c r="L2584" s="29"/>
      <c r="M2584" s="29"/>
      <c r="N2584" s="29"/>
      <c r="O2584" s="29"/>
      <c r="P2584" s="30">
        <f t="shared" si="2289"/>
        <v>0</v>
      </c>
      <c r="Q2584" s="31">
        <f t="shared" si="2288"/>
        <v>0</v>
      </c>
    </row>
    <row r="2585" spans="1:17" x14ac:dyDescent="0.2">
      <c r="A2585" s="10"/>
      <c r="B2585" s="26"/>
      <c r="C2585" s="11">
        <v>1985</v>
      </c>
      <c r="D2585" s="32">
        <f>SPFI_CLB14!$D$8</f>
        <v>0.90386500000000003</v>
      </c>
      <c r="E2585" s="32"/>
      <c r="F2585" s="32"/>
      <c r="G2585" s="32"/>
      <c r="H2585" s="32"/>
      <c r="I2585" s="32"/>
      <c r="J2585" s="28">
        <f t="shared" si="2287"/>
        <v>0</v>
      </c>
      <c r="K2585" s="29"/>
      <c r="L2585" s="29"/>
      <c r="M2585" s="29"/>
      <c r="N2585" s="29"/>
      <c r="O2585" s="29"/>
      <c r="P2585" s="30">
        <f t="shared" si="2289"/>
        <v>0</v>
      </c>
      <c r="Q2585" s="31">
        <f t="shared" si="2288"/>
        <v>0</v>
      </c>
    </row>
    <row r="2586" spans="1:17" x14ac:dyDescent="0.2">
      <c r="A2586" s="10"/>
      <c r="B2586" s="26"/>
      <c r="C2586" s="11">
        <v>1986</v>
      </c>
      <c r="D2586" s="32">
        <f>SPFI_CLB14!$D$9</f>
        <v>0.73087500000000005</v>
      </c>
      <c r="E2586" s="32"/>
      <c r="F2586" s="32"/>
      <c r="G2586" s="32"/>
      <c r="H2586" s="32"/>
      <c r="I2586" s="32"/>
      <c r="J2586" s="28">
        <f t="shared" si="2287"/>
        <v>0</v>
      </c>
      <c r="K2586" s="29"/>
      <c r="L2586" s="29"/>
      <c r="M2586" s="29"/>
      <c r="N2586" s="29"/>
      <c r="O2586" s="29"/>
      <c r="P2586" s="30">
        <f t="shared" si="2289"/>
        <v>0</v>
      </c>
      <c r="Q2586" s="31">
        <f t="shared" si="2288"/>
        <v>0</v>
      </c>
    </row>
    <row r="2587" spans="1:17" x14ac:dyDescent="0.2">
      <c r="A2587" s="10"/>
      <c r="B2587" s="26"/>
      <c r="C2587" s="11">
        <v>1987</v>
      </c>
      <c r="D2587" s="32">
        <f>SPFI_CLB14!$D$10</f>
        <v>0.71733499999999994</v>
      </c>
      <c r="E2587" s="32"/>
      <c r="F2587" s="32"/>
      <c r="G2587" s="32"/>
      <c r="H2587" s="32"/>
      <c r="I2587" s="32"/>
      <c r="J2587" s="28">
        <f t="shared" si="2287"/>
        <v>0</v>
      </c>
      <c r="K2587" s="29"/>
      <c r="L2587" s="29"/>
      <c r="M2587" s="29"/>
      <c r="N2587" s="29"/>
      <c r="O2587" s="29"/>
      <c r="P2587" s="30">
        <f t="shared" si="2289"/>
        <v>0</v>
      </c>
      <c r="Q2587" s="31">
        <f t="shared" si="2288"/>
        <v>0</v>
      </c>
    </row>
    <row r="2588" spans="1:17" x14ac:dyDescent="0.2">
      <c r="A2588" s="10"/>
      <c r="B2588" s="26"/>
      <c r="C2588" s="11">
        <v>1988</v>
      </c>
      <c r="D2588" s="32">
        <f>SPFI_CLB14!$D$11</f>
        <v>0.64558800000000005</v>
      </c>
      <c r="E2588" s="32"/>
      <c r="F2588" s="32"/>
      <c r="G2588" s="32"/>
      <c r="H2588" s="32"/>
      <c r="I2588" s="32"/>
      <c r="J2588" s="28">
        <f t="shared" si="2287"/>
        <v>0</v>
      </c>
      <c r="K2588" s="29"/>
      <c r="L2588" s="29"/>
      <c r="M2588" s="29"/>
      <c r="N2588" s="29"/>
      <c r="O2588" s="29"/>
      <c r="P2588" s="30">
        <f t="shared" si="2289"/>
        <v>0</v>
      </c>
      <c r="Q2588" s="31">
        <f t="shared" si="2288"/>
        <v>0</v>
      </c>
    </row>
    <row r="2589" spans="1:17" x14ac:dyDescent="0.2">
      <c r="A2589" s="10"/>
      <c r="B2589" s="26"/>
      <c r="C2589" s="11">
        <v>1989</v>
      </c>
      <c r="D2589" s="32">
        <f>SPFI_CLB14!$D$12</f>
        <v>0.65287700000000004</v>
      </c>
      <c r="E2589" s="32"/>
      <c r="F2589" s="32"/>
      <c r="G2589" s="32"/>
      <c r="H2589" s="32"/>
      <c r="I2589" s="32"/>
      <c r="J2589" s="28">
        <f t="shared" si="2287"/>
        <v>0</v>
      </c>
      <c r="K2589" s="29"/>
      <c r="L2589" s="29"/>
      <c r="M2589" s="29"/>
      <c r="N2589" s="29"/>
      <c r="O2589" s="29"/>
      <c r="P2589" s="30">
        <f t="shared" si="2289"/>
        <v>0</v>
      </c>
      <c r="Q2589" s="31">
        <f t="shared" si="2288"/>
        <v>0</v>
      </c>
    </row>
    <row r="2590" spans="1:17" x14ac:dyDescent="0.2">
      <c r="A2590" s="10"/>
      <c r="B2590" s="26"/>
      <c r="C2590" s="11">
        <v>1990</v>
      </c>
      <c r="D2590" s="32">
        <f>SPFI_CLB14!$D$13</f>
        <v>0.56965100000000002</v>
      </c>
      <c r="E2590" s="32"/>
      <c r="F2590" s="32"/>
      <c r="G2590" s="32"/>
      <c r="H2590" s="32"/>
      <c r="I2590" s="32"/>
      <c r="J2590" s="28">
        <f t="shared" si="2287"/>
        <v>0</v>
      </c>
      <c r="K2590" s="29"/>
      <c r="L2590" s="29"/>
      <c r="M2590" s="29"/>
      <c r="N2590" s="29"/>
      <c r="O2590" s="29"/>
      <c r="P2590" s="30">
        <f t="shared" si="2289"/>
        <v>0</v>
      </c>
      <c r="Q2590" s="31">
        <f t="shared" si="2288"/>
        <v>0</v>
      </c>
    </row>
    <row r="2591" spans="1:17" x14ac:dyDescent="0.2">
      <c r="A2591" s="10"/>
      <c r="B2591" s="26"/>
      <c r="C2591" s="11">
        <v>1991</v>
      </c>
      <c r="D2591" s="32">
        <f>SPFI_CLB14!$D$14</f>
        <v>0.62776900000000002</v>
      </c>
      <c r="E2591" s="32"/>
      <c r="F2591" s="32"/>
      <c r="G2591" s="32"/>
      <c r="H2591" s="32"/>
      <c r="I2591" s="32"/>
      <c r="J2591" s="28">
        <f t="shared" si="2287"/>
        <v>0</v>
      </c>
      <c r="K2591" s="29"/>
      <c r="L2591" s="29"/>
      <c r="M2591" s="29"/>
      <c r="N2591" s="29"/>
      <c r="O2591" s="29"/>
      <c r="P2591" s="30">
        <f t="shared" si="2289"/>
        <v>0</v>
      </c>
      <c r="Q2591" s="31">
        <f t="shared" si="2288"/>
        <v>0</v>
      </c>
    </row>
    <row r="2592" spans="1:17" x14ac:dyDescent="0.2">
      <c r="A2592" s="10"/>
      <c r="B2592" s="26"/>
      <c r="C2592" s="11">
        <v>1992</v>
      </c>
      <c r="D2592" s="32">
        <f>SPFI_CLB14!$D$15</f>
        <v>0.43504100000000001</v>
      </c>
      <c r="E2592" s="32"/>
      <c r="F2592" s="32"/>
      <c r="G2592" s="32"/>
      <c r="H2592" s="32"/>
      <c r="I2592" s="32"/>
      <c r="J2592" s="28">
        <f t="shared" si="2287"/>
        <v>0</v>
      </c>
      <c r="K2592" s="29"/>
      <c r="L2592" s="29"/>
      <c r="M2592" s="29"/>
      <c r="N2592" s="29"/>
      <c r="O2592" s="29"/>
      <c r="P2592" s="30">
        <f t="shared" si="2289"/>
        <v>0</v>
      </c>
      <c r="Q2592" s="31">
        <f t="shared" si="2288"/>
        <v>0</v>
      </c>
    </row>
    <row r="2593" spans="1:17" x14ac:dyDescent="0.2">
      <c r="A2593" s="10"/>
      <c r="B2593" s="26"/>
      <c r="C2593" s="11">
        <v>1993</v>
      </c>
      <c r="D2593" s="32">
        <f>SPFI_CLB14!$D$16</f>
        <v>0.499164</v>
      </c>
      <c r="E2593" s="32"/>
      <c r="F2593" s="32"/>
      <c r="G2593" s="32"/>
      <c r="H2593" s="32"/>
      <c r="I2593" s="32"/>
      <c r="J2593" s="28">
        <f t="shared" si="2287"/>
        <v>0</v>
      </c>
      <c r="K2593" s="29"/>
      <c r="L2593" s="29"/>
      <c r="M2593" s="29"/>
      <c r="N2593" s="29"/>
      <c r="O2593" s="29"/>
      <c r="P2593" s="30">
        <f t="shared" si="2289"/>
        <v>0</v>
      </c>
      <c r="Q2593" s="31">
        <f t="shared" si="2288"/>
        <v>0</v>
      </c>
    </row>
    <row r="2594" spans="1:17" x14ac:dyDescent="0.2">
      <c r="A2594" s="10"/>
      <c r="B2594" s="26" t="s">
        <v>48</v>
      </c>
      <c r="C2594" s="11">
        <v>1994</v>
      </c>
      <c r="D2594" s="32">
        <f>SPFI_CLB14!$D$17</f>
        <v>0.59591300000000003</v>
      </c>
      <c r="E2594" s="32"/>
      <c r="F2594" s="32"/>
      <c r="G2594" s="32"/>
      <c r="H2594" s="32"/>
      <c r="I2594" s="32"/>
      <c r="J2594" s="28">
        <f t="shared" si="2287"/>
        <v>0</v>
      </c>
      <c r="K2594" s="29"/>
      <c r="L2594" s="29"/>
      <c r="M2594" s="29"/>
      <c r="N2594" s="29"/>
      <c r="O2594" s="29"/>
      <c r="P2594" s="30">
        <f t="shared" si="2289"/>
        <v>0</v>
      </c>
      <c r="Q2594" s="31">
        <f t="shared" si="2288"/>
        <v>0</v>
      </c>
    </row>
    <row r="2595" spans="1:17" x14ac:dyDescent="0.2">
      <c r="A2595" s="10"/>
      <c r="B2595" s="26"/>
      <c r="C2595" s="11">
        <v>1995</v>
      </c>
      <c r="D2595" s="32">
        <f>SPFI_CLB14!$D$18</f>
        <v>0.25400800000000001</v>
      </c>
      <c r="E2595" s="32"/>
      <c r="F2595" s="32"/>
      <c r="G2595" s="32"/>
      <c r="H2595" s="32"/>
      <c r="I2595" s="32"/>
      <c r="J2595" s="28">
        <f t="shared" ref="J2595" si="2290">D2595*J$83</f>
        <v>0</v>
      </c>
      <c r="K2595" s="29"/>
      <c r="L2595" s="29"/>
      <c r="M2595" s="29"/>
      <c r="N2595" s="29"/>
      <c r="O2595" s="29"/>
      <c r="P2595" s="30">
        <f>SUM(J2595:O2595)</f>
        <v>0</v>
      </c>
      <c r="Q2595" s="31">
        <f t="shared" si="2288"/>
        <v>0</v>
      </c>
    </row>
    <row r="2596" spans="1:17" x14ac:dyDescent="0.2">
      <c r="A2596" s="10"/>
      <c r="B2596" s="26"/>
      <c r="C2596" s="11">
        <v>1996</v>
      </c>
      <c r="D2596" s="32">
        <f>SPFI_CLB14!$D$19</f>
        <v>0</v>
      </c>
      <c r="E2596" s="32"/>
      <c r="F2596" s="32"/>
      <c r="G2596" s="32"/>
      <c r="H2596" s="32"/>
      <c r="I2596" s="32"/>
      <c r="J2596" s="28">
        <f t="shared" ref="J2596" si="2291">D2596*J$83</f>
        <v>0</v>
      </c>
      <c r="K2596" s="29"/>
      <c r="L2596" s="29"/>
      <c r="M2596" s="29"/>
      <c r="N2596" s="29"/>
      <c r="O2596" s="29"/>
      <c r="P2596" s="30">
        <f>SUM(J2596:O2596)</f>
        <v>0</v>
      </c>
      <c r="Q2596" s="31">
        <f t="shared" si="2288"/>
        <v>0</v>
      </c>
    </row>
    <row r="2597" spans="1:17" x14ac:dyDescent="0.2">
      <c r="A2597" s="10"/>
      <c r="B2597" s="26"/>
      <c r="C2597" s="11">
        <v>1997</v>
      </c>
      <c r="D2597" s="32">
        <f>SPFI_CLB14!$D$20</f>
        <v>0.201487</v>
      </c>
      <c r="E2597" s="32"/>
      <c r="F2597" s="32"/>
      <c r="G2597" s="32"/>
      <c r="H2597" s="32"/>
      <c r="I2597" s="32"/>
      <c r="J2597" s="28">
        <f t="shared" ref="J2597" si="2292">D2597*J$83</f>
        <v>0</v>
      </c>
      <c r="K2597" s="29"/>
      <c r="L2597" s="29"/>
      <c r="M2597" s="29"/>
      <c r="N2597" s="29"/>
      <c r="O2597" s="29"/>
      <c r="P2597" s="30">
        <f>SUM(J2597:O2597)</f>
        <v>0</v>
      </c>
      <c r="Q2597" s="31">
        <f t="shared" si="2288"/>
        <v>0</v>
      </c>
    </row>
    <row r="2598" spans="1:17" x14ac:dyDescent="0.2">
      <c r="A2598" s="10"/>
      <c r="B2598" s="26"/>
      <c r="C2598" s="11">
        <v>1998</v>
      </c>
      <c r="D2598" s="32">
        <f>SPFI_CLB14!$D$21</f>
        <v>0.37506400000000001</v>
      </c>
      <c r="E2598" s="32"/>
      <c r="F2598" s="32"/>
      <c r="G2598" s="32"/>
      <c r="H2598" s="32"/>
      <c r="I2598" s="32"/>
      <c r="J2598" s="28">
        <f t="shared" ref="J2598" si="2293">D2598*J$83</f>
        <v>0</v>
      </c>
      <c r="K2598" s="29"/>
      <c r="L2598" s="29"/>
      <c r="M2598" s="29"/>
      <c r="N2598" s="29"/>
      <c r="O2598" s="29"/>
      <c r="P2598" s="30">
        <f>SUM(J2598:O2598)</f>
        <v>0</v>
      </c>
      <c r="Q2598" s="31">
        <f t="shared" si="2288"/>
        <v>0</v>
      </c>
    </row>
    <row r="2599" spans="1:17" x14ac:dyDescent="0.2">
      <c r="A2599" s="10"/>
      <c r="B2599" s="26"/>
      <c r="C2599" s="11">
        <v>1999</v>
      </c>
      <c r="D2599" s="32">
        <f>SPFI_CLB14!$D$22</f>
        <v>0.29823699999999997</v>
      </c>
      <c r="E2599" s="32"/>
      <c r="F2599" s="32"/>
      <c r="G2599" s="32"/>
      <c r="H2599" s="32"/>
      <c r="I2599" s="32"/>
      <c r="J2599" s="28">
        <f t="shared" ref="J2599" si="2294">D2599*J$83</f>
        <v>0</v>
      </c>
      <c r="K2599" s="29"/>
      <c r="L2599" s="29"/>
      <c r="M2599" s="29"/>
      <c r="N2599" s="29"/>
      <c r="O2599" s="29"/>
      <c r="P2599" s="30">
        <f>SUM(J2599:O2599)</f>
        <v>0</v>
      </c>
      <c r="Q2599" s="31">
        <f t="shared" ref="Q2599:Q2604" si="2295">IF(C$83&gt;0,P2599/C$83,0)</f>
        <v>0</v>
      </c>
    </row>
    <row r="2600" spans="1:17" x14ac:dyDescent="0.2">
      <c r="A2600" s="10"/>
      <c r="B2600" s="26"/>
      <c r="C2600" s="11">
        <v>2000</v>
      </c>
      <c r="D2600" s="32">
        <f>SPFI_CLB14!$D$23</f>
        <v>8.4414000000000003E-2</v>
      </c>
      <c r="E2600" s="32"/>
      <c r="F2600" s="32"/>
      <c r="G2600" s="32"/>
      <c r="H2600" s="32"/>
      <c r="I2600" s="32"/>
      <c r="J2600" s="28">
        <f t="shared" ref="J2600" si="2296">D2600*J$83</f>
        <v>0</v>
      </c>
      <c r="K2600" s="29"/>
      <c r="L2600" s="29"/>
      <c r="M2600" s="29"/>
      <c r="N2600" s="29"/>
      <c r="O2600" s="29"/>
      <c r="P2600" s="30">
        <f t="shared" ref="P2600:P2605" si="2297">SUM(J2600:O2600)</f>
        <v>0</v>
      </c>
      <c r="Q2600" s="31">
        <f t="shared" si="2295"/>
        <v>0</v>
      </c>
    </row>
    <row r="2601" spans="1:17" x14ac:dyDescent="0.2">
      <c r="A2601" s="10"/>
      <c r="B2601" s="26"/>
      <c r="C2601" s="11">
        <v>2001</v>
      </c>
      <c r="D2601" s="32">
        <f>SPFI_CLB14!$D$24</f>
        <v>7.8909000000000007E-2</v>
      </c>
      <c r="E2601" s="32"/>
      <c r="F2601" s="32"/>
      <c r="G2601" s="32"/>
      <c r="H2601" s="32"/>
      <c r="I2601" s="32"/>
      <c r="J2601" s="28">
        <f t="shared" ref="J2601" si="2298">D2601*J$83</f>
        <v>0</v>
      </c>
      <c r="K2601" s="29"/>
      <c r="L2601" s="29"/>
      <c r="M2601" s="29"/>
      <c r="N2601" s="29"/>
      <c r="O2601" s="29"/>
      <c r="P2601" s="30">
        <f t="shared" si="2297"/>
        <v>0</v>
      </c>
      <c r="Q2601" s="31">
        <f t="shared" si="2295"/>
        <v>0</v>
      </c>
    </row>
    <row r="2602" spans="1:17" x14ac:dyDescent="0.2">
      <c r="A2602" s="10"/>
      <c r="B2602" s="26"/>
      <c r="C2602" s="11">
        <v>2002</v>
      </c>
      <c r="D2602" s="32">
        <f>SPFI_CLB14!$D$25</f>
        <v>0.29974699999999999</v>
      </c>
      <c r="E2602" s="32"/>
      <c r="F2602" s="32"/>
      <c r="G2602" s="32"/>
      <c r="H2602" s="32"/>
      <c r="I2602" s="32"/>
      <c r="J2602" s="28">
        <f t="shared" ref="J2602" si="2299">D2602*J$83</f>
        <v>0</v>
      </c>
      <c r="K2602" s="29"/>
      <c r="L2602" s="29"/>
      <c r="M2602" s="29"/>
      <c r="N2602" s="29"/>
      <c r="O2602" s="29"/>
      <c r="P2602" s="30">
        <f t="shared" si="2297"/>
        <v>0</v>
      </c>
      <c r="Q2602" s="31">
        <f t="shared" si="2295"/>
        <v>0</v>
      </c>
    </row>
    <row r="2603" spans="1:17" x14ac:dyDescent="0.2">
      <c r="A2603" s="10"/>
      <c r="B2603" s="26"/>
      <c r="C2603" s="11">
        <v>2003</v>
      </c>
      <c r="D2603" s="32">
        <f>SPFI_CLB14!$D$26</f>
        <v>0.20691100000000001</v>
      </c>
      <c r="E2603" s="32"/>
      <c r="F2603" s="32"/>
      <c r="G2603" s="32"/>
      <c r="H2603" s="32"/>
      <c r="I2603" s="32"/>
      <c r="J2603" s="28">
        <f t="shared" ref="J2603" si="2300">D2603*J$83</f>
        <v>0</v>
      </c>
      <c r="K2603" s="29"/>
      <c r="L2603" s="29"/>
      <c r="M2603" s="29"/>
      <c r="N2603" s="29"/>
      <c r="O2603" s="29"/>
      <c r="P2603" s="30">
        <f t="shared" si="2297"/>
        <v>0</v>
      </c>
      <c r="Q2603" s="31">
        <f t="shared" si="2295"/>
        <v>0</v>
      </c>
    </row>
    <row r="2604" spans="1:17" x14ac:dyDescent="0.2">
      <c r="A2604" s="10"/>
      <c r="B2604" s="26"/>
      <c r="C2604" s="11">
        <v>2004</v>
      </c>
      <c r="D2604" s="32">
        <f>SPFI_CLB14!$D$27</f>
        <v>0.269237</v>
      </c>
      <c r="E2604" s="32"/>
      <c r="F2604" s="32"/>
      <c r="G2604" s="32"/>
      <c r="H2604" s="32"/>
      <c r="I2604" s="32"/>
      <c r="J2604" s="28">
        <f t="shared" ref="J2604" si="2301">D2604*J$83</f>
        <v>0</v>
      </c>
      <c r="K2604" s="29"/>
      <c r="L2604" s="29"/>
      <c r="M2604" s="29"/>
      <c r="N2604" s="29"/>
      <c r="O2604" s="29"/>
      <c r="P2604" s="30">
        <f t="shared" si="2297"/>
        <v>0</v>
      </c>
      <c r="Q2604" s="31">
        <f t="shared" si="2295"/>
        <v>0</v>
      </c>
    </row>
    <row r="2605" spans="1:17" x14ac:dyDescent="0.2">
      <c r="A2605" s="10"/>
      <c r="B2605" s="26"/>
      <c r="C2605" s="11">
        <v>2005</v>
      </c>
      <c r="D2605" s="32">
        <f>SPFI_CLB14!$D$28</f>
        <v>0.37848700000000002</v>
      </c>
      <c r="E2605" s="32"/>
      <c r="F2605" s="32"/>
      <c r="G2605" s="32"/>
      <c r="H2605" s="32"/>
      <c r="I2605" s="32"/>
      <c r="J2605" s="28">
        <f t="shared" ref="J2605" si="2302">D2605*J$83</f>
        <v>0</v>
      </c>
      <c r="K2605" s="29"/>
      <c r="L2605" s="29"/>
      <c r="M2605" s="29"/>
      <c r="N2605" s="29"/>
      <c r="O2605" s="29"/>
      <c r="P2605" s="30">
        <f t="shared" si="2297"/>
        <v>0</v>
      </c>
      <c r="Q2605" s="31">
        <f t="shared" ref="Q2605:Q2610" si="2303">IF(C$83&gt;0,P2605/C$83,0)</f>
        <v>0</v>
      </c>
    </row>
    <row r="2606" spans="1:17" x14ac:dyDescent="0.2">
      <c r="A2606" s="10"/>
      <c r="B2606" s="26"/>
      <c r="C2606" s="11">
        <v>2006</v>
      </c>
      <c r="D2606" s="32">
        <f>SPFI_CLB14!$D$29</f>
        <v>0.381023</v>
      </c>
      <c r="E2606" s="32"/>
      <c r="F2606" s="32"/>
      <c r="G2606" s="32"/>
      <c r="H2606" s="32"/>
      <c r="I2606" s="32"/>
      <c r="J2606" s="28">
        <f t="shared" ref="J2606" si="2304">D2606*J$83</f>
        <v>0</v>
      </c>
      <c r="K2606" s="29"/>
      <c r="L2606" s="29"/>
      <c r="M2606" s="29"/>
      <c r="N2606" s="29"/>
      <c r="O2606" s="29"/>
      <c r="P2606" s="30">
        <f t="shared" ref="P2606:P2613" si="2305">SUM(J2606:O2606)</f>
        <v>0</v>
      </c>
      <c r="Q2606" s="31">
        <f t="shared" si="2303"/>
        <v>0</v>
      </c>
    </row>
    <row r="2607" spans="1:17" x14ac:dyDescent="0.2">
      <c r="A2607" s="10"/>
      <c r="B2607" s="26"/>
      <c r="C2607" s="11">
        <v>2007</v>
      </c>
      <c r="D2607" s="32">
        <f>SPFI_CLB14!$D$30</f>
        <v>0.356512</v>
      </c>
      <c r="E2607" s="32"/>
      <c r="F2607" s="32"/>
      <c r="G2607" s="32"/>
      <c r="H2607" s="32"/>
      <c r="I2607" s="32"/>
      <c r="J2607" s="28">
        <f t="shared" ref="J2607" si="2306">D2607*J$83</f>
        <v>0</v>
      </c>
      <c r="K2607" s="29"/>
      <c r="L2607" s="29"/>
      <c r="M2607" s="29"/>
      <c r="N2607" s="29"/>
      <c r="O2607" s="29"/>
      <c r="P2607" s="30">
        <f t="shared" si="2305"/>
        <v>0</v>
      </c>
      <c r="Q2607" s="31">
        <f t="shared" si="2303"/>
        <v>0</v>
      </c>
    </row>
    <row r="2608" spans="1:17" x14ac:dyDescent="0.2">
      <c r="A2608" s="10"/>
      <c r="B2608" s="26"/>
      <c r="C2608" s="11">
        <v>2008</v>
      </c>
      <c r="D2608" s="32">
        <f>SPFI_CLB14!$D$31</f>
        <v>0.25494499999999998</v>
      </c>
      <c r="E2608" s="32"/>
      <c r="F2608" s="32"/>
      <c r="G2608" s="32"/>
      <c r="H2608" s="32"/>
      <c r="I2608" s="32"/>
      <c r="J2608" s="28">
        <f t="shared" ref="J2608" si="2307">D2608*J$83</f>
        <v>0</v>
      </c>
      <c r="K2608" s="29"/>
      <c r="L2608" s="29"/>
      <c r="M2608" s="29"/>
      <c r="N2608" s="29"/>
      <c r="O2608" s="29"/>
      <c r="P2608" s="30">
        <f t="shared" si="2305"/>
        <v>0</v>
      </c>
      <c r="Q2608" s="31">
        <f t="shared" si="2303"/>
        <v>0</v>
      </c>
    </row>
    <row r="2609" spans="1:17" x14ac:dyDescent="0.2">
      <c r="A2609" s="10"/>
      <c r="B2609" s="26"/>
      <c r="C2609" s="11">
        <v>2009</v>
      </c>
      <c r="D2609" s="32">
        <f>SPFI_CLB14!$D$32</f>
        <v>0.52383000000000002</v>
      </c>
      <c r="E2609" s="32"/>
      <c r="F2609" s="32"/>
      <c r="G2609" s="32"/>
      <c r="H2609" s="32"/>
      <c r="I2609" s="32"/>
      <c r="J2609" s="28">
        <f t="shared" ref="J2609" si="2308">D2609*J$83</f>
        <v>0</v>
      </c>
      <c r="K2609" s="29"/>
      <c r="L2609" s="29"/>
      <c r="M2609" s="29"/>
      <c r="N2609" s="29"/>
      <c r="O2609" s="29"/>
      <c r="P2609" s="30">
        <f t="shared" si="2305"/>
        <v>0</v>
      </c>
      <c r="Q2609" s="31">
        <f t="shared" si="2303"/>
        <v>0</v>
      </c>
    </row>
    <row r="2610" spans="1:17" x14ac:dyDescent="0.2">
      <c r="A2610" s="10"/>
      <c r="B2610" s="26"/>
      <c r="C2610" s="11">
        <v>2010</v>
      </c>
      <c r="D2610" s="32">
        <f>SPFI_CLB14!$D$33</f>
        <v>0.31394</v>
      </c>
      <c r="E2610" s="32"/>
      <c r="F2610" s="32"/>
      <c r="G2610" s="32"/>
      <c r="H2610" s="32"/>
      <c r="I2610" s="32"/>
      <c r="J2610" s="28">
        <f t="shared" ref="J2610" si="2309">D2610*J$83</f>
        <v>0</v>
      </c>
      <c r="K2610" s="29"/>
      <c r="L2610" s="29"/>
      <c r="M2610" s="29"/>
      <c r="N2610" s="29"/>
      <c r="O2610" s="29"/>
      <c r="P2610" s="30">
        <f t="shared" si="2305"/>
        <v>0</v>
      </c>
      <c r="Q2610" s="31">
        <f t="shared" si="2303"/>
        <v>0</v>
      </c>
    </row>
    <row r="2611" spans="1:17" x14ac:dyDescent="0.2">
      <c r="A2611" s="10"/>
      <c r="B2611" s="26"/>
      <c r="C2611" s="11">
        <v>2011</v>
      </c>
      <c r="D2611" s="32">
        <f>SPFI_CLB14!$D$34</f>
        <v>0.294348</v>
      </c>
      <c r="E2611" s="32"/>
      <c r="F2611" s="32"/>
      <c r="G2611" s="32"/>
      <c r="H2611" s="32"/>
      <c r="I2611" s="32"/>
      <c r="J2611" s="28">
        <f t="shared" ref="J2611" si="2310">D2611*J$83</f>
        <v>0</v>
      </c>
      <c r="K2611" s="29"/>
      <c r="L2611" s="29"/>
      <c r="M2611" s="29"/>
      <c r="N2611" s="29"/>
      <c r="O2611" s="29"/>
      <c r="P2611" s="30">
        <f t="shared" ref="P2611" si="2311">SUM(J2611:O2611)</f>
        <v>0</v>
      </c>
      <c r="Q2611" s="31">
        <f t="shared" ref="Q2611" si="2312">IF(C$83&gt;0,P2611/C$83,0)</f>
        <v>0</v>
      </c>
    </row>
    <row r="2612" spans="1:17" x14ac:dyDescent="0.2">
      <c r="A2612" s="10"/>
      <c r="B2612" s="26"/>
      <c r="C2612" s="11">
        <v>2012</v>
      </c>
      <c r="D2612" s="32">
        <f>SPFI_CLB14!$D$35</f>
        <v>0.34784100000000001</v>
      </c>
      <c r="E2612" s="32"/>
      <c r="F2612" s="32"/>
      <c r="G2612" s="32"/>
      <c r="H2612" s="32"/>
      <c r="I2612" s="32"/>
      <c r="J2612" s="28">
        <f t="shared" ref="J2612" si="2313">D2612*J$83</f>
        <v>0</v>
      </c>
      <c r="K2612" s="29"/>
      <c r="L2612" s="29"/>
      <c r="M2612" s="29"/>
      <c r="N2612" s="29"/>
      <c r="O2612" s="29"/>
      <c r="P2612" s="30">
        <f t="shared" ref="P2612" si="2314">SUM(J2612:O2612)</f>
        <v>0</v>
      </c>
      <c r="Q2612" s="31">
        <f t="shared" ref="Q2612" si="2315">IF(C$83&gt;0,P2612/C$83,0)</f>
        <v>0</v>
      </c>
    </row>
    <row r="2613" spans="1:17" x14ac:dyDescent="0.2">
      <c r="A2613" s="5" t="s">
        <v>26</v>
      </c>
      <c r="B2613" s="21">
        <v>2</v>
      </c>
      <c r="C2613" s="6">
        <v>1982</v>
      </c>
      <c r="D2613" s="27">
        <f>SPFI_CLB14!$D$5</f>
        <v>0.98153299999999999</v>
      </c>
      <c r="E2613" s="27"/>
      <c r="F2613" s="27"/>
      <c r="G2613" s="27"/>
      <c r="H2613" s="27"/>
      <c r="I2613" s="27"/>
      <c r="J2613" s="33">
        <f t="shared" ref="J2613:J2625" si="2316">D2613*J$84</f>
        <v>0</v>
      </c>
      <c r="K2613" s="27"/>
      <c r="L2613" s="27"/>
      <c r="M2613" s="27"/>
      <c r="N2613" s="27"/>
      <c r="O2613" s="27"/>
      <c r="P2613" s="34">
        <f t="shared" si="2305"/>
        <v>0</v>
      </c>
      <c r="Q2613" s="35">
        <f t="shared" ref="Q2613:Q2629" si="2317">IF(C$84&gt;0,P2613/C$84,0)</f>
        <v>0</v>
      </c>
    </row>
    <row r="2614" spans="1:17" x14ac:dyDescent="0.2">
      <c r="A2614" s="10"/>
      <c r="B2614" s="26"/>
      <c r="C2614" s="11">
        <v>1983</v>
      </c>
      <c r="D2614" s="32">
        <f>SPFI_CLB14!$D$6</f>
        <v>0.93659899999999996</v>
      </c>
      <c r="E2614" s="32"/>
      <c r="F2614" s="32"/>
      <c r="G2614" s="32"/>
      <c r="H2614" s="32"/>
      <c r="I2614" s="32"/>
      <c r="J2614" s="28">
        <f t="shared" si="2316"/>
        <v>0</v>
      </c>
      <c r="K2614" s="29"/>
      <c r="L2614" s="29"/>
      <c r="M2614" s="29"/>
      <c r="N2614" s="29"/>
      <c r="O2614" s="29"/>
      <c r="P2614" s="30">
        <f t="shared" ref="P2614:P2625" si="2318">SUM(J2614:O2614)</f>
        <v>0</v>
      </c>
      <c r="Q2614" s="31">
        <f t="shared" si="2317"/>
        <v>0</v>
      </c>
    </row>
    <row r="2615" spans="1:17" x14ac:dyDescent="0.2">
      <c r="A2615" s="10"/>
      <c r="B2615" s="26"/>
      <c r="C2615" s="11">
        <v>1984</v>
      </c>
      <c r="D2615" s="32">
        <f>SPFI_CLB14!$D$7</f>
        <v>0.92793599999999998</v>
      </c>
      <c r="E2615" s="32"/>
      <c r="F2615" s="32"/>
      <c r="G2615" s="32"/>
      <c r="H2615" s="32"/>
      <c r="I2615" s="32"/>
      <c r="J2615" s="28">
        <f t="shared" si="2316"/>
        <v>0</v>
      </c>
      <c r="K2615" s="29"/>
      <c r="L2615" s="29"/>
      <c r="M2615" s="29"/>
      <c r="N2615" s="29"/>
      <c r="O2615" s="29"/>
      <c r="P2615" s="30">
        <f t="shared" si="2318"/>
        <v>0</v>
      </c>
      <c r="Q2615" s="31">
        <f t="shared" si="2317"/>
        <v>0</v>
      </c>
    </row>
    <row r="2616" spans="1:17" x14ac:dyDescent="0.2">
      <c r="A2616" s="10"/>
      <c r="B2616" s="26"/>
      <c r="C2616" s="11">
        <v>1985</v>
      </c>
      <c r="D2616" s="32">
        <f>SPFI_CLB14!$D$8</f>
        <v>0.90386500000000003</v>
      </c>
      <c r="E2616" s="32"/>
      <c r="F2616" s="32"/>
      <c r="G2616" s="32"/>
      <c r="H2616" s="32"/>
      <c r="I2616" s="32"/>
      <c r="J2616" s="28">
        <f t="shared" si="2316"/>
        <v>0</v>
      </c>
      <c r="K2616" s="29"/>
      <c r="L2616" s="29"/>
      <c r="M2616" s="29"/>
      <c r="N2616" s="29"/>
      <c r="O2616" s="29"/>
      <c r="P2616" s="30">
        <f t="shared" si="2318"/>
        <v>0</v>
      </c>
      <c r="Q2616" s="31">
        <f t="shared" si="2317"/>
        <v>0</v>
      </c>
    </row>
    <row r="2617" spans="1:17" x14ac:dyDescent="0.2">
      <c r="A2617" s="10"/>
      <c r="B2617" s="26"/>
      <c r="C2617" s="11">
        <v>1986</v>
      </c>
      <c r="D2617" s="32">
        <f>SPFI_CLB14!$D$9</f>
        <v>0.73087500000000005</v>
      </c>
      <c r="E2617" s="32"/>
      <c r="F2617" s="32"/>
      <c r="G2617" s="32"/>
      <c r="H2617" s="32"/>
      <c r="I2617" s="32"/>
      <c r="J2617" s="28">
        <f t="shared" si="2316"/>
        <v>0</v>
      </c>
      <c r="K2617" s="29"/>
      <c r="L2617" s="29"/>
      <c r="M2617" s="29"/>
      <c r="N2617" s="29"/>
      <c r="O2617" s="29"/>
      <c r="P2617" s="30">
        <f t="shared" si="2318"/>
        <v>0</v>
      </c>
      <c r="Q2617" s="31">
        <f t="shared" si="2317"/>
        <v>0</v>
      </c>
    </row>
    <row r="2618" spans="1:17" x14ac:dyDescent="0.2">
      <c r="A2618" s="10"/>
      <c r="B2618" s="26"/>
      <c r="C2618" s="11">
        <v>1987</v>
      </c>
      <c r="D2618" s="32">
        <f>SPFI_CLB14!$D$10</f>
        <v>0.71733499999999994</v>
      </c>
      <c r="E2618" s="32"/>
      <c r="F2618" s="32"/>
      <c r="G2618" s="32"/>
      <c r="H2618" s="32"/>
      <c r="I2618" s="32"/>
      <c r="J2618" s="28">
        <f t="shared" si="2316"/>
        <v>0</v>
      </c>
      <c r="K2618" s="29"/>
      <c r="L2618" s="29"/>
      <c r="M2618" s="29"/>
      <c r="N2618" s="29"/>
      <c r="O2618" s="29"/>
      <c r="P2618" s="30">
        <f t="shared" si="2318"/>
        <v>0</v>
      </c>
      <c r="Q2618" s="31">
        <f t="shared" si="2317"/>
        <v>0</v>
      </c>
    </row>
    <row r="2619" spans="1:17" x14ac:dyDescent="0.2">
      <c r="A2619" s="10"/>
      <c r="B2619" s="26"/>
      <c r="C2619" s="11">
        <v>1988</v>
      </c>
      <c r="D2619" s="32">
        <f>SPFI_CLB14!$D$11</f>
        <v>0.64558800000000005</v>
      </c>
      <c r="E2619" s="32"/>
      <c r="F2619" s="32"/>
      <c r="G2619" s="32"/>
      <c r="H2619" s="32"/>
      <c r="I2619" s="32"/>
      <c r="J2619" s="28">
        <f t="shared" si="2316"/>
        <v>0</v>
      </c>
      <c r="K2619" s="29"/>
      <c r="L2619" s="29"/>
      <c r="M2619" s="29"/>
      <c r="N2619" s="29"/>
      <c r="O2619" s="29"/>
      <c r="P2619" s="30">
        <f t="shared" si="2318"/>
        <v>0</v>
      </c>
      <c r="Q2619" s="31">
        <f t="shared" si="2317"/>
        <v>0</v>
      </c>
    </row>
    <row r="2620" spans="1:17" x14ac:dyDescent="0.2">
      <c r="A2620" s="10"/>
      <c r="B2620" s="26"/>
      <c r="C2620" s="11">
        <v>1989</v>
      </c>
      <c r="D2620" s="32">
        <f>SPFI_CLB14!$D$12</f>
        <v>0.65287700000000004</v>
      </c>
      <c r="E2620" s="32"/>
      <c r="F2620" s="32"/>
      <c r="G2620" s="32"/>
      <c r="H2620" s="32"/>
      <c r="I2620" s="32"/>
      <c r="J2620" s="28">
        <f t="shared" si="2316"/>
        <v>0</v>
      </c>
      <c r="K2620" s="29"/>
      <c r="L2620" s="29"/>
      <c r="M2620" s="29"/>
      <c r="N2620" s="29"/>
      <c r="O2620" s="29"/>
      <c r="P2620" s="30">
        <f t="shared" si="2318"/>
        <v>0</v>
      </c>
      <c r="Q2620" s="31">
        <f t="shared" si="2317"/>
        <v>0</v>
      </c>
    </row>
    <row r="2621" spans="1:17" x14ac:dyDescent="0.2">
      <c r="A2621" s="10"/>
      <c r="B2621" s="26"/>
      <c r="C2621" s="11">
        <v>1990</v>
      </c>
      <c r="D2621" s="32">
        <f>SPFI_CLB14!$D$13</f>
        <v>0.56965100000000002</v>
      </c>
      <c r="E2621" s="32"/>
      <c r="F2621" s="32"/>
      <c r="G2621" s="32"/>
      <c r="H2621" s="32"/>
      <c r="I2621" s="32"/>
      <c r="J2621" s="28">
        <f t="shared" si="2316"/>
        <v>0</v>
      </c>
      <c r="K2621" s="29"/>
      <c r="L2621" s="29"/>
      <c r="M2621" s="29"/>
      <c r="N2621" s="29"/>
      <c r="O2621" s="29"/>
      <c r="P2621" s="30">
        <f t="shared" si="2318"/>
        <v>0</v>
      </c>
      <c r="Q2621" s="31">
        <f t="shared" si="2317"/>
        <v>0</v>
      </c>
    </row>
    <row r="2622" spans="1:17" x14ac:dyDescent="0.2">
      <c r="A2622" s="10"/>
      <c r="B2622" s="26"/>
      <c r="C2622" s="11">
        <v>1991</v>
      </c>
      <c r="D2622" s="32">
        <f>SPFI_CLB14!$D$14</f>
        <v>0.62776900000000002</v>
      </c>
      <c r="E2622" s="32"/>
      <c r="F2622" s="32"/>
      <c r="G2622" s="32"/>
      <c r="H2622" s="32"/>
      <c r="I2622" s="32"/>
      <c r="J2622" s="28">
        <f t="shared" si="2316"/>
        <v>0</v>
      </c>
      <c r="K2622" s="29"/>
      <c r="L2622" s="29"/>
      <c r="M2622" s="29"/>
      <c r="N2622" s="29"/>
      <c r="O2622" s="29"/>
      <c r="P2622" s="30">
        <f t="shared" si="2318"/>
        <v>0</v>
      </c>
      <c r="Q2622" s="31">
        <f t="shared" si="2317"/>
        <v>0</v>
      </c>
    </row>
    <row r="2623" spans="1:17" x14ac:dyDescent="0.2">
      <c r="A2623" s="10"/>
      <c r="B2623" s="26"/>
      <c r="C2623" s="11">
        <v>1992</v>
      </c>
      <c r="D2623" s="32">
        <f>SPFI_CLB14!$D$15</f>
        <v>0.43504100000000001</v>
      </c>
      <c r="E2623" s="32"/>
      <c r="F2623" s="32"/>
      <c r="G2623" s="32"/>
      <c r="H2623" s="32"/>
      <c r="I2623" s="32"/>
      <c r="J2623" s="28">
        <f t="shared" si="2316"/>
        <v>0</v>
      </c>
      <c r="K2623" s="29"/>
      <c r="L2623" s="29"/>
      <c r="M2623" s="29"/>
      <c r="N2623" s="29"/>
      <c r="O2623" s="29"/>
      <c r="P2623" s="30">
        <f t="shared" si="2318"/>
        <v>0</v>
      </c>
      <c r="Q2623" s="31">
        <f t="shared" si="2317"/>
        <v>0</v>
      </c>
    </row>
    <row r="2624" spans="1:17" x14ac:dyDescent="0.2">
      <c r="A2624" s="10"/>
      <c r="B2624" s="26"/>
      <c r="C2624" s="11">
        <v>1993</v>
      </c>
      <c r="D2624" s="32">
        <f>SPFI_CLB14!$D$16</f>
        <v>0.499164</v>
      </c>
      <c r="E2624" s="32"/>
      <c r="F2624" s="32"/>
      <c r="G2624" s="32"/>
      <c r="H2624" s="32"/>
      <c r="I2624" s="32"/>
      <c r="J2624" s="28">
        <f t="shared" si="2316"/>
        <v>0</v>
      </c>
      <c r="K2624" s="29"/>
      <c r="L2624" s="29"/>
      <c r="M2624" s="29"/>
      <c r="N2624" s="29"/>
      <c r="O2624" s="29"/>
      <c r="P2624" s="30">
        <f t="shared" si="2318"/>
        <v>0</v>
      </c>
      <c r="Q2624" s="31">
        <f t="shared" si="2317"/>
        <v>0</v>
      </c>
    </row>
    <row r="2625" spans="1:17" x14ac:dyDescent="0.2">
      <c r="A2625" s="10"/>
      <c r="B2625" s="26"/>
      <c r="C2625" s="11">
        <v>1994</v>
      </c>
      <c r="D2625" s="32">
        <f>SPFI_CLB14!$D$17</f>
        <v>0.59591300000000003</v>
      </c>
      <c r="E2625" s="32"/>
      <c r="F2625" s="32"/>
      <c r="G2625" s="32"/>
      <c r="H2625" s="32"/>
      <c r="I2625" s="32"/>
      <c r="J2625" s="28">
        <f t="shared" si="2316"/>
        <v>0</v>
      </c>
      <c r="K2625" s="29"/>
      <c r="L2625" s="29"/>
      <c r="M2625" s="29"/>
      <c r="N2625" s="29"/>
      <c r="O2625" s="29"/>
      <c r="P2625" s="30">
        <f t="shared" si="2318"/>
        <v>0</v>
      </c>
      <c r="Q2625" s="31">
        <f t="shared" si="2317"/>
        <v>0</v>
      </c>
    </row>
    <row r="2626" spans="1:17" x14ac:dyDescent="0.2">
      <c r="A2626" s="10"/>
      <c r="B2626" s="26"/>
      <c r="C2626" s="11">
        <v>1995</v>
      </c>
      <c r="D2626" s="32">
        <f>SPFI_CLB14!$D$18</f>
        <v>0.25400800000000001</v>
      </c>
      <c r="E2626" s="32"/>
      <c r="F2626" s="32"/>
      <c r="G2626" s="32"/>
      <c r="H2626" s="32"/>
      <c r="I2626" s="32"/>
      <c r="J2626" s="28">
        <f t="shared" ref="J2626" si="2319">D2626*J$84</f>
        <v>0</v>
      </c>
      <c r="K2626" s="29"/>
      <c r="L2626" s="29"/>
      <c r="M2626" s="29"/>
      <c r="N2626" s="29"/>
      <c r="O2626" s="29"/>
      <c r="P2626" s="30">
        <f>SUM(J2626:O2626)</f>
        <v>0</v>
      </c>
      <c r="Q2626" s="31">
        <f t="shared" si="2317"/>
        <v>0</v>
      </c>
    </row>
    <row r="2627" spans="1:17" x14ac:dyDescent="0.2">
      <c r="A2627" s="10"/>
      <c r="B2627" s="26"/>
      <c r="C2627" s="11">
        <v>1996</v>
      </c>
      <c r="D2627" s="32">
        <f>SPFI_CLB14!$D$19</f>
        <v>0</v>
      </c>
      <c r="E2627" s="32"/>
      <c r="F2627" s="32"/>
      <c r="G2627" s="32"/>
      <c r="H2627" s="32"/>
      <c r="I2627" s="32"/>
      <c r="J2627" s="28">
        <f t="shared" ref="J2627" si="2320">D2627*J$84</f>
        <v>0</v>
      </c>
      <c r="K2627" s="29"/>
      <c r="L2627" s="29"/>
      <c r="M2627" s="29"/>
      <c r="N2627" s="29"/>
      <c r="O2627" s="29"/>
      <c r="P2627" s="30">
        <f>SUM(J2627:O2627)</f>
        <v>0</v>
      </c>
      <c r="Q2627" s="31">
        <f t="shared" si="2317"/>
        <v>0</v>
      </c>
    </row>
    <row r="2628" spans="1:17" x14ac:dyDescent="0.2">
      <c r="A2628" s="10"/>
      <c r="B2628" s="26"/>
      <c r="C2628" s="11">
        <v>1997</v>
      </c>
      <c r="D2628" s="32">
        <f>SPFI_CLB14!$D$20</f>
        <v>0.201487</v>
      </c>
      <c r="E2628" s="32"/>
      <c r="F2628" s="32"/>
      <c r="G2628" s="32"/>
      <c r="H2628" s="32"/>
      <c r="I2628" s="32"/>
      <c r="J2628" s="28">
        <f t="shared" ref="J2628" si="2321">D2628*J$84</f>
        <v>0</v>
      </c>
      <c r="K2628" s="29"/>
      <c r="L2628" s="29"/>
      <c r="M2628" s="29"/>
      <c r="N2628" s="29"/>
      <c r="O2628" s="29"/>
      <c r="P2628" s="30">
        <f>SUM(J2628:O2628)</f>
        <v>0</v>
      </c>
      <c r="Q2628" s="31">
        <f t="shared" si="2317"/>
        <v>0</v>
      </c>
    </row>
    <row r="2629" spans="1:17" x14ac:dyDescent="0.2">
      <c r="A2629" s="10"/>
      <c r="B2629" s="26"/>
      <c r="C2629" s="11">
        <v>1998</v>
      </c>
      <c r="D2629" s="32">
        <f>SPFI_CLB14!$D$21</f>
        <v>0.37506400000000001</v>
      </c>
      <c r="E2629" s="32"/>
      <c r="F2629" s="32"/>
      <c r="G2629" s="32"/>
      <c r="H2629" s="32"/>
      <c r="I2629" s="32"/>
      <c r="J2629" s="28">
        <f t="shared" ref="J2629" si="2322">D2629*J$84</f>
        <v>0</v>
      </c>
      <c r="K2629" s="29"/>
      <c r="L2629" s="29"/>
      <c r="M2629" s="29"/>
      <c r="N2629" s="29"/>
      <c r="O2629" s="29"/>
      <c r="P2629" s="30">
        <f>SUM(J2629:O2629)</f>
        <v>0</v>
      </c>
      <c r="Q2629" s="31">
        <f t="shared" si="2317"/>
        <v>0</v>
      </c>
    </row>
    <row r="2630" spans="1:17" x14ac:dyDescent="0.2">
      <c r="A2630" s="10"/>
      <c r="B2630" s="26"/>
      <c r="C2630" s="11">
        <v>1999</v>
      </c>
      <c r="D2630" s="32">
        <f>SPFI_CLB14!$D$22</f>
        <v>0.29823699999999997</v>
      </c>
      <c r="E2630" s="32"/>
      <c r="F2630" s="32"/>
      <c r="G2630" s="32"/>
      <c r="H2630" s="32"/>
      <c r="I2630" s="32"/>
      <c r="J2630" s="28">
        <f t="shared" ref="J2630" si="2323">D2630*J$84</f>
        <v>0</v>
      </c>
      <c r="K2630" s="29"/>
      <c r="L2630" s="29"/>
      <c r="M2630" s="29"/>
      <c r="N2630" s="29"/>
      <c r="O2630" s="29"/>
      <c r="P2630" s="30">
        <f>SUM(J2630:O2630)</f>
        <v>0</v>
      </c>
      <c r="Q2630" s="31">
        <f t="shared" ref="Q2630:Q2635" si="2324">IF(C$84&gt;0,P2630/C$84,0)</f>
        <v>0</v>
      </c>
    </row>
    <row r="2631" spans="1:17" x14ac:dyDescent="0.2">
      <c r="A2631" s="10"/>
      <c r="B2631" s="26"/>
      <c r="C2631" s="11">
        <v>2000</v>
      </c>
      <c r="D2631" s="32">
        <f>SPFI_CLB14!$D$23</f>
        <v>8.4414000000000003E-2</v>
      </c>
      <c r="E2631" s="32"/>
      <c r="F2631" s="32"/>
      <c r="G2631" s="32"/>
      <c r="H2631" s="32"/>
      <c r="I2631" s="32"/>
      <c r="J2631" s="28">
        <f t="shared" ref="J2631" si="2325">D2631*J$84</f>
        <v>0</v>
      </c>
      <c r="K2631" s="29"/>
      <c r="L2631" s="29"/>
      <c r="M2631" s="29"/>
      <c r="N2631" s="29"/>
      <c r="O2631" s="29"/>
      <c r="P2631" s="30">
        <f t="shared" ref="P2631:P2636" si="2326">SUM(J2631:O2631)</f>
        <v>0</v>
      </c>
      <c r="Q2631" s="31">
        <f t="shared" si="2324"/>
        <v>0</v>
      </c>
    </row>
    <row r="2632" spans="1:17" x14ac:dyDescent="0.2">
      <c r="A2632" s="10"/>
      <c r="B2632" s="26"/>
      <c r="C2632" s="11">
        <v>2001</v>
      </c>
      <c r="D2632" s="32">
        <f>SPFI_CLB14!$D$24</f>
        <v>7.8909000000000007E-2</v>
      </c>
      <c r="E2632" s="32"/>
      <c r="F2632" s="32"/>
      <c r="G2632" s="32"/>
      <c r="H2632" s="32"/>
      <c r="I2632" s="32"/>
      <c r="J2632" s="28">
        <f t="shared" ref="J2632" si="2327">D2632*J$84</f>
        <v>0</v>
      </c>
      <c r="K2632" s="29"/>
      <c r="L2632" s="29"/>
      <c r="M2632" s="29"/>
      <c r="N2632" s="29"/>
      <c r="O2632" s="29"/>
      <c r="P2632" s="30">
        <f t="shared" si="2326"/>
        <v>0</v>
      </c>
      <c r="Q2632" s="31">
        <f t="shared" si="2324"/>
        <v>0</v>
      </c>
    </row>
    <row r="2633" spans="1:17" x14ac:dyDescent="0.2">
      <c r="A2633" s="10"/>
      <c r="B2633" s="26"/>
      <c r="C2633" s="11">
        <v>2002</v>
      </c>
      <c r="D2633" s="32">
        <f>SPFI_CLB14!$D$25</f>
        <v>0.29974699999999999</v>
      </c>
      <c r="E2633" s="32"/>
      <c r="F2633" s="32"/>
      <c r="G2633" s="32"/>
      <c r="H2633" s="32"/>
      <c r="I2633" s="32"/>
      <c r="J2633" s="28">
        <f t="shared" ref="J2633" si="2328">D2633*J$84</f>
        <v>0</v>
      </c>
      <c r="K2633" s="29"/>
      <c r="L2633" s="29"/>
      <c r="M2633" s="29"/>
      <c r="N2633" s="29"/>
      <c r="O2633" s="29"/>
      <c r="P2633" s="30">
        <f t="shared" si="2326"/>
        <v>0</v>
      </c>
      <c r="Q2633" s="31">
        <f t="shared" si="2324"/>
        <v>0</v>
      </c>
    </row>
    <row r="2634" spans="1:17" x14ac:dyDescent="0.2">
      <c r="A2634" s="10"/>
      <c r="B2634" s="26"/>
      <c r="C2634" s="11">
        <v>2003</v>
      </c>
      <c r="D2634" s="32">
        <f>SPFI_CLB14!$D$26</f>
        <v>0.20691100000000001</v>
      </c>
      <c r="E2634" s="32"/>
      <c r="F2634" s="32"/>
      <c r="G2634" s="32"/>
      <c r="H2634" s="32"/>
      <c r="I2634" s="32"/>
      <c r="J2634" s="28">
        <f t="shared" ref="J2634" si="2329">D2634*J$84</f>
        <v>0</v>
      </c>
      <c r="K2634" s="29"/>
      <c r="L2634" s="29"/>
      <c r="M2634" s="29"/>
      <c r="N2634" s="29"/>
      <c r="O2634" s="29"/>
      <c r="P2634" s="30">
        <f t="shared" si="2326"/>
        <v>0</v>
      </c>
      <c r="Q2634" s="31">
        <f t="shared" si="2324"/>
        <v>0</v>
      </c>
    </row>
    <row r="2635" spans="1:17" x14ac:dyDescent="0.2">
      <c r="A2635" s="10"/>
      <c r="B2635" s="26"/>
      <c r="C2635" s="11">
        <v>2004</v>
      </c>
      <c r="D2635" s="32">
        <f>SPFI_CLB14!$D$27</f>
        <v>0.269237</v>
      </c>
      <c r="E2635" s="32"/>
      <c r="F2635" s="32"/>
      <c r="G2635" s="32"/>
      <c r="H2635" s="32"/>
      <c r="I2635" s="32"/>
      <c r="J2635" s="28">
        <f t="shared" ref="J2635" si="2330">D2635*J$84</f>
        <v>0</v>
      </c>
      <c r="K2635" s="29"/>
      <c r="L2635" s="29"/>
      <c r="M2635" s="29"/>
      <c r="N2635" s="29"/>
      <c r="O2635" s="29"/>
      <c r="P2635" s="30">
        <f t="shared" si="2326"/>
        <v>0</v>
      </c>
      <c r="Q2635" s="31">
        <f t="shared" si="2324"/>
        <v>0</v>
      </c>
    </row>
    <row r="2636" spans="1:17" x14ac:dyDescent="0.2">
      <c r="A2636" s="10"/>
      <c r="B2636" s="26"/>
      <c r="C2636" s="11">
        <v>2005</v>
      </c>
      <c r="D2636" s="32">
        <f>SPFI_CLB14!$D$28</f>
        <v>0.37848700000000002</v>
      </c>
      <c r="E2636" s="32"/>
      <c r="F2636" s="32"/>
      <c r="G2636" s="32"/>
      <c r="H2636" s="32"/>
      <c r="I2636" s="32"/>
      <c r="J2636" s="28">
        <f t="shared" ref="J2636" si="2331">D2636*J$84</f>
        <v>0</v>
      </c>
      <c r="K2636" s="29"/>
      <c r="L2636" s="29"/>
      <c r="M2636" s="29"/>
      <c r="N2636" s="29"/>
      <c r="O2636" s="29"/>
      <c r="P2636" s="30">
        <f t="shared" si="2326"/>
        <v>0</v>
      </c>
      <c r="Q2636" s="31">
        <f t="shared" ref="Q2636:Q2641" si="2332">IF(C$84&gt;0,P2636/C$84,0)</f>
        <v>0</v>
      </c>
    </row>
    <row r="2637" spans="1:17" x14ac:dyDescent="0.2">
      <c r="A2637" s="10"/>
      <c r="B2637" s="26"/>
      <c r="C2637" s="11">
        <v>2006</v>
      </c>
      <c r="D2637" s="32">
        <f>SPFI_CLB14!$D$29</f>
        <v>0.381023</v>
      </c>
      <c r="E2637" s="32"/>
      <c r="F2637" s="32"/>
      <c r="G2637" s="32"/>
      <c r="H2637" s="32"/>
      <c r="I2637" s="32"/>
      <c r="J2637" s="28">
        <f t="shared" ref="J2637" si="2333">D2637*J$84</f>
        <v>0</v>
      </c>
      <c r="K2637" s="29"/>
      <c r="L2637" s="29"/>
      <c r="M2637" s="29"/>
      <c r="N2637" s="29"/>
      <c r="O2637" s="29"/>
      <c r="P2637" s="30">
        <f t="shared" ref="P2637:P2644" si="2334">SUM(J2637:O2637)</f>
        <v>0</v>
      </c>
      <c r="Q2637" s="31">
        <f t="shared" si="2332"/>
        <v>0</v>
      </c>
    </row>
    <row r="2638" spans="1:17" x14ac:dyDescent="0.2">
      <c r="A2638" s="10"/>
      <c r="B2638" s="26"/>
      <c r="C2638" s="11">
        <v>2007</v>
      </c>
      <c r="D2638" s="32">
        <f>SPFI_CLB14!$D$30</f>
        <v>0.356512</v>
      </c>
      <c r="E2638" s="32"/>
      <c r="F2638" s="32"/>
      <c r="G2638" s="32"/>
      <c r="H2638" s="32"/>
      <c r="I2638" s="32"/>
      <c r="J2638" s="28">
        <f t="shared" ref="J2638" si="2335">D2638*J$84</f>
        <v>0</v>
      </c>
      <c r="K2638" s="29"/>
      <c r="L2638" s="29"/>
      <c r="M2638" s="29"/>
      <c r="N2638" s="29"/>
      <c r="O2638" s="29"/>
      <c r="P2638" s="30">
        <f t="shared" si="2334"/>
        <v>0</v>
      </c>
      <c r="Q2638" s="31">
        <f t="shared" si="2332"/>
        <v>0</v>
      </c>
    </row>
    <row r="2639" spans="1:17" x14ac:dyDescent="0.2">
      <c r="A2639" s="10"/>
      <c r="B2639" s="26"/>
      <c r="C2639" s="11">
        <v>2008</v>
      </c>
      <c r="D2639" s="32">
        <f>SPFI_CLB14!$D$31</f>
        <v>0.25494499999999998</v>
      </c>
      <c r="E2639" s="32"/>
      <c r="F2639" s="32"/>
      <c r="G2639" s="32"/>
      <c r="H2639" s="32"/>
      <c r="I2639" s="32"/>
      <c r="J2639" s="28">
        <f t="shared" ref="J2639" si="2336">D2639*J$84</f>
        <v>0</v>
      </c>
      <c r="K2639" s="29"/>
      <c r="L2639" s="29"/>
      <c r="M2639" s="29"/>
      <c r="N2639" s="29"/>
      <c r="O2639" s="29"/>
      <c r="P2639" s="30">
        <f t="shared" si="2334"/>
        <v>0</v>
      </c>
      <c r="Q2639" s="31">
        <f t="shared" si="2332"/>
        <v>0</v>
      </c>
    </row>
    <row r="2640" spans="1:17" x14ac:dyDescent="0.2">
      <c r="A2640" s="10"/>
      <c r="B2640" s="26"/>
      <c r="C2640" s="11">
        <v>2009</v>
      </c>
      <c r="D2640" s="32">
        <f>SPFI_CLB14!$D$32</f>
        <v>0.52383000000000002</v>
      </c>
      <c r="E2640" s="32"/>
      <c r="F2640" s="32"/>
      <c r="G2640" s="32"/>
      <c r="H2640" s="32"/>
      <c r="I2640" s="32"/>
      <c r="J2640" s="28">
        <f t="shared" ref="J2640" si="2337">D2640*J$84</f>
        <v>0</v>
      </c>
      <c r="K2640" s="29"/>
      <c r="L2640" s="29"/>
      <c r="M2640" s="29"/>
      <c r="N2640" s="29"/>
      <c r="O2640" s="29"/>
      <c r="P2640" s="30">
        <f t="shared" si="2334"/>
        <v>0</v>
      </c>
      <c r="Q2640" s="31">
        <f t="shared" si="2332"/>
        <v>0</v>
      </c>
    </row>
    <row r="2641" spans="1:17" x14ac:dyDescent="0.2">
      <c r="A2641" s="10"/>
      <c r="B2641" s="26"/>
      <c r="C2641" s="11">
        <v>2010</v>
      </c>
      <c r="D2641" s="32">
        <f>SPFI_CLB14!$D$33</f>
        <v>0.31394</v>
      </c>
      <c r="E2641" s="32"/>
      <c r="F2641" s="32"/>
      <c r="G2641" s="32"/>
      <c r="H2641" s="32"/>
      <c r="I2641" s="32"/>
      <c r="J2641" s="28">
        <f t="shared" ref="J2641" si="2338">D2641*J$84</f>
        <v>0</v>
      </c>
      <c r="K2641" s="29"/>
      <c r="L2641" s="29"/>
      <c r="M2641" s="29"/>
      <c r="N2641" s="29"/>
      <c r="O2641" s="29"/>
      <c r="P2641" s="30">
        <f t="shared" si="2334"/>
        <v>0</v>
      </c>
      <c r="Q2641" s="31">
        <f t="shared" si="2332"/>
        <v>0</v>
      </c>
    </row>
    <row r="2642" spans="1:17" x14ac:dyDescent="0.2">
      <c r="A2642" s="10"/>
      <c r="B2642" s="26"/>
      <c r="C2642" s="11">
        <v>2011</v>
      </c>
      <c r="D2642" s="32">
        <f>SPFI_CLB14!$D$34</f>
        <v>0.294348</v>
      </c>
      <c r="E2642" s="32"/>
      <c r="F2642" s="32"/>
      <c r="G2642" s="32"/>
      <c r="H2642" s="32"/>
      <c r="I2642" s="32"/>
      <c r="J2642" s="28">
        <f t="shared" ref="J2642" si="2339">D2642*J$84</f>
        <v>0</v>
      </c>
      <c r="K2642" s="29"/>
      <c r="L2642" s="29"/>
      <c r="M2642" s="29"/>
      <c r="N2642" s="29"/>
      <c r="O2642" s="29"/>
      <c r="P2642" s="30">
        <f t="shared" ref="P2642" si="2340">SUM(J2642:O2642)</f>
        <v>0</v>
      </c>
      <c r="Q2642" s="31">
        <f t="shared" ref="Q2642" si="2341">IF(C$84&gt;0,P2642/C$84,0)</f>
        <v>0</v>
      </c>
    </row>
    <row r="2643" spans="1:17" x14ac:dyDescent="0.2">
      <c r="A2643" s="10"/>
      <c r="B2643" s="26"/>
      <c r="C2643" s="11">
        <v>2012</v>
      </c>
      <c r="D2643" s="32">
        <f>SPFI_CLB14!$D$35</f>
        <v>0.34784100000000001</v>
      </c>
      <c r="E2643" s="32"/>
      <c r="F2643" s="32"/>
      <c r="G2643" s="32"/>
      <c r="H2643" s="32"/>
      <c r="I2643" s="32"/>
      <c r="J2643" s="28">
        <f t="shared" ref="J2643" si="2342">D2643*J$84</f>
        <v>0</v>
      </c>
      <c r="K2643" s="29"/>
      <c r="L2643" s="29"/>
      <c r="M2643" s="29"/>
      <c r="N2643" s="29"/>
      <c r="O2643" s="29"/>
      <c r="P2643" s="30">
        <f t="shared" ref="P2643" si="2343">SUM(J2643:O2643)</f>
        <v>0</v>
      </c>
      <c r="Q2643" s="31">
        <f t="shared" ref="Q2643" si="2344">IF(C$84&gt;0,P2643/C$84,0)</f>
        <v>0</v>
      </c>
    </row>
    <row r="2644" spans="1:17" x14ac:dyDescent="0.2">
      <c r="A2644" s="5" t="s">
        <v>26</v>
      </c>
      <c r="B2644" s="21">
        <v>3</v>
      </c>
      <c r="C2644" s="6">
        <v>1982</v>
      </c>
      <c r="D2644" s="27">
        <f>SPFI_CLB14!$D$5</f>
        <v>0.98153299999999999</v>
      </c>
      <c r="E2644" s="27"/>
      <c r="F2644" s="27"/>
      <c r="G2644" s="27"/>
      <c r="H2644" s="27"/>
      <c r="I2644" s="27"/>
      <c r="J2644" s="33">
        <f t="shared" ref="J2644:J2656" si="2345">D2644*J$85</f>
        <v>0</v>
      </c>
      <c r="K2644" s="27"/>
      <c r="L2644" s="27"/>
      <c r="M2644" s="27"/>
      <c r="N2644" s="27"/>
      <c r="O2644" s="27"/>
      <c r="P2644" s="34">
        <f t="shared" si="2334"/>
        <v>0</v>
      </c>
      <c r="Q2644" s="35">
        <f t="shared" ref="Q2644:Q2660" si="2346">IF(C$85&gt;0,P2644/C$85,0)</f>
        <v>0</v>
      </c>
    </row>
    <row r="2645" spans="1:17" x14ac:dyDescent="0.2">
      <c r="A2645" s="10"/>
      <c r="B2645" s="26"/>
      <c r="C2645" s="11">
        <v>1983</v>
      </c>
      <c r="D2645" s="32">
        <f>SPFI_CLB14!$D$6</f>
        <v>0.93659899999999996</v>
      </c>
      <c r="E2645" s="32"/>
      <c r="F2645" s="32"/>
      <c r="G2645" s="32"/>
      <c r="H2645" s="32"/>
      <c r="I2645" s="32"/>
      <c r="J2645" s="28">
        <f t="shared" si="2345"/>
        <v>0</v>
      </c>
      <c r="K2645" s="29"/>
      <c r="L2645" s="29"/>
      <c r="M2645" s="29"/>
      <c r="N2645" s="29"/>
      <c r="O2645" s="29"/>
      <c r="P2645" s="30">
        <f t="shared" ref="P2645:P2656" si="2347">SUM(J2645:O2645)</f>
        <v>0</v>
      </c>
      <c r="Q2645" s="31">
        <f t="shared" si="2346"/>
        <v>0</v>
      </c>
    </row>
    <row r="2646" spans="1:17" x14ac:dyDescent="0.2">
      <c r="A2646" s="10"/>
      <c r="B2646" s="26"/>
      <c r="C2646" s="11">
        <v>1984</v>
      </c>
      <c r="D2646" s="32">
        <f>SPFI_CLB14!$D$7</f>
        <v>0.92793599999999998</v>
      </c>
      <c r="E2646" s="32"/>
      <c r="F2646" s="32"/>
      <c r="G2646" s="32"/>
      <c r="H2646" s="32"/>
      <c r="I2646" s="32"/>
      <c r="J2646" s="28">
        <f t="shared" si="2345"/>
        <v>0</v>
      </c>
      <c r="K2646" s="29"/>
      <c r="L2646" s="29"/>
      <c r="M2646" s="29"/>
      <c r="N2646" s="29"/>
      <c r="O2646" s="29"/>
      <c r="P2646" s="30">
        <f t="shared" si="2347"/>
        <v>0</v>
      </c>
      <c r="Q2646" s="31">
        <f t="shared" si="2346"/>
        <v>0</v>
      </c>
    </row>
    <row r="2647" spans="1:17" x14ac:dyDescent="0.2">
      <c r="A2647" s="10"/>
      <c r="B2647" s="26"/>
      <c r="C2647" s="11">
        <v>1985</v>
      </c>
      <c r="D2647" s="32">
        <f>SPFI_CLB14!$D$8</f>
        <v>0.90386500000000003</v>
      </c>
      <c r="E2647" s="32"/>
      <c r="F2647" s="32"/>
      <c r="G2647" s="32"/>
      <c r="H2647" s="32"/>
      <c r="I2647" s="32"/>
      <c r="J2647" s="28">
        <f t="shared" si="2345"/>
        <v>0</v>
      </c>
      <c r="K2647" s="29"/>
      <c r="L2647" s="29"/>
      <c r="M2647" s="29"/>
      <c r="N2647" s="29"/>
      <c r="O2647" s="29"/>
      <c r="P2647" s="30">
        <f t="shared" si="2347"/>
        <v>0</v>
      </c>
      <c r="Q2647" s="31">
        <f t="shared" si="2346"/>
        <v>0</v>
      </c>
    </row>
    <row r="2648" spans="1:17" x14ac:dyDescent="0.2">
      <c r="A2648" s="10"/>
      <c r="B2648" s="26"/>
      <c r="C2648" s="11">
        <v>1986</v>
      </c>
      <c r="D2648" s="32">
        <f>SPFI_CLB14!$D$9</f>
        <v>0.73087500000000005</v>
      </c>
      <c r="E2648" s="32"/>
      <c r="F2648" s="32"/>
      <c r="G2648" s="32"/>
      <c r="H2648" s="32"/>
      <c r="I2648" s="32"/>
      <c r="J2648" s="28">
        <f t="shared" si="2345"/>
        <v>0</v>
      </c>
      <c r="K2648" s="29"/>
      <c r="L2648" s="29"/>
      <c r="M2648" s="29"/>
      <c r="N2648" s="29"/>
      <c r="O2648" s="29"/>
      <c r="P2648" s="30">
        <f t="shared" si="2347"/>
        <v>0</v>
      </c>
      <c r="Q2648" s="31">
        <f t="shared" si="2346"/>
        <v>0</v>
      </c>
    </row>
    <row r="2649" spans="1:17" x14ac:dyDescent="0.2">
      <c r="A2649" s="10"/>
      <c r="B2649" s="26"/>
      <c r="C2649" s="11">
        <v>1987</v>
      </c>
      <c r="D2649" s="32">
        <f>SPFI_CLB14!$D$10</f>
        <v>0.71733499999999994</v>
      </c>
      <c r="E2649" s="32"/>
      <c r="F2649" s="32"/>
      <c r="G2649" s="32"/>
      <c r="H2649" s="32"/>
      <c r="I2649" s="32"/>
      <c r="J2649" s="28">
        <f t="shared" si="2345"/>
        <v>0</v>
      </c>
      <c r="K2649" s="29"/>
      <c r="L2649" s="29"/>
      <c r="M2649" s="29"/>
      <c r="N2649" s="29"/>
      <c r="O2649" s="29"/>
      <c r="P2649" s="30">
        <f t="shared" si="2347"/>
        <v>0</v>
      </c>
      <c r="Q2649" s="31">
        <f t="shared" si="2346"/>
        <v>0</v>
      </c>
    </row>
    <row r="2650" spans="1:17" x14ac:dyDescent="0.2">
      <c r="A2650" s="10"/>
      <c r="B2650" s="26"/>
      <c r="C2650" s="11">
        <v>1988</v>
      </c>
      <c r="D2650" s="32">
        <f>SPFI_CLB14!$D$11</f>
        <v>0.64558800000000005</v>
      </c>
      <c r="E2650" s="32"/>
      <c r="F2650" s="32"/>
      <c r="G2650" s="32"/>
      <c r="H2650" s="32"/>
      <c r="I2650" s="32"/>
      <c r="J2650" s="28">
        <f t="shared" si="2345"/>
        <v>0</v>
      </c>
      <c r="K2650" s="29"/>
      <c r="L2650" s="29"/>
      <c r="M2650" s="29"/>
      <c r="N2650" s="29"/>
      <c r="O2650" s="29"/>
      <c r="P2650" s="30">
        <f t="shared" si="2347"/>
        <v>0</v>
      </c>
      <c r="Q2650" s="31">
        <f t="shared" si="2346"/>
        <v>0</v>
      </c>
    </row>
    <row r="2651" spans="1:17" x14ac:dyDescent="0.2">
      <c r="A2651" s="10"/>
      <c r="B2651" s="26"/>
      <c r="C2651" s="11">
        <v>1989</v>
      </c>
      <c r="D2651" s="32">
        <f>SPFI_CLB14!$D$12</f>
        <v>0.65287700000000004</v>
      </c>
      <c r="E2651" s="32"/>
      <c r="F2651" s="32"/>
      <c r="G2651" s="32"/>
      <c r="H2651" s="32"/>
      <c r="I2651" s="32"/>
      <c r="J2651" s="28">
        <f t="shared" si="2345"/>
        <v>0</v>
      </c>
      <c r="K2651" s="29"/>
      <c r="L2651" s="29"/>
      <c r="M2651" s="29"/>
      <c r="N2651" s="29"/>
      <c r="O2651" s="29"/>
      <c r="P2651" s="30">
        <f t="shared" si="2347"/>
        <v>0</v>
      </c>
      <c r="Q2651" s="31">
        <f t="shared" si="2346"/>
        <v>0</v>
      </c>
    </row>
    <row r="2652" spans="1:17" x14ac:dyDescent="0.2">
      <c r="A2652" s="10"/>
      <c r="B2652" s="26"/>
      <c r="C2652" s="11">
        <v>1990</v>
      </c>
      <c r="D2652" s="32">
        <f>SPFI_CLB14!$D$13</f>
        <v>0.56965100000000002</v>
      </c>
      <c r="E2652" s="32"/>
      <c r="F2652" s="32"/>
      <c r="G2652" s="32"/>
      <c r="H2652" s="32"/>
      <c r="I2652" s="32"/>
      <c r="J2652" s="28">
        <f t="shared" si="2345"/>
        <v>0</v>
      </c>
      <c r="K2652" s="29"/>
      <c r="L2652" s="29"/>
      <c r="M2652" s="29"/>
      <c r="N2652" s="29"/>
      <c r="O2652" s="29"/>
      <c r="P2652" s="30">
        <f t="shared" si="2347"/>
        <v>0</v>
      </c>
      <c r="Q2652" s="31">
        <f t="shared" si="2346"/>
        <v>0</v>
      </c>
    </row>
    <row r="2653" spans="1:17" x14ac:dyDescent="0.2">
      <c r="A2653" s="10"/>
      <c r="B2653" s="26"/>
      <c r="C2653" s="11">
        <v>1991</v>
      </c>
      <c r="D2653" s="32">
        <f>SPFI_CLB14!$D$14</f>
        <v>0.62776900000000002</v>
      </c>
      <c r="E2653" s="32"/>
      <c r="F2653" s="32"/>
      <c r="G2653" s="32"/>
      <c r="H2653" s="32"/>
      <c r="I2653" s="32"/>
      <c r="J2653" s="28">
        <f t="shared" si="2345"/>
        <v>0</v>
      </c>
      <c r="K2653" s="29"/>
      <c r="L2653" s="29"/>
      <c r="M2653" s="29"/>
      <c r="N2653" s="29"/>
      <c r="O2653" s="29"/>
      <c r="P2653" s="30">
        <f t="shared" si="2347"/>
        <v>0</v>
      </c>
      <c r="Q2653" s="31">
        <f t="shared" si="2346"/>
        <v>0</v>
      </c>
    </row>
    <row r="2654" spans="1:17" x14ac:dyDescent="0.2">
      <c r="A2654" s="10"/>
      <c r="B2654" s="26"/>
      <c r="C2654" s="11">
        <v>1992</v>
      </c>
      <c r="D2654" s="32">
        <f>SPFI_CLB14!$D$15</f>
        <v>0.43504100000000001</v>
      </c>
      <c r="E2654" s="32"/>
      <c r="F2654" s="32"/>
      <c r="G2654" s="32"/>
      <c r="H2654" s="32"/>
      <c r="I2654" s="32"/>
      <c r="J2654" s="28">
        <f t="shared" si="2345"/>
        <v>0</v>
      </c>
      <c r="K2654" s="29"/>
      <c r="L2654" s="29"/>
      <c r="M2654" s="29"/>
      <c r="N2654" s="29"/>
      <c r="O2654" s="29"/>
      <c r="P2654" s="30">
        <f t="shared" si="2347"/>
        <v>0</v>
      </c>
      <c r="Q2654" s="31">
        <f t="shared" si="2346"/>
        <v>0</v>
      </c>
    </row>
    <row r="2655" spans="1:17" x14ac:dyDescent="0.2">
      <c r="A2655" s="10"/>
      <c r="B2655" s="26"/>
      <c r="C2655" s="11">
        <v>1993</v>
      </c>
      <c r="D2655" s="32">
        <f>SPFI_CLB14!$D$16</f>
        <v>0.499164</v>
      </c>
      <c r="E2655" s="32"/>
      <c r="F2655" s="32"/>
      <c r="G2655" s="32"/>
      <c r="H2655" s="32"/>
      <c r="I2655" s="32"/>
      <c r="J2655" s="28">
        <f t="shared" si="2345"/>
        <v>0</v>
      </c>
      <c r="K2655" s="29"/>
      <c r="L2655" s="29"/>
      <c r="M2655" s="29"/>
      <c r="N2655" s="29"/>
      <c r="O2655" s="29"/>
      <c r="P2655" s="30">
        <f t="shared" si="2347"/>
        <v>0</v>
      </c>
      <c r="Q2655" s="31">
        <f t="shared" si="2346"/>
        <v>0</v>
      </c>
    </row>
    <row r="2656" spans="1:17" x14ac:dyDescent="0.2">
      <c r="A2656" s="10"/>
      <c r="B2656" s="26"/>
      <c r="C2656" s="11">
        <v>1994</v>
      </c>
      <c r="D2656" s="32">
        <f>SPFI_CLB14!$D$17</f>
        <v>0.59591300000000003</v>
      </c>
      <c r="E2656" s="32"/>
      <c r="F2656" s="32"/>
      <c r="G2656" s="32"/>
      <c r="H2656" s="32"/>
      <c r="I2656" s="32"/>
      <c r="J2656" s="28">
        <f t="shared" si="2345"/>
        <v>0</v>
      </c>
      <c r="K2656" s="29"/>
      <c r="L2656" s="29"/>
      <c r="M2656" s="29"/>
      <c r="N2656" s="29"/>
      <c r="O2656" s="29"/>
      <c r="P2656" s="30">
        <f t="shared" si="2347"/>
        <v>0</v>
      </c>
      <c r="Q2656" s="31">
        <f t="shared" si="2346"/>
        <v>0</v>
      </c>
    </row>
    <row r="2657" spans="1:17" x14ac:dyDescent="0.2">
      <c r="A2657" s="10"/>
      <c r="B2657" s="26"/>
      <c r="C2657" s="11">
        <v>1995</v>
      </c>
      <c r="D2657" s="32">
        <f>SPFI_CLB14!$D$18</f>
        <v>0.25400800000000001</v>
      </c>
      <c r="E2657" s="32"/>
      <c r="F2657" s="32"/>
      <c r="G2657" s="32"/>
      <c r="H2657" s="32"/>
      <c r="I2657" s="32"/>
      <c r="J2657" s="28">
        <f t="shared" ref="J2657" si="2348">D2657*J$85</f>
        <v>0</v>
      </c>
      <c r="K2657" s="29"/>
      <c r="L2657" s="29"/>
      <c r="M2657" s="29"/>
      <c r="N2657" s="29"/>
      <c r="O2657" s="29"/>
      <c r="P2657" s="30">
        <f>SUM(J2657:O2657)</f>
        <v>0</v>
      </c>
      <c r="Q2657" s="31">
        <f t="shared" si="2346"/>
        <v>0</v>
      </c>
    </row>
    <row r="2658" spans="1:17" x14ac:dyDescent="0.2">
      <c r="A2658" s="10"/>
      <c r="B2658" s="26"/>
      <c r="C2658" s="11">
        <v>1996</v>
      </c>
      <c r="D2658" s="32">
        <f>SPFI_CLB14!$D$19</f>
        <v>0</v>
      </c>
      <c r="E2658" s="32"/>
      <c r="F2658" s="32"/>
      <c r="G2658" s="32"/>
      <c r="H2658" s="32"/>
      <c r="I2658" s="32"/>
      <c r="J2658" s="28">
        <f t="shared" ref="J2658" si="2349">D2658*J$85</f>
        <v>0</v>
      </c>
      <c r="K2658" s="29"/>
      <c r="L2658" s="29"/>
      <c r="M2658" s="29"/>
      <c r="N2658" s="29"/>
      <c r="O2658" s="29"/>
      <c r="P2658" s="30">
        <f>SUM(J2658:O2658)</f>
        <v>0</v>
      </c>
      <c r="Q2658" s="31">
        <f t="shared" si="2346"/>
        <v>0</v>
      </c>
    </row>
    <row r="2659" spans="1:17" x14ac:dyDescent="0.2">
      <c r="A2659" s="10"/>
      <c r="B2659" s="26"/>
      <c r="C2659" s="11">
        <v>1997</v>
      </c>
      <c r="D2659" s="32">
        <f>SPFI_CLB14!$D$20</f>
        <v>0.201487</v>
      </c>
      <c r="E2659" s="32"/>
      <c r="F2659" s="32"/>
      <c r="G2659" s="32"/>
      <c r="H2659" s="32"/>
      <c r="I2659" s="32"/>
      <c r="J2659" s="28">
        <f t="shared" ref="J2659" si="2350">D2659*J$85</f>
        <v>0</v>
      </c>
      <c r="K2659" s="29"/>
      <c r="L2659" s="29"/>
      <c r="M2659" s="29"/>
      <c r="N2659" s="29"/>
      <c r="O2659" s="29"/>
      <c r="P2659" s="30">
        <f>SUM(J2659:O2659)</f>
        <v>0</v>
      </c>
      <c r="Q2659" s="31">
        <f t="shared" si="2346"/>
        <v>0</v>
      </c>
    </row>
    <row r="2660" spans="1:17" x14ac:dyDescent="0.2">
      <c r="A2660" s="10"/>
      <c r="B2660" s="26"/>
      <c r="C2660" s="11">
        <v>1998</v>
      </c>
      <c r="D2660" s="32">
        <f>SPFI_CLB14!$D$21</f>
        <v>0.37506400000000001</v>
      </c>
      <c r="E2660" s="32"/>
      <c r="F2660" s="32"/>
      <c r="G2660" s="32"/>
      <c r="H2660" s="32"/>
      <c r="I2660" s="32"/>
      <c r="J2660" s="28">
        <f t="shared" ref="J2660" si="2351">D2660*J$85</f>
        <v>0</v>
      </c>
      <c r="K2660" s="29"/>
      <c r="L2660" s="29"/>
      <c r="M2660" s="29"/>
      <c r="N2660" s="29"/>
      <c r="O2660" s="29"/>
      <c r="P2660" s="30">
        <f>SUM(J2660:O2660)</f>
        <v>0</v>
      </c>
      <c r="Q2660" s="31">
        <f t="shared" si="2346"/>
        <v>0</v>
      </c>
    </row>
    <row r="2661" spans="1:17" x14ac:dyDescent="0.2">
      <c r="A2661" s="10"/>
      <c r="B2661" s="26"/>
      <c r="C2661" s="11">
        <v>1999</v>
      </c>
      <c r="D2661" s="32">
        <f>SPFI_CLB14!$D$22</f>
        <v>0.29823699999999997</v>
      </c>
      <c r="E2661" s="32"/>
      <c r="F2661" s="32"/>
      <c r="G2661" s="32"/>
      <c r="H2661" s="32"/>
      <c r="I2661" s="32"/>
      <c r="J2661" s="28">
        <f t="shared" ref="J2661" si="2352">D2661*J$85</f>
        <v>0</v>
      </c>
      <c r="K2661" s="29"/>
      <c r="L2661" s="29"/>
      <c r="M2661" s="29"/>
      <c r="N2661" s="29"/>
      <c r="O2661" s="29"/>
      <c r="P2661" s="30">
        <f>SUM(J2661:O2661)</f>
        <v>0</v>
      </c>
      <c r="Q2661" s="31">
        <f t="shared" ref="Q2661:Q2666" si="2353">IF(C$85&gt;0,P2661/C$85,0)</f>
        <v>0</v>
      </c>
    </row>
    <row r="2662" spans="1:17" x14ac:dyDescent="0.2">
      <c r="A2662" s="10"/>
      <c r="B2662" s="26"/>
      <c r="C2662" s="11">
        <v>2000</v>
      </c>
      <c r="D2662" s="32">
        <f>SPFI_CLB14!$D$23</f>
        <v>8.4414000000000003E-2</v>
      </c>
      <c r="E2662" s="32"/>
      <c r="F2662" s="32"/>
      <c r="G2662" s="32"/>
      <c r="H2662" s="32"/>
      <c r="I2662" s="32"/>
      <c r="J2662" s="28">
        <f t="shared" ref="J2662" si="2354">D2662*J$85</f>
        <v>0</v>
      </c>
      <c r="K2662" s="29"/>
      <c r="L2662" s="29"/>
      <c r="M2662" s="29"/>
      <c r="N2662" s="29"/>
      <c r="O2662" s="29"/>
      <c r="P2662" s="30">
        <f t="shared" ref="P2662:P2667" si="2355">SUM(J2662:O2662)</f>
        <v>0</v>
      </c>
      <c r="Q2662" s="31">
        <f t="shared" si="2353"/>
        <v>0</v>
      </c>
    </row>
    <row r="2663" spans="1:17" x14ac:dyDescent="0.2">
      <c r="A2663" s="10"/>
      <c r="B2663" s="26"/>
      <c r="C2663" s="11">
        <v>2001</v>
      </c>
      <c r="D2663" s="32">
        <f>SPFI_CLB14!$D$24</f>
        <v>7.8909000000000007E-2</v>
      </c>
      <c r="E2663" s="32"/>
      <c r="F2663" s="32"/>
      <c r="G2663" s="32"/>
      <c r="H2663" s="32"/>
      <c r="I2663" s="32"/>
      <c r="J2663" s="28">
        <f t="shared" ref="J2663" si="2356">D2663*J$85</f>
        <v>0</v>
      </c>
      <c r="K2663" s="29"/>
      <c r="L2663" s="29"/>
      <c r="M2663" s="29"/>
      <c r="N2663" s="29"/>
      <c r="O2663" s="29"/>
      <c r="P2663" s="30">
        <f t="shared" si="2355"/>
        <v>0</v>
      </c>
      <c r="Q2663" s="31">
        <f t="shared" si="2353"/>
        <v>0</v>
      </c>
    </row>
    <row r="2664" spans="1:17" x14ac:dyDescent="0.2">
      <c r="A2664" s="10"/>
      <c r="B2664" s="26"/>
      <c r="C2664" s="11">
        <v>2002</v>
      </c>
      <c r="D2664" s="32">
        <f>SPFI_CLB14!$D$25</f>
        <v>0.29974699999999999</v>
      </c>
      <c r="E2664" s="32"/>
      <c r="F2664" s="32"/>
      <c r="G2664" s="32"/>
      <c r="H2664" s="32"/>
      <c r="I2664" s="32"/>
      <c r="J2664" s="28">
        <f t="shared" ref="J2664" si="2357">D2664*J$85</f>
        <v>0</v>
      </c>
      <c r="K2664" s="29"/>
      <c r="L2664" s="29"/>
      <c r="M2664" s="29"/>
      <c r="N2664" s="29"/>
      <c r="O2664" s="29"/>
      <c r="P2664" s="30">
        <f t="shared" si="2355"/>
        <v>0</v>
      </c>
      <c r="Q2664" s="31">
        <f t="shared" si="2353"/>
        <v>0</v>
      </c>
    </row>
    <row r="2665" spans="1:17" x14ac:dyDescent="0.2">
      <c r="A2665" s="10"/>
      <c r="B2665" s="26"/>
      <c r="C2665" s="11">
        <v>2003</v>
      </c>
      <c r="D2665" s="32">
        <f>SPFI_CLB14!$D$26</f>
        <v>0.20691100000000001</v>
      </c>
      <c r="E2665" s="32"/>
      <c r="F2665" s="32"/>
      <c r="G2665" s="32"/>
      <c r="H2665" s="32"/>
      <c r="I2665" s="32"/>
      <c r="J2665" s="28">
        <f t="shared" ref="J2665" si="2358">D2665*J$85</f>
        <v>0</v>
      </c>
      <c r="K2665" s="29"/>
      <c r="L2665" s="29"/>
      <c r="M2665" s="29"/>
      <c r="N2665" s="29"/>
      <c r="O2665" s="29"/>
      <c r="P2665" s="30">
        <f t="shared" si="2355"/>
        <v>0</v>
      </c>
      <c r="Q2665" s="31">
        <f t="shared" si="2353"/>
        <v>0</v>
      </c>
    </row>
    <row r="2666" spans="1:17" x14ac:dyDescent="0.2">
      <c r="A2666" s="10"/>
      <c r="B2666" s="26"/>
      <c r="C2666" s="11">
        <v>2004</v>
      </c>
      <c r="D2666" s="32">
        <f>SPFI_CLB14!$D$27</f>
        <v>0.269237</v>
      </c>
      <c r="E2666" s="32"/>
      <c r="F2666" s="32"/>
      <c r="G2666" s="32"/>
      <c r="H2666" s="32"/>
      <c r="I2666" s="32"/>
      <c r="J2666" s="28">
        <f t="shared" ref="J2666" si="2359">D2666*J$85</f>
        <v>0</v>
      </c>
      <c r="K2666" s="29"/>
      <c r="L2666" s="29"/>
      <c r="M2666" s="29"/>
      <c r="N2666" s="29"/>
      <c r="O2666" s="29"/>
      <c r="P2666" s="30">
        <f t="shared" si="2355"/>
        <v>0</v>
      </c>
      <c r="Q2666" s="31">
        <f t="shared" si="2353"/>
        <v>0</v>
      </c>
    </row>
    <row r="2667" spans="1:17" x14ac:dyDescent="0.2">
      <c r="A2667" s="10"/>
      <c r="B2667" s="26"/>
      <c r="C2667" s="11">
        <v>2005</v>
      </c>
      <c r="D2667" s="32">
        <f>SPFI_CLB14!$D$28</f>
        <v>0.37848700000000002</v>
      </c>
      <c r="E2667" s="32"/>
      <c r="F2667" s="32"/>
      <c r="G2667" s="32"/>
      <c r="H2667" s="32"/>
      <c r="I2667" s="32"/>
      <c r="J2667" s="28">
        <f t="shared" ref="J2667" si="2360">D2667*J$85</f>
        <v>0</v>
      </c>
      <c r="K2667" s="29"/>
      <c r="L2667" s="29"/>
      <c r="M2667" s="29"/>
      <c r="N2667" s="29"/>
      <c r="O2667" s="29"/>
      <c r="P2667" s="30">
        <f t="shared" si="2355"/>
        <v>0</v>
      </c>
      <c r="Q2667" s="31">
        <f t="shared" ref="Q2667:Q2672" si="2361">IF(C$85&gt;0,P2667/C$85,0)</f>
        <v>0</v>
      </c>
    </row>
    <row r="2668" spans="1:17" x14ac:dyDescent="0.2">
      <c r="A2668" s="10"/>
      <c r="B2668" s="26"/>
      <c r="C2668" s="11">
        <v>2006</v>
      </c>
      <c r="D2668" s="32">
        <f>SPFI_CLB14!$D$29</f>
        <v>0.381023</v>
      </c>
      <c r="E2668" s="32"/>
      <c r="F2668" s="32"/>
      <c r="G2668" s="32"/>
      <c r="H2668" s="32"/>
      <c r="I2668" s="32"/>
      <c r="J2668" s="28">
        <f t="shared" ref="J2668" si="2362">D2668*J$85</f>
        <v>0</v>
      </c>
      <c r="K2668" s="29"/>
      <c r="L2668" s="29"/>
      <c r="M2668" s="29"/>
      <c r="N2668" s="29"/>
      <c r="O2668" s="29"/>
      <c r="P2668" s="30">
        <f t="shared" ref="P2668:P2675" si="2363">SUM(J2668:O2668)</f>
        <v>0</v>
      </c>
      <c r="Q2668" s="31">
        <f t="shared" si="2361"/>
        <v>0</v>
      </c>
    </row>
    <row r="2669" spans="1:17" x14ac:dyDescent="0.2">
      <c r="A2669" s="10"/>
      <c r="B2669" s="26"/>
      <c r="C2669" s="11">
        <v>2007</v>
      </c>
      <c r="D2669" s="32">
        <f>SPFI_CLB14!$D$30</f>
        <v>0.356512</v>
      </c>
      <c r="E2669" s="32"/>
      <c r="F2669" s="32"/>
      <c r="G2669" s="32"/>
      <c r="H2669" s="32"/>
      <c r="I2669" s="32"/>
      <c r="J2669" s="28">
        <f t="shared" ref="J2669" si="2364">D2669*J$85</f>
        <v>0</v>
      </c>
      <c r="K2669" s="29"/>
      <c r="L2669" s="29"/>
      <c r="M2669" s="29"/>
      <c r="N2669" s="29"/>
      <c r="O2669" s="29"/>
      <c r="P2669" s="30">
        <f t="shared" si="2363"/>
        <v>0</v>
      </c>
      <c r="Q2669" s="31">
        <f t="shared" si="2361"/>
        <v>0</v>
      </c>
    </row>
    <row r="2670" spans="1:17" x14ac:dyDescent="0.2">
      <c r="A2670" s="10"/>
      <c r="B2670" s="26"/>
      <c r="C2670" s="11">
        <v>2008</v>
      </c>
      <c r="D2670" s="32">
        <f>SPFI_CLB14!$D$31</f>
        <v>0.25494499999999998</v>
      </c>
      <c r="E2670" s="32"/>
      <c r="F2670" s="32"/>
      <c r="G2670" s="32"/>
      <c r="H2670" s="32"/>
      <c r="I2670" s="32"/>
      <c r="J2670" s="28">
        <f t="shared" ref="J2670" si="2365">D2670*J$85</f>
        <v>0</v>
      </c>
      <c r="K2670" s="29"/>
      <c r="L2670" s="29"/>
      <c r="M2670" s="29"/>
      <c r="N2670" s="29"/>
      <c r="O2670" s="29"/>
      <c r="P2670" s="30">
        <f t="shared" si="2363"/>
        <v>0</v>
      </c>
      <c r="Q2670" s="31">
        <f t="shared" si="2361"/>
        <v>0</v>
      </c>
    </row>
    <row r="2671" spans="1:17" x14ac:dyDescent="0.2">
      <c r="A2671" s="10"/>
      <c r="B2671" s="26"/>
      <c r="C2671" s="11">
        <v>2009</v>
      </c>
      <c r="D2671" s="32">
        <f>SPFI_CLB14!$D$32</f>
        <v>0.52383000000000002</v>
      </c>
      <c r="E2671" s="32"/>
      <c r="F2671" s="32"/>
      <c r="G2671" s="32"/>
      <c r="H2671" s="32"/>
      <c r="I2671" s="32"/>
      <c r="J2671" s="28">
        <f t="shared" ref="J2671" si="2366">D2671*J$85</f>
        <v>0</v>
      </c>
      <c r="K2671" s="29"/>
      <c r="L2671" s="29"/>
      <c r="M2671" s="29"/>
      <c r="N2671" s="29"/>
      <c r="O2671" s="29"/>
      <c r="P2671" s="30">
        <f t="shared" si="2363"/>
        <v>0</v>
      </c>
      <c r="Q2671" s="31">
        <f t="shared" si="2361"/>
        <v>0</v>
      </c>
    </row>
    <row r="2672" spans="1:17" x14ac:dyDescent="0.2">
      <c r="A2672" s="10"/>
      <c r="B2672" s="26"/>
      <c r="C2672" s="11">
        <v>2010</v>
      </c>
      <c r="D2672" s="32">
        <f>SPFI_CLB14!$D$33</f>
        <v>0.31394</v>
      </c>
      <c r="E2672" s="32"/>
      <c r="F2672" s="32"/>
      <c r="G2672" s="32"/>
      <c r="H2672" s="32"/>
      <c r="I2672" s="32"/>
      <c r="J2672" s="28">
        <f t="shared" ref="J2672" si="2367">D2672*J$85</f>
        <v>0</v>
      </c>
      <c r="K2672" s="29"/>
      <c r="L2672" s="29"/>
      <c r="M2672" s="29"/>
      <c r="N2672" s="29"/>
      <c r="O2672" s="29"/>
      <c r="P2672" s="30">
        <f t="shared" si="2363"/>
        <v>0</v>
      </c>
      <c r="Q2672" s="31">
        <f t="shared" si="2361"/>
        <v>0</v>
      </c>
    </row>
    <row r="2673" spans="1:17" x14ac:dyDescent="0.2">
      <c r="A2673" s="10"/>
      <c r="B2673" s="26"/>
      <c r="C2673" s="11">
        <v>2011</v>
      </c>
      <c r="D2673" s="32">
        <f>SPFI_CLB14!$D$34</f>
        <v>0.294348</v>
      </c>
      <c r="E2673" s="32"/>
      <c r="F2673" s="32"/>
      <c r="G2673" s="32"/>
      <c r="H2673" s="32"/>
      <c r="I2673" s="32"/>
      <c r="J2673" s="28">
        <f t="shared" ref="J2673" si="2368">D2673*J$85</f>
        <v>0</v>
      </c>
      <c r="K2673" s="29"/>
      <c r="L2673" s="29"/>
      <c r="M2673" s="29"/>
      <c r="N2673" s="29"/>
      <c r="O2673" s="29"/>
      <c r="P2673" s="30">
        <f t="shared" ref="P2673" si="2369">SUM(J2673:O2673)</f>
        <v>0</v>
      </c>
      <c r="Q2673" s="31">
        <f t="shared" ref="Q2673" si="2370">IF(C$85&gt;0,P2673/C$85,0)</f>
        <v>0</v>
      </c>
    </row>
    <row r="2674" spans="1:17" x14ac:dyDescent="0.2">
      <c r="A2674" s="10"/>
      <c r="B2674" s="26"/>
      <c r="C2674" s="11">
        <v>2012</v>
      </c>
      <c r="D2674" s="32">
        <f>SPFI_CLB14!$D$35</f>
        <v>0.34784100000000001</v>
      </c>
      <c r="E2674" s="32"/>
      <c r="F2674" s="32"/>
      <c r="G2674" s="32"/>
      <c r="H2674" s="32"/>
      <c r="I2674" s="32"/>
      <c r="J2674" s="28">
        <f t="shared" ref="J2674" si="2371">D2674*J$85</f>
        <v>0</v>
      </c>
      <c r="K2674" s="29"/>
      <c r="L2674" s="29"/>
      <c r="M2674" s="29"/>
      <c r="N2674" s="29"/>
      <c r="O2674" s="29"/>
      <c r="P2674" s="30">
        <f t="shared" ref="P2674" si="2372">SUM(J2674:O2674)</f>
        <v>0</v>
      </c>
      <c r="Q2674" s="31">
        <f t="shared" ref="Q2674" si="2373">IF(C$85&gt;0,P2674/C$85,0)</f>
        <v>0</v>
      </c>
    </row>
    <row r="2675" spans="1:17" x14ac:dyDescent="0.2">
      <c r="A2675" s="5" t="s">
        <v>26</v>
      </c>
      <c r="B2675" s="21">
        <v>4</v>
      </c>
      <c r="C2675" s="6">
        <v>1982</v>
      </c>
      <c r="D2675" s="27">
        <f>SPFI_CLB14!$D$5</f>
        <v>0.98153299999999999</v>
      </c>
      <c r="E2675" s="27"/>
      <c r="F2675" s="27"/>
      <c r="G2675" s="27"/>
      <c r="H2675" s="27"/>
      <c r="I2675" s="27"/>
      <c r="J2675" s="33">
        <f t="shared" ref="J2675:J2687" si="2374">D2675*J$86</f>
        <v>0</v>
      </c>
      <c r="K2675" s="27"/>
      <c r="L2675" s="27"/>
      <c r="M2675" s="27"/>
      <c r="N2675" s="27"/>
      <c r="O2675" s="27"/>
      <c r="P2675" s="34">
        <f t="shared" si="2363"/>
        <v>0</v>
      </c>
      <c r="Q2675" s="35">
        <f t="shared" ref="Q2675:Q2691" si="2375">IF(C$86&gt;0,P2675/C$86,0)</f>
        <v>0</v>
      </c>
    </row>
    <row r="2676" spans="1:17" x14ac:dyDescent="0.2">
      <c r="A2676" s="10"/>
      <c r="B2676" s="26"/>
      <c r="C2676" s="11">
        <v>1983</v>
      </c>
      <c r="D2676" s="32">
        <f>SPFI_CLB14!$D$6</f>
        <v>0.93659899999999996</v>
      </c>
      <c r="E2676" s="32"/>
      <c r="F2676" s="32"/>
      <c r="G2676" s="32"/>
      <c r="H2676" s="32"/>
      <c r="I2676" s="32"/>
      <c r="J2676" s="28">
        <f t="shared" si="2374"/>
        <v>0</v>
      </c>
      <c r="K2676" s="29"/>
      <c r="L2676" s="29"/>
      <c r="M2676" s="29"/>
      <c r="N2676" s="29"/>
      <c r="O2676" s="29"/>
      <c r="P2676" s="30">
        <f t="shared" ref="P2676:P2687" si="2376">SUM(J2676:O2676)</f>
        <v>0</v>
      </c>
      <c r="Q2676" s="31">
        <f t="shared" si="2375"/>
        <v>0</v>
      </c>
    </row>
    <row r="2677" spans="1:17" x14ac:dyDescent="0.2">
      <c r="A2677" s="10"/>
      <c r="B2677" s="26"/>
      <c r="C2677" s="11">
        <v>1984</v>
      </c>
      <c r="D2677" s="32">
        <f>SPFI_CLB14!$D$7</f>
        <v>0.92793599999999998</v>
      </c>
      <c r="E2677" s="32"/>
      <c r="F2677" s="32"/>
      <c r="G2677" s="32"/>
      <c r="H2677" s="32"/>
      <c r="I2677" s="32"/>
      <c r="J2677" s="28">
        <f t="shared" si="2374"/>
        <v>0</v>
      </c>
      <c r="K2677" s="29"/>
      <c r="L2677" s="29"/>
      <c r="M2677" s="29"/>
      <c r="N2677" s="29"/>
      <c r="O2677" s="29"/>
      <c r="P2677" s="30">
        <f t="shared" si="2376"/>
        <v>0</v>
      </c>
      <c r="Q2677" s="31">
        <f t="shared" si="2375"/>
        <v>0</v>
      </c>
    </row>
    <row r="2678" spans="1:17" x14ac:dyDescent="0.2">
      <c r="A2678" s="10"/>
      <c r="B2678" s="26"/>
      <c r="C2678" s="11">
        <v>1985</v>
      </c>
      <c r="D2678" s="32">
        <f>SPFI_CLB14!$D$8</f>
        <v>0.90386500000000003</v>
      </c>
      <c r="E2678" s="32"/>
      <c r="F2678" s="32"/>
      <c r="G2678" s="32"/>
      <c r="H2678" s="32"/>
      <c r="I2678" s="32"/>
      <c r="J2678" s="28">
        <f t="shared" si="2374"/>
        <v>0</v>
      </c>
      <c r="K2678" s="29"/>
      <c r="L2678" s="29"/>
      <c r="M2678" s="29"/>
      <c r="N2678" s="29"/>
      <c r="O2678" s="29"/>
      <c r="P2678" s="30">
        <f t="shared" si="2376"/>
        <v>0</v>
      </c>
      <c r="Q2678" s="31">
        <f t="shared" si="2375"/>
        <v>0</v>
      </c>
    </row>
    <row r="2679" spans="1:17" x14ac:dyDescent="0.2">
      <c r="A2679" s="10"/>
      <c r="B2679" s="26"/>
      <c r="C2679" s="11">
        <v>1986</v>
      </c>
      <c r="D2679" s="32">
        <f>SPFI_CLB14!$D$9</f>
        <v>0.73087500000000005</v>
      </c>
      <c r="E2679" s="32"/>
      <c r="F2679" s="32"/>
      <c r="G2679" s="32"/>
      <c r="H2679" s="32"/>
      <c r="I2679" s="32"/>
      <c r="J2679" s="28">
        <f t="shared" si="2374"/>
        <v>0</v>
      </c>
      <c r="K2679" s="29"/>
      <c r="L2679" s="29"/>
      <c r="M2679" s="29"/>
      <c r="N2679" s="29"/>
      <c r="O2679" s="29"/>
      <c r="P2679" s="30">
        <f t="shared" si="2376"/>
        <v>0</v>
      </c>
      <c r="Q2679" s="31">
        <f t="shared" si="2375"/>
        <v>0</v>
      </c>
    </row>
    <row r="2680" spans="1:17" x14ac:dyDescent="0.2">
      <c r="A2680" s="10"/>
      <c r="B2680" s="26"/>
      <c r="C2680" s="11">
        <v>1987</v>
      </c>
      <c r="D2680" s="32">
        <f>SPFI_CLB14!$D$10</f>
        <v>0.71733499999999994</v>
      </c>
      <c r="E2680" s="32"/>
      <c r="F2680" s="32"/>
      <c r="G2680" s="32"/>
      <c r="H2680" s="32"/>
      <c r="I2680" s="32"/>
      <c r="J2680" s="28">
        <f t="shared" si="2374"/>
        <v>0</v>
      </c>
      <c r="K2680" s="29"/>
      <c r="L2680" s="29"/>
      <c r="M2680" s="29"/>
      <c r="N2680" s="29"/>
      <c r="O2680" s="29"/>
      <c r="P2680" s="30">
        <f t="shared" si="2376"/>
        <v>0</v>
      </c>
      <c r="Q2680" s="31">
        <f t="shared" si="2375"/>
        <v>0</v>
      </c>
    </row>
    <row r="2681" spans="1:17" x14ac:dyDescent="0.2">
      <c r="A2681" s="10"/>
      <c r="B2681" s="26"/>
      <c r="C2681" s="11">
        <v>1988</v>
      </c>
      <c r="D2681" s="32">
        <f>SPFI_CLB14!$D$11</f>
        <v>0.64558800000000005</v>
      </c>
      <c r="E2681" s="32"/>
      <c r="F2681" s="32"/>
      <c r="G2681" s="32"/>
      <c r="H2681" s="32"/>
      <c r="I2681" s="32"/>
      <c r="J2681" s="28">
        <f t="shared" si="2374"/>
        <v>0</v>
      </c>
      <c r="K2681" s="29"/>
      <c r="L2681" s="29"/>
      <c r="M2681" s="29"/>
      <c r="N2681" s="29"/>
      <c r="O2681" s="29"/>
      <c r="P2681" s="30">
        <f t="shared" si="2376"/>
        <v>0</v>
      </c>
      <c r="Q2681" s="31">
        <f t="shared" si="2375"/>
        <v>0</v>
      </c>
    </row>
    <row r="2682" spans="1:17" x14ac:dyDescent="0.2">
      <c r="A2682" s="10"/>
      <c r="B2682" s="26"/>
      <c r="C2682" s="11">
        <v>1989</v>
      </c>
      <c r="D2682" s="32">
        <f>SPFI_CLB14!$D$12</f>
        <v>0.65287700000000004</v>
      </c>
      <c r="E2682" s="32"/>
      <c r="F2682" s="32"/>
      <c r="G2682" s="32"/>
      <c r="H2682" s="32"/>
      <c r="I2682" s="32"/>
      <c r="J2682" s="28">
        <f t="shared" si="2374"/>
        <v>0</v>
      </c>
      <c r="K2682" s="29"/>
      <c r="L2682" s="29"/>
      <c r="M2682" s="29"/>
      <c r="N2682" s="29"/>
      <c r="O2682" s="29"/>
      <c r="P2682" s="30">
        <f t="shared" si="2376"/>
        <v>0</v>
      </c>
      <c r="Q2682" s="31">
        <f t="shared" si="2375"/>
        <v>0</v>
      </c>
    </row>
    <row r="2683" spans="1:17" x14ac:dyDescent="0.2">
      <c r="A2683" s="10"/>
      <c r="B2683" s="26"/>
      <c r="C2683" s="11">
        <v>1990</v>
      </c>
      <c r="D2683" s="32">
        <f>SPFI_CLB14!$D$13</f>
        <v>0.56965100000000002</v>
      </c>
      <c r="E2683" s="32"/>
      <c r="F2683" s="32"/>
      <c r="G2683" s="32"/>
      <c r="H2683" s="32"/>
      <c r="I2683" s="32"/>
      <c r="J2683" s="28">
        <f t="shared" si="2374"/>
        <v>0</v>
      </c>
      <c r="K2683" s="29"/>
      <c r="L2683" s="29"/>
      <c r="M2683" s="29"/>
      <c r="N2683" s="29"/>
      <c r="O2683" s="29"/>
      <c r="P2683" s="30">
        <f t="shared" si="2376"/>
        <v>0</v>
      </c>
      <c r="Q2683" s="31">
        <f t="shared" si="2375"/>
        <v>0</v>
      </c>
    </row>
    <row r="2684" spans="1:17" x14ac:dyDescent="0.2">
      <c r="A2684" s="10"/>
      <c r="B2684" s="26"/>
      <c r="C2684" s="11">
        <v>1991</v>
      </c>
      <c r="D2684" s="32">
        <f>SPFI_CLB14!$D$14</f>
        <v>0.62776900000000002</v>
      </c>
      <c r="E2684" s="32"/>
      <c r="F2684" s="32"/>
      <c r="G2684" s="32"/>
      <c r="H2684" s="32"/>
      <c r="I2684" s="32"/>
      <c r="J2684" s="28">
        <f t="shared" si="2374"/>
        <v>0</v>
      </c>
      <c r="K2684" s="29"/>
      <c r="L2684" s="29"/>
      <c r="M2684" s="29"/>
      <c r="N2684" s="29"/>
      <c r="O2684" s="29"/>
      <c r="P2684" s="30">
        <f t="shared" si="2376"/>
        <v>0</v>
      </c>
      <c r="Q2684" s="31">
        <f t="shared" si="2375"/>
        <v>0</v>
      </c>
    </row>
    <row r="2685" spans="1:17" x14ac:dyDescent="0.2">
      <c r="A2685" s="10"/>
      <c r="B2685" s="26"/>
      <c r="C2685" s="11">
        <v>1992</v>
      </c>
      <c r="D2685" s="32">
        <f>SPFI_CLB14!$D$15</f>
        <v>0.43504100000000001</v>
      </c>
      <c r="E2685" s="32"/>
      <c r="F2685" s="32"/>
      <c r="G2685" s="32"/>
      <c r="H2685" s="32"/>
      <c r="I2685" s="32"/>
      <c r="J2685" s="28">
        <f t="shared" si="2374"/>
        <v>0</v>
      </c>
      <c r="K2685" s="29"/>
      <c r="L2685" s="29"/>
      <c r="M2685" s="29"/>
      <c r="N2685" s="29"/>
      <c r="O2685" s="29"/>
      <c r="P2685" s="30">
        <f t="shared" si="2376"/>
        <v>0</v>
      </c>
      <c r="Q2685" s="31">
        <f t="shared" si="2375"/>
        <v>0</v>
      </c>
    </row>
    <row r="2686" spans="1:17" x14ac:dyDescent="0.2">
      <c r="A2686" s="10"/>
      <c r="B2686" s="26"/>
      <c r="C2686" s="11">
        <v>1993</v>
      </c>
      <c r="D2686" s="32">
        <f>SPFI_CLB14!$D$16</f>
        <v>0.499164</v>
      </c>
      <c r="E2686" s="32"/>
      <c r="F2686" s="32"/>
      <c r="G2686" s="32"/>
      <c r="H2686" s="32"/>
      <c r="I2686" s="32"/>
      <c r="J2686" s="28">
        <f t="shared" si="2374"/>
        <v>0</v>
      </c>
      <c r="K2686" s="29"/>
      <c r="L2686" s="29"/>
      <c r="M2686" s="29"/>
      <c r="N2686" s="29"/>
      <c r="O2686" s="29"/>
      <c r="P2686" s="30">
        <f t="shared" si="2376"/>
        <v>0</v>
      </c>
      <c r="Q2686" s="31">
        <f t="shared" si="2375"/>
        <v>0</v>
      </c>
    </row>
    <row r="2687" spans="1:17" x14ac:dyDescent="0.2">
      <c r="A2687" s="10"/>
      <c r="B2687" s="26"/>
      <c r="C2687" s="11">
        <v>1994</v>
      </c>
      <c r="D2687" s="32">
        <f>SPFI_CLB14!$D$17</f>
        <v>0.59591300000000003</v>
      </c>
      <c r="E2687" s="32"/>
      <c r="F2687" s="32"/>
      <c r="G2687" s="32"/>
      <c r="H2687" s="32"/>
      <c r="I2687" s="32"/>
      <c r="J2687" s="28">
        <f t="shared" si="2374"/>
        <v>0</v>
      </c>
      <c r="K2687" s="29"/>
      <c r="L2687" s="29"/>
      <c r="M2687" s="29"/>
      <c r="N2687" s="29"/>
      <c r="O2687" s="29"/>
      <c r="P2687" s="30">
        <f t="shared" si="2376"/>
        <v>0</v>
      </c>
      <c r="Q2687" s="31">
        <f t="shared" si="2375"/>
        <v>0</v>
      </c>
    </row>
    <row r="2688" spans="1:17" x14ac:dyDescent="0.2">
      <c r="A2688" s="10"/>
      <c r="B2688" s="26"/>
      <c r="C2688" s="11">
        <v>1995</v>
      </c>
      <c r="D2688" s="32">
        <f>SPFI_CLB14!$D$18</f>
        <v>0.25400800000000001</v>
      </c>
      <c r="E2688" s="32"/>
      <c r="F2688" s="32"/>
      <c r="G2688" s="32"/>
      <c r="H2688" s="32"/>
      <c r="I2688" s="32"/>
      <c r="J2688" s="28">
        <f t="shared" ref="J2688" si="2377">D2688*J$86</f>
        <v>0</v>
      </c>
      <c r="K2688" s="29"/>
      <c r="L2688" s="29"/>
      <c r="M2688" s="29"/>
      <c r="N2688" s="29"/>
      <c r="O2688" s="29"/>
      <c r="P2688" s="30">
        <f>SUM(J2688:O2688)</f>
        <v>0</v>
      </c>
      <c r="Q2688" s="31">
        <f t="shared" si="2375"/>
        <v>0</v>
      </c>
    </row>
    <row r="2689" spans="1:17" x14ac:dyDescent="0.2">
      <c r="A2689" s="10"/>
      <c r="B2689" s="26"/>
      <c r="C2689" s="11">
        <v>1996</v>
      </c>
      <c r="D2689" s="32">
        <f>SPFI_CLB14!$D$19</f>
        <v>0</v>
      </c>
      <c r="E2689" s="32"/>
      <c r="F2689" s="32"/>
      <c r="G2689" s="32"/>
      <c r="H2689" s="32"/>
      <c r="I2689" s="32"/>
      <c r="J2689" s="28">
        <f t="shared" ref="J2689" si="2378">D2689*J$86</f>
        <v>0</v>
      </c>
      <c r="K2689" s="29"/>
      <c r="L2689" s="29"/>
      <c r="M2689" s="29"/>
      <c r="N2689" s="29"/>
      <c r="O2689" s="29"/>
      <c r="P2689" s="30">
        <f>SUM(J2689:O2689)</f>
        <v>0</v>
      </c>
      <c r="Q2689" s="31">
        <f t="shared" si="2375"/>
        <v>0</v>
      </c>
    </row>
    <row r="2690" spans="1:17" x14ac:dyDescent="0.2">
      <c r="A2690" s="10"/>
      <c r="B2690" s="26"/>
      <c r="C2690" s="11">
        <v>1997</v>
      </c>
      <c r="D2690" s="32">
        <f>SPFI_CLB14!$D$20</f>
        <v>0.201487</v>
      </c>
      <c r="E2690" s="32"/>
      <c r="F2690" s="32"/>
      <c r="G2690" s="32"/>
      <c r="H2690" s="32"/>
      <c r="I2690" s="32"/>
      <c r="J2690" s="28">
        <f t="shared" ref="J2690" si="2379">D2690*J$86</f>
        <v>0</v>
      </c>
      <c r="K2690" s="29"/>
      <c r="L2690" s="29"/>
      <c r="M2690" s="29"/>
      <c r="N2690" s="29"/>
      <c r="O2690" s="29"/>
      <c r="P2690" s="30">
        <f>SUM(J2690:O2690)</f>
        <v>0</v>
      </c>
      <c r="Q2690" s="31">
        <f t="shared" si="2375"/>
        <v>0</v>
      </c>
    </row>
    <row r="2691" spans="1:17" x14ac:dyDescent="0.2">
      <c r="A2691" s="10"/>
      <c r="B2691" s="26"/>
      <c r="C2691" s="11">
        <v>1998</v>
      </c>
      <c r="D2691" s="32">
        <f>SPFI_CLB14!$D$21</f>
        <v>0.37506400000000001</v>
      </c>
      <c r="E2691" s="32"/>
      <c r="F2691" s="32"/>
      <c r="G2691" s="32"/>
      <c r="H2691" s="32"/>
      <c r="I2691" s="32"/>
      <c r="J2691" s="28">
        <f t="shared" ref="J2691" si="2380">D2691*J$86</f>
        <v>0</v>
      </c>
      <c r="K2691" s="29"/>
      <c r="L2691" s="29"/>
      <c r="M2691" s="29"/>
      <c r="N2691" s="29"/>
      <c r="O2691" s="29"/>
      <c r="P2691" s="30">
        <f>SUM(J2691:O2691)</f>
        <v>0</v>
      </c>
      <c r="Q2691" s="31">
        <f t="shared" si="2375"/>
        <v>0</v>
      </c>
    </row>
    <row r="2692" spans="1:17" x14ac:dyDescent="0.2">
      <c r="A2692" s="10"/>
      <c r="B2692" s="26"/>
      <c r="C2692" s="11">
        <v>1999</v>
      </c>
      <c r="D2692" s="32">
        <f>SPFI_CLB14!$D$22</f>
        <v>0.29823699999999997</v>
      </c>
      <c r="E2692" s="32"/>
      <c r="F2692" s="32"/>
      <c r="G2692" s="32"/>
      <c r="H2692" s="32"/>
      <c r="I2692" s="32"/>
      <c r="J2692" s="28">
        <f t="shared" ref="J2692" si="2381">D2692*J$86</f>
        <v>0</v>
      </c>
      <c r="K2692" s="29"/>
      <c r="L2692" s="29"/>
      <c r="M2692" s="29"/>
      <c r="N2692" s="29"/>
      <c r="O2692" s="29"/>
      <c r="P2692" s="30">
        <f>SUM(J2692:O2692)</f>
        <v>0</v>
      </c>
      <c r="Q2692" s="31">
        <f t="shared" ref="Q2692:Q2697" si="2382">IF(C$86&gt;0,P2692/C$86,0)</f>
        <v>0</v>
      </c>
    </row>
    <row r="2693" spans="1:17" x14ac:dyDescent="0.2">
      <c r="A2693" s="10"/>
      <c r="B2693" s="26"/>
      <c r="C2693" s="11">
        <v>2000</v>
      </c>
      <c r="D2693" s="32">
        <f>SPFI_CLB14!$D$23</f>
        <v>8.4414000000000003E-2</v>
      </c>
      <c r="E2693" s="32"/>
      <c r="F2693" s="32"/>
      <c r="G2693" s="32"/>
      <c r="H2693" s="32"/>
      <c r="I2693" s="32"/>
      <c r="J2693" s="28">
        <f t="shared" ref="J2693" si="2383">D2693*J$86</f>
        <v>0</v>
      </c>
      <c r="K2693" s="29"/>
      <c r="L2693" s="29"/>
      <c r="M2693" s="29"/>
      <c r="N2693" s="29"/>
      <c r="O2693" s="29"/>
      <c r="P2693" s="30">
        <f t="shared" ref="P2693:P2698" si="2384">SUM(J2693:O2693)</f>
        <v>0</v>
      </c>
      <c r="Q2693" s="31">
        <f t="shared" si="2382"/>
        <v>0</v>
      </c>
    </row>
    <row r="2694" spans="1:17" x14ac:dyDescent="0.2">
      <c r="A2694" s="10"/>
      <c r="B2694" s="26"/>
      <c r="C2694" s="11">
        <v>2001</v>
      </c>
      <c r="D2694" s="32">
        <f>SPFI_CLB14!$D$24</f>
        <v>7.8909000000000007E-2</v>
      </c>
      <c r="E2694" s="32"/>
      <c r="F2694" s="32"/>
      <c r="G2694" s="32"/>
      <c r="H2694" s="32"/>
      <c r="I2694" s="32"/>
      <c r="J2694" s="28">
        <f t="shared" ref="J2694" si="2385">D2694*J$86</f>
        <v>0</v>
      </c>
      <c r="K2694" s="29"/>
      <c r="L2694" s="29"/>
      <c r="M2694" s="29"/>
      <c r="N2694" s="29"/>
      <c r="O2694" s="29"/>
      <c r="P2694" s="30">
        <f t="shared" si="2384"/>
        <v>0</v>
      </c>
      <c r="Q2694" s="31">
        <f t="shared" si="2382"/>
        <v>0</v>
      </c>
    </row>
    <row r="2695" spans="1:17" x14ac:dyDescent="0.2">
      <c r="A2695" s="10"/>
      <c r="B2695" s="26"/>
      <c r="C2695" s="11">
        <v>2002</v>
      </c>
      <c r="D2695" s="32">
        <f>SPFI_CLB14!$D$25</f>
        <v>0.29974699999999999</v>
      </c>
      <c r="E2695" s="32"/>
      <c r="F2695" s="32"/>
      <c r="G2695" s="32"/>
      <c r="H2695" s="32"/>
      <c r="I2695" s="32"/>
      <c r="J2695" s="28">
        <f t="shared" ref="J2695" si="2386">D2695*J$86</f>
        <v>0</v>
      </c>
      <c r="K2695" s="29"/>
      <c r="L2695" s="29"/>
      <c r="M2695" s="29"/>
      <c r="N2695" s="29"/>
      <c r="O2695" s="29"/>
      <c r="P2695" s="30">
        <f t="shared" si="2384"/>
        <v>0</v>
      </c>
      <c r="Q2695" s="31">
        <f t="shared" si="2382"/>
        <v>0</v>
      </c>
    </row>
    <row r="2696" spans="1:17" x14ac:dyDescent="0.2">
      <c r="A2696" s="10"/>
      <c r="B2696" s="26"/>
      <c r="C2696" s="11">
        <v>2003</v>
      </c>
      <c r="D2696" s="32">
        <f>SPFI_CLB14!$D$26</f>
        <v>0.20691100000000001</v>
      </c>
      <c r="E2696" s="32"/>
      <c r="F2696" s="32"/>
      <c r="G2696" s="32"/>
      <c r="H2696" s="32"/>
      <c r="I2696" s="32"/>
      <c r="J2696" s="28">
        <f t="shared" ref="J2696" si="2387">D2696*J$86</f>
        <v>0</v>
      </c>
      <c r="K2696" s="29"/>
      <c r="L2696" s="29"/>
      <c r="M2696" s="29"/>
      <c r="N2696" s="29"/>
      <c r="O2696" s="29"/>
      <c r="P2696" s="30">
        <f t="shared" si="2384"/>
        <v>0</v>
      </c>
      <c r="Q2696" s="31">
        <f t="shared" si="2382"/>
        <v>0</v>
      </c>
    </row>
    <row r="2697" spans="1:17" x14ac:dyDescent="0.2">
      <c r="A2697" s="10"/>
      <c r="B2697" s="26"/>
      <c r="C2697" s="11">
        <v>2004</v>
      </c>
      <c r="D2697" s="32">
        <f>SPFI_CLB14!$D$27</f>
        <v>0.269237</v>
      </c>
      <c r="E2697" s="32"/>
      <c r="F2697" s="32"/>
      <c r="G2697" s="32"/>
      <c r="H2697" s="32"/>
      <c r="I2697" s="32"/>
      <c r="J2697" s="28">
        <f t="shared" ref="J2697" si="2388">D2697*J$86</f>
        <v>0</v>
      </c>
      <c r="K2697" s="29"/>
      <c r="L2697" s="29"/>
      <c r="M2697" s="29"/>
      <c r="N2697" s="29"/>
      <c r="O2697" s="29"/>
      <c r="P2697" s="30">
        <f t="shared" si="2384"/>
        <v>0</v>
      </c>
      <c r="Q2697" s="31">
        <f t="shared" si="2382"/>
        <v>0</v>
      </c>
    </row>
    <row r="2698" spans="1:17" x14ac:dyDescent="0.2">
      <c r="A2698" s="10"/>
      <c r="B2698" s="26"/>
      <c r="C2698" s="11">
        <v>2005</v>
      </c>
      <c r="D2698" s="32">
        <f>SPFI_CLB14!$D$28</f>
        <v>0.37848700000000002</v>
      </c>
      <c r="E2698" s="32"/>
      <c r="F2698" s="32"/>
      <c r="G2698" s="32"/>
      <c r="H2698" s="32"/>
      <c r="I2698" s="32"/>
      <c r="J2698" s="28">
        <f t="shared" ref="J2698" si="2389">D2698*J$86</f>
        <v>0</v>
      </c>
      <c r="K2698" s="29"/>
      <c r="L2698" s="29"/>
      <c r="M2698" s="29"/>
      <c r="N2698" s="29"/>
      <c r="O2698" s="29"/>
      <c r="P2698" s="30">
        <f t="shared" si="2384"/>
        <v>0</v>
      </c>
      <c r="Q2698" s="31">
        <f t="shared" ref="Q2698:Q2703" si="2390">IF(C$86&gt;0,P2698/C$86,0)</f>
        <v>0</v>
      </c>
    </row>
    <row r="2699" spans="1:17" x14ac:dyDescent="0.2">
      <c r="A2699" s="10"/>
      <c r="B2699" s="26"/>
      <c r="C2699" s="11">
        <v>2006</v>
      </c>
      <c r="D2699" s="32">
        <f>SPFI_CLB14!$D$29</f>
        <v>0.381023</v>
      </c>
      <c r="E2699" s="32"/>
      <c r="F2699" s="32"/>
      <c r="G2699" s="32"/>
      <c r="H2699" s="32"/>
      <c r="I2699" s="32"/>
      <c r="J2699" s="28">
        <f t="shared" ref="J2699" si="2391">D2699*J$86</f>
        <v>0</v>
      </c>
      <c r="K2699" s="29"/>
      <c r="L2699" s="29"/>
      <c r="M2699" s="29"/>
      <c r="N2699" s="29"/>
      <c r="O2699" s="29"/>
      <c r="P2699" s="30">
        <f t="shared" ref="P2699:P2706" si="2392">SUM(J2699:O2699)</f>
        <v>0</v>
      </c>
      <c r="Q2699" s="31">
        <f t="shared" si="2390"/>
        <v>0</v>
      </c>
    </row>
    <row r="2700" spans="1:17" x14ac:dyDescent="0.2">
      <c r="A2700" s="10"/>
      <c r="B2700" s="26"/>
      <c r="C2700" s="11">
        <v>2007</v>
      </c>
      <c r="D2700" s="32">
        <f>SPFI_CLB14!$D$30</f>
        <v>0.356512</v>
      </c>
      <c r="E2700" s="32"/>
      <c r="F2700" s="32"/>
      <c r="G2700" s="32"/>
      <c r="H2700" s="32"/>
      <c r="I2700" s="32"/>
      <c r="J2700" s="28">
        <f t="shared" ref="J2700" si="2393">D2700*J$86</f>
        <v>0</v>
      </c>
      <c r="K2700" s="29"/>
      <c r="L2700" s="29"/>
      <c r="M2700" s="29"/>
      <c r="N2700" s="29"/>
      <c r="O2700" s="29"/>
      <c r="P2700" s="30">
        <f t="shared" si="2392"/>
        <v>0</v>
      </c>
      <c r="Q2700" s="31">
        <f t="shared" si="2390"/>
        <v>0</v>
      </c>
    </row>
    <row r="2701" spans="1:17" x14ac:dyDescent="0.2">
      <c r="A2701" s="10"/>
      <c r="B2701" s="26"/>
      <c r="C2701" s="11">
        <v>2008</v>
      </c>
      <c r="D2701" s="32">
        <f>SPFI_CLB14!$D$31</f>
        <v>0.25494499999999998</v>
      </c>
      <c r="E2701" s="32"/>
      <c r="F2701" s="32"/>
      <c r="G2701" s="32"/>
      <c r="H2701" s="32"/>
      <c r="I2701" s="32"/>
      <c r="J2701" s="28">
        <f t="shared" ref="J2701" si="2394">D2701*J$86</f>
        <v>0</v>
      </c>
      <c r="K2701" s="29"/>
      <c r="L2701" s="29"/>
      <c r="M2701" s="29"/>
      <c r="N2701" s="29"/>
      <c r="O2701" s="29"/>
      <c r="P2701" s="30">
        <f t="shared" si="2392"/>
        <v>0</v>
      </c>
      <c r="Q2701" s="31">
        <f t="shared" si="2390"/>
        <v>0</v>
      </c>
    </row>
    <row r="2702" spans="1:17" x14ac:dyDescent="0.2">
      <c r="A2702" s="10"/>
      <c r="B2702" s="26"/>
      <c r="C2702" s="11">
        <v>2009</v>
      </c>
      <c r="D2702" s="32">
        <f>SPFI_CLB14!$D$32</f>
        <v>0.52383000000000002</v>
      </c>
      <c r="E2702" s="32"/>
      <c r="F2702" s="32"/>
      <c r="G2702" s="32"/>
      <c r="H2702" s="32"/>
      <c r="I2702" s="32"/>
      <c r="J2702" s="28">
        <f t="shared" ref="J2702" si="2395">D2702*J$86</f>
        <v>0</v>
      </c>
      <c r="K2702" s="29"/>
      <c r="L2702" s="29"/>
      <c r="M2702" s="29"/>
      <c r="N2702" s="29"/>
      <c r="O2702" s="29"/>
      <c r="P2702" s="30">
        <f t="shared" si="2392"/>
        <v>0</v>
      </c>
      <c r="Q2702" s="31">
        <f t="shared" si="2390"/>
        <v>0</v>
      </c>
    </row>
    <row r="2703" spans="1:17" x14ac:dyDescent="0.2">
      <c r="A2703" s="10"/>
      <c r="B2703" s="26"/>
      <c r="C2703" s="11">
        <v>2010</v>
      </c>
      <c r="D2703" s="32">
        <f>SPFI_CLB14!$D$33</f>
        <v>0.31394</v>
      </c>
      <c r="E2703" s="32"/>
      <c r="F2703" s="32"/>
      <c r="G2703" s="32"/>
      <c r="H2703" s="32"/>
      <c r="I2703" s="32"/>
      <c r="J2703" s="28">
        <f t="shared" ref="J2703" si="2396">D2703*J$86</f>
        <v>0</v>
      </c>
      <c r="K2703" s="29"/>
      <c r="L2703" s="29"/>
      <c r="M2703" s="29"/>
      <c r="N2703" s="29"/>
      <c r="O2703" s="29"/>
      <c r="P2703" s="30">
        <f t="shared" si="2392"/>
        <v>0</v>
      </c>
      <c r="Q2703" s="31">
        <f t="shared" si="2390"/>
        <v>0</v>
      </c>
    </row>
    <row r="2704" spans="1:17" x14ac:dyDescent="0.2">
      <c r="A2704" s="10"/>
      <c r="B2704" s="26"/>
      <c r="C2704" s="11">
        <v>2011</v>
      </c>
      <c r="D2704" s="32">
        <f>SPFI_CLB14!$D$34</f>
        <v>0.294348</v>
      </c>
      <c r="E2704" s="32"/>
      <c r="F2704" s="32"/>
      <c r="G2704" s="32"/>
      <c r="H2704" s="32"/>
      <c r="I2704" s="32"/>
      <c r="J2704" s="28">
        <f t="shared" ref="J2704" si="2397">D2704*J$86</f>
        <v>0</v>
      </c>
      <c r="K2704" s="29"/>
      <c r="L2704" s="29"/>
      <c r="M2704" s="29"/>
      <c r="N2704" s="29"/>
      <c r="O2704" s="29"/>
      <c r="P2704" s="30">
        <f t="shared" ref="P2704" si="2398">SUM(J2704:O2704)</f>
        <v>0</v>
      </c>
      <c r="Q2704" s="31">
        <f t="shared" ref="Q2704" si="2399">IF(C$86&gt;0,P2704/C$86,0)</f>
        <v>0</v>
      </c>
    </row>
    <row r="2705" spans="1:17" x14ac:dyDescent="0.2">
      <c r="A2705" s="10"/>
      <c r="B2705" s="26"/>
      <c r="C2705" s="11">
        <v>2012</v>
      </c>
      <c r="D2705" s="32">
        <f>SPFI_CLB14!$D$35</f>
        <v>0.34784100000000001</v>
      </c>
      <c r="E2705" s="32"/>
      <c r="F2705" s="32"/>
      <c r="G2705" s="32"/>
      <c r="H2705" s="32"/>
      <c r="I2705" s="32"/>
      <c r="J2705" s="28">
        <f t="shared" ref="J2705" si="2400">D2705*J$86</f>
        <v>0</v>
      </c>
      <c r="K2705" s="29"/>
      <c r="L2705" s="29"/>
      <c r="M2705" s="29"/>
      <c r="N2705" s="29"/>
      <c r="O2705" s="29"/>
      <c r="P2705" s="30">
        <f t="shared" ref="P2705" si="2401">SUM(J2705:O2705)</f>
        <v>0</v>
      </c>
      <c r="Q2705" s="31">
        <f t="shared" ref="Q2705" si="2402">IF(C$86&gt;0,P2705/C$86,0)</f>
        <v>0</v>
      </c>
    </row>
    <row r="2706" spans="1:17" x14ac:dyDescent="0.2">
      <c r="A2706" s="5" t="s">
        <v>26</v>
      </c>
      <c r="B2706" s="21">
        <v>5</v>
      </c>
      <c r="C2706" s="6">
        <v>1982</v>
      </c>
      <c r="D2706" s="27">
        <f>SPFI_CLB14!$D$5</f>
        <v>0.98153299999999999</v>
      </c>
      <c r="E2706" s="27"/>
      <c r="F2706" s="27"/>
      <c r="G2706" s="27"/>
      <c r="H2706" s="27"/>
      <c r="I2706" s="27"/>
      <c r="J2706" s="33">
        <f t="shared" ref="J2706:J2718" si="2403">D2706*J$87</f>
        <v>0</v>
      </c>
      <c r="K2706" s="27"/>
      <c r="L2706" s="27"/>
      <c r="M2706" s="27"/>
      <c r="N2706" s="27"/>
      <c r="O2706" s="27"/>
      <c r="P2706" s="34">
        <f t="shared" si="2392"/>
        <v>0</v>
      </c>
      <c r="Q2706" s="35">
        <f t="shared" ref="Q2706:Q2722" si="2404">IF(C$87&gt;0,P2706/C$87,0)</f>
        <v>0</v>
      </c>
    </row>
    <row r="2707" spans="1:17" x14ac:dyDescent="0.2">
      <c r="A2707" s="10"/>
      <c r="B2707" s="26"/>
      <c r="C2707" s="11">
        <v>1983</v>
      </c>
      <c r="D2707" s="32">
        <f>SPFI_CLB14!$D$6</f>
        <v>0.93659899999999996</v>
      </c>
      <c r="E2707" s="32"/>
      <c r="F2707" s="32"/>
      <c r="G2707" s="32"/>
      <c r="H2707" s="32"/>
      <c r="I2707" s="32"/>
      <c r="J2707" s="28">
        <f t="shared" si="2403"/>
        <v>0</v>
      </c>
      <c r="K2707" s="29"/>
      <c r="L2707" s="29"/>
      <c r="M2707" s="29"/>
      <c r="N2707" s="29"/>
      <c r="O2707" s="29"/>
      <c r="P2707" s="30">
        <f t="shared" ref="P2707:P2718" si="2405">SUM(J2707:O2707)</f>
        <v>0</v>
      </c>
      <c r="Q2707" s="31">
        <f t="shared" si="2404"/>
        <v>0</v>
      </c>
    </row>
    <row r="2708" spans="1:17" x14ac:dyDescent="0.2">
      <c r="A2708" s="10"/>
      <c r="B2708" s="26"/>
      <c r="C2708" s="11">
        <v>1984</v>
      </c>
      <c r="D2708" s="32">
        <f>SPFI_CLB14!$D$7</f>
        <v>0.92793599999999998</v>
      </c>
      <c r="E2708" s="32"/>
      <c r="F2708" s="32"/>
      <c r="G2708" s="32"/>
      <c r="H2708" s="32"/>
      <c r="I2708" s="32"/>
      <c r="J2708" s="28">
        <f t="shared" si="2403"/>
        <v>0</v>
      </c>
      <c r="K2708" s="29"/>
      <c r="L2708" s="29"/>
      <c r="M2708" s="29"/>
      <c r="N2708" s="29"/>
      <c r="O2708" s="29"/>
      <c r="P2708" s="30">
        <f t="shared" si="2405"/>
        <v>0</v>
      </c>
      <c r="Q2708" s="31">
        <f t="shared" si="2404"/>
        <v>0</v>
      </c>
    </row>
    <row r="2709" spans="1:17" x14ac:dyDescent="0.2">
      <c r="A2709" s="10"/>
      <c r="B2709" s="26"/>
      <c r="C2709" s="11">
        <v>1985</v>
      </c>
      <c r="D2709" s="32">
        <f>SPFI_CLB14!$D$8</f>
        <v>0.90386500000000003</v>
      </c>
      <c r="E2709" s="32"/>
      <c r="F2709" s="32"/>
      <c r="G2709" s="32"/>
      <c r="H2709" s="32"/>
      <c r="I2709" s="32"/>
      <c r="J2709" s="28">
        <f t="shared" si="2403"/>
        <v>0</v>
      </c>
      <c r="K2709" s="29"/>
      <c r="L2709" s="29"/>
      <c r="M2709" s="29"/>
      <c r="N2709" s="29"/>
      <c r="O2709" s="29"/>
      <c r="P2709" s="30">
        <f t="shared" si="2405"/>
        <v>0</v>
      </c>
      <c r="Q2709" s="31">
        <f t="shared" si="2404"/>
        <v>0</v>
      </c>
    </row>
    <row r="2710" spans="1:17" x14ac:dyDescent="0.2">
      <c r="A2710" s="10"/>
      <c r="B2710" s="26"/>
      <c r="C2710" s="11">
        <v>1986</v>
      </c>
      <c r="D2710" s="32">
        <f>SPFI_CLB14!$D$9</f>
        <v>0.73087500000000005</v>
      </c>
      <c r="E2710" s="32"/>
      <c r="F2710" s="32"/>
      <c r="G2710" s="32"/>
      <c r="H2710" s="32"/>
      <c r="I2710" s="32"/>
      <c r="J2710" s="28">
        <f t="shared" si="2403"/>
        <v>0</v>
      </c>
      <c r="K2710" s="29"/>
      <c r="L2710" s="29"/>
      <c r="M2710" s="29"/>
      <c r="N2710" s="29"/>
      <c r="O2710" s="29"/>
      <c r="P2710" s="30">
        <f t="shared" si="2405"/>
        <v>0</v>
      </c>
      <c r="Q2710" s="31">
        <f t="shared" si="2404"/>
        <v>0</v>
      </c>
    </row>
    <row r="2711" spans="1:17" x14ac:dyDescent="0.2">
      <c r="A2711" s="10"/>
      <c r="B2711" s="26"/>
      <c r="C2711" s="11">
        <v>1987</v>
      </c>
      <c r="D2711" s="32">
        <f>SPFI_CLB14!$D$10</f>
        <v>0.71733499999999994</v>
      </c>
      <c r="E2711" s="32"/>
      <c r="F2711" s="32"/>
      <c r="G2711" s="32"/>
      <c r="H2711" s="32"/>
      <c r="I2711" s="32"/>
      <c r="J2711" s="28">
        <f t="shared" si="2403"/>
        <v>0</v>
      </c>
      <c r="K2711" s="29"/>
      <c r="L2711" s="29"/>
      <c r="M2711" s="29"/>
      <c r="N2711" s="29"/>
      <c r="O2711" s="29"/>
      <c r="P2711" s="30">
        <f t="shared" si="2405"/>
        <v>0</v>
      </c>
      <c r="Q2711" s="31">
        <f t="shared" si="2404"/>
        <v>0</v>
      </c>
    </row>
    <row r="2712" spans="1:17" x14ac:dyDescent="0.2">
      <c r="A2712" s="10"/>
      <c r="B2712" s="26"/>
      <c r="C2712" s="11">
        <v>1988</v>
      </c>
      <c r="D2712" s="32">
        <f>SPFI_CLB14!$D$11</f>
        <v>0.64558800000000005</v>
      </c>
      <c r="E2712" s="32"/>
      <c r="F2712" s="32"/>
      <c r="G2712" s="32"/>
      <c r="H2712" s="32"/>
      <c r="I2712" s="32"/>
      <c r="J2712" s="28">
        <f t="shared" si="2403"/>
        <v>0</v>
      </c>
      <c r="K2712" s="29"/>
      <c r="L2712" s="29"/>
      <c r="M2712" s="29"/>
      <c r="N2712" s="29"/>
      <c r="O2712" s="29"/>
      <c r="P2712" s="30">
        <f t="shared" si="2405"/>
        <v>0</v>
      </c>
      <c r="Q2712" s="31">
        <f t="shared" si="2404"/>
        <v>0</v>
      </c>
    </row>
    <row r="2713" spans="1:17" x14ac:dyDescent="0.2">
      <c r="A2713" s="10"/>
      <c r="B2713" s="26"/>
      <c r="C2713" s="11">
        <v>1989</v>
      </c>
      <c r="D2713" s="32">
        <f>SPFI_CLB14!$D$12</f>
        <v>0.65287700000000004</v>
      </c>
      <c r="E2713" s="32"/>
      <c r="F2713" s="32"/>
      <c r="G2713" s="32"/>
      <c r="H2713" s="32"/>
      <c r="I2713" s="32"/>
      <c r="J2713" s="28">
        <f t="shared" si="2403"/>
        <v>0</v>
      </c>
      <c r="K2713" s="29"/>
      <c r="L2713" s="29"/>
      <c r="M2713" s="29"/>
      <c r="N2713" s="29"/>
      <c r="O2713" s="29"/>
      <c r="P2713" s="30">
        <f t="shared" si="2405"/>
        <v>0</v>
      </c>
      <c r="Q2713" s="31">
        <f t="shared" si="2404"/>
        <v>0</v>
      </c>
    </row>
    <row r="2714" spans="1:17" x14ac:dyDescent="0.2">
      <c r="A2714" s="10"/>
      <c r="B2714" s="26"/>
      <c r="C2714" s="11">
        <v>1990</v>
      </c>
      <c r="D2714" s="32">
        <f>SPFI_CLB14!$D$13</f>
        <v>0.56965100000000002</v>
      </c>
      <c r="E2714" s="32"/>
      <c r="F2714" s="32"/>
      <c r="G2714" s="32"/>
      <c r="H2714" s="32"/>
      <c r="I2714" s="32"/>
      <c r="J2714" s="28">
        <f t="shared" si="2403"/>
        <v>0</v>
      </c>
      <c r="K2714" s="29"/>
      <c r="L2714" s="29"/>
      <c r="M2714" s="29"/>
      <c r="N2714" s="29"/>
      <c r="O2714" s="29"/>
      <c r="P2714" s="30">
        <f t="shared" si="2405"/>
        <v>0</v>
      </c>
      <c r="Q2714" s="31">
        <f t="shared" si="2404"/>
        <v>0</v>
      </c>
    </row>
    <row r="2715" spans="1:17" x14ac:dyDescent="0.2">
      <c r="A2715" s="10"/>
      <c r="B2715" s="26"/>
      <c r="C2715" s="11">
        <v>1991</v>
      </c>
      <c r="D2715" s="32">
        <f>SPFI_CLB14!$D$14</f>
        <v>0.62776900000000002</v>
      </c>
      <c r="E2715" s="32"/>
      <c r="F2715" s="32"/>
      <c r="G2715" s="32"/>
      <c r="H2715" s="32"/>
      <c r="I2715" s="32"/>
      <c r="J2715" s="28">
        <f t="shared" si="2403"/>
        <v>0</v>
      </c>
      <c r="K2715" s="29"/>
      <c r="L2715" s="29"/>
      <c r="M2715" s="29"/>
      <c r="N2715" s="29"/>
      <c r="O2715" s="29"/>
      <c r="P2715" s="30">
        <f t="shared" si="2405"/>
        <v>0</v>
      </c>
      <c r="Q2715" s="31">
        <f t="shared" si="2404"/>
        <v>0</v>
      </c>
    </row>
    <row r="2716" spans="1:17" x14ac:dyDescent="0.2">
      <c r="A2716" s="10"/>
      <c r="B2716" s="26"/>
      <c r="C2716" s="11">
        <v>1992</v>
      </c>
      <c r="D2716" s="32">
        <f>SPFI_CLB14!$D$15</f>
        <v>0.43504100000000001</v>
      </c>
      <c r="E2716" s="32"/>
      <c r="F2716" s="32"/>
      <c r="G2716" s="32"/>
      <c r="H2716" s="32"/>
      <c r="I2716" s="32"/>
      <c r="J2716" s="28">
        <f t="shared" si="2403"/>
        <v>0</v>
      </c>
      <c r="K2716" s="29"/>
      <c r="L2716" s="29"/>
      <c r="M2716" s="29"/>
      <c r="N2716" s="29"/>
      <c r="O2716" s="29"/>
      <c r="P2716" s="30">
        <f t="shared" si="2405"/>
        <v>0</v>
      </c>
      <c r="Q2716" s="31">
        <f t="shared" si="2404"/>
        <v>0</v>
      </c>
    </row>
    <row r="2717" spans="1:17" x14ac:dyDescent="0.2">
      <c r="A2717" s="10"/>
      <c r="B2717" s="26"/>
      <c r="C2717" s="11">
        <v>1993</v>
      </c>
      <c r="D2717" s="32">
        <f>SPFI_CLB14!$D$16</f>
        <v>0.499164</v>
      </c>
      <c r="E2717" s="32"/>
      <c r="F2717" s="32"/>
      <c r="G2717" s="32"/>
      <c r="H2717" s="32"/>
      <c r="I2717" s="32"/>
      <c r="J2717" s="28">
        <f t="shared" si="2403"/>
        <v>0</v>
      </c>
      <c r="K2717" s="29"/>
      <c r="L2717" s="29"/>
      <c r="M2717" s="29"/>
      <c r="N2717" s="29"/>
      <c r="O2717" s="29"/>
      <c r="P2717" s="30">
        <f t="shared" si="2405"/>
        <v>0</v>
      </c>
      <c r="Q2717" s="31">
        <f t="shared" si="2404"/>
        <v>0</v>
      </c>
    </row>
    <row r="2718" spans="1:17" x14ac:dyDescent="0.2">
      <c r="A2718" s="10"/>
      <c r="B2718" s="26" t="s">
        <v>48</v>
      </c>
      <c r="C2718" s="11">
        <v>1994</v>
      </c>
      <c r="D2718" s="32">
        <f>SPFI_CLB14!$D$17</f>
        <v>0.59591300000000003</v>
      </c>
      <c r="E2718" s="32"/>
      <c r="F2718" s="32"/>
      <c r="G2718" s="32"/>
      <c r="H2718" s="32"/>
      <c r="I2718" s="32"/>
      <c r="J2718" s="28">
        <f t="shared" si="2403"/>
        <v>0</v>
      </c>
      <c r="K2718" s="29"/>
      <c r="L2718" s="29"/>
      <c r="M2718" s="29"/>
      <c r="N2718" s="29"/>
      <c r="O2718" s="29"/>
      <c r="P2718" s="30">
        <f t="shared" si="2405"/>
        <v>0</v>
      </c>
      <c r="Q2718" s="31">
        <f t="shared" si="2404"/>
        <v>0</v>
      </c>
    </row>
    <row r="2719" spans="1:17" x14ac:dyDescent="0.2">
      <c r="A2719" s="10"/>
      <c r="B2719" s="26"/>
      <c r="C2719" s="11">
        <v>1995</v>
      </c>
      <c r="D2719" s="32">
        <f>SPFI_CLB14!$D$18</f>
        <v>0.25400800000000001</v>
      </c>
      <c r="E2719" s="32"/>
      <c r="F2719" s="32"/>
      <c r="G2719" s="32"/>
      <c r="H2719" s="32"/>
      <c r="I2719" s="32"/>
      <c r="J2719" s="28">
        <f t="shared" ref="J2719" si="2406">D2719*J$87</f>
        <v>0</v>
      </c>
      <c r="K2719" s="29"/>
      <c r="L2719" s="29"/>
      <c r="M2719" s="29"/>
      <c r="N2719" s="29"/>
      <c r="O2719" s="29"/>
      <c r="P2719" s="30">
        <f>SUM(J2719:O2719)</f>
        <v>0</v>
      </c>
      <c r="Q2719" s="31">
        <f t="shared" si="2404"/>
        <v>0</v>
      </c>
    </row>
    <row r="2720" spans="1:17" x14ac:dyDescent="0.2">
      <c r="A2720" s="10"/>
      <c r="B2720" s="26"/>
      <c r="C2720" s="11">
        <v>1996</v>
      </c>
      <c r="D2720" s="32">
        <f>SPFI_CLB14!$D$19</f>
        <v>0</v>
      </c>
      <c r="E2720" s="32"/>
      <c r="F2720" s="32"/>
      <c r="G2720" s="32"/>
      <c r="H2720" s="32"/>
      <c r="I2720" s="32"/>
      <c r="J2720" s="28">
        <f t="shared" ref="J2720" si="2407">D2720*J$87</f>
        <v>0</v>
      </c>
      <c r="K2720" s="29"/>
      <c r="L2720" s="29"/>
      <c r="M2720" s="29"/>
      <c r="N2720" s="29"/>
      <c r="O2720" s="29"/>
      <c r="P2720" s="30">
        <f>SUM(J2720:O2720)</f>
        <v>0</v>
      </c>
      <c r="Q2720" s="31">
        <f t="shared" si="2404"/>
        <v>0</v>
      </c>
    </row>
    <row r="2721" spans="1:17" x14ac:dyDescent="0.2">
      <c r="A2721" s="10"/>
      <c r="B2721" s="26"/>
      <c r="C2721" s="11">
        <v>1997</v>
      </c>
      <c r="D2721" s="32">
        <f>SPFI_CLB14!$D$20</f>
        <v>0.201487</v>
      </c>
      <c r="E2721" s="32"/>
      <c r="F2721" s="32"/>
      <c r="G2721" s="32"/>
      <c r="H2721" s="32"/>
      <c r="I2721" s="32"/>
      <c r="J2721" s="28">
        <f t="shared" ref="J2721" si="2408">D2721*J$87</f>
        <v>0</v>
      </c>
      <c r="K2721" s="29"/>
      <c r="L2721" s="29"/>
      <c r="M2721" s="29"/>
      <c r="N2721" s="29"/>
      <c r="O2721" s="29"/>
      <c r="P2721" s="30">
        <f>SUM(J2721:O2721)</f>
        <v>0</v>
      </c>
      <c r="Q2721" s="31">
        <f t="shared" si="2404"/>
        <v>0</v>
      </c>
    </row>
    <row r="2722" spans="1:17" x14ac:dyDescent="0.2">
      <c r="A2722" s="10"/>
      <c r="B2722" s="26"/>
      <c r="C2722" s="11">
        <v>1998</v>
      </c>
      <c r="D2722" s="32">
        <f>SPFI_CLB14!$D$21</f>
        <v>0.37506400000000001</v>
      </c>
      <c r="E2722" s="32"/>
      <c r="F2722" s="32"/>
      <c r="G2722" s="32"/>
      <c r="H2722" s="32"/>
      <c r="I2722" s="32"/>
      <c r="J2722" s="28">
        <f t="shared" ref="J2722" si="2409">D2722*J$87</f>
        <v>0</v>
      </c>
      <c r="K2722" s="29"/>
      <c r="L2722" s="29"/>
      <c r="M2722" s="29"/>
      <c r="N2722" s="29"/>
      <c r="O2722" s="29"/>
      <c r="P2722" s="30">
        <f>SUM(J2722:O2722)</f>
        <v>0</v>
      </c>
      <c r="Q2722" s="31">
        <f t="shared" si="2404"/>
        <v>0</v>
      </c>
    </row>
    <row r="2723" spans="1:17" x14ac:dyDescent="0.2">
      <c r="A2723" s="10"/>
      <c r="B2723" s="26"/>
      <c r="C2723" s="11">
        <v>1999</v>
      </c>
      <c r="D2723" s="32">
        <f>SPFI_CLB14!$D$22</f>
        <v>0.29823699999999997</v>
      </c>
      <c r="E2723" s="32"/>
      <c r="F2723" s="32"/>
      <c r="G2723" s="32"/>
      <c r="H2723" s="32"/>
      <c r="I2723" s="32"/>
      <c r="J2723" s="28">
        <f t="shared" ref="J2723" si="2410">D2723*J$87</f>
        <v>0</v>
      </c>
      <c r="K2723" s="29"/>
      <c r="L2723" s="29"/>
      <c r="M2723" s="29"/>
      <c r="N2723" s="29"/>
      <c r="O2723" s="29"/>
      <c r="P2723" s="30">
        <f>SUM(J2723:O2723)</f>
        <v>0</v>
      </c>
      <c r="Q2723" s="31">
        <f t="shared" ref="Q2723:Q2728" si="2411">IF(C$87&gt;0,P2723/C$87,0)</f>
        <v>0</v>
      </c>
    </row>
    <row r="2724" spans="1:17" x14ac:dyDescent="0.2">
      <c r="A2724" s="10"/>
      <c r="B2724" s="26"/>
      <c r="C2724" s="11">
        <v>2000</v>
      </c>
      <c r="D2724" s="32">
        <f>SPFI_CLB14!$D$23</f>
        <v>8.4414000000000003E-2</v>
      </c>
      <c r="E2724" s="32"/>
      <c r="F2724" s="32"/>
      <c r="G2724" s="32"/>
      <c r="H2724" s="32"/>
      <c r="I2724" s="32"/>
      <c r="J2724" s="28">
        <f t="shared" ref="J2724" si="2412">D2724*J$87</f>
        <v>0</v>
      </c>
      <c r="K2724" s="29"/>
      <c r="L2724" s="29"/>
      <c r="M2724" s="29"/>
      <c r="N2724" s="29"/>
      <c r="O2724" s="29"/>
      <c r="P2724" s="30">
        <f t="shared" ref="P2724:P2729" si="2413">SUM(J2724:O2724)</f>
        <v>0</v>
      </c>
      <c r="Q2724" s="31">
        <f t="shared" si="2411"/>
        <v>0</v>
      </c>
    </row>
    <row r="2725" spans="1:17" x14ac:dyDescent="0.2">
      <c r="A2725" s="10"/>
      <c r="B2725" s="26"/>
      <c r="C2725" s="11">
        <v>2001</v>
      </c>
      <c r="D2725" s="32">
        <f>SPFI_CLB14!$D$24</f>
        <v>7.8909000000000007E-2</v>
      </c>
      <c r="E2725" s="32"/>
      <c r="F2725" s="32"/>
      <c r="G2725" s="32"/>
      <c r="H2725" s="32"/>
      <c r="I2725" s="32"/>
      <c r="J2725" s="28">
        <f t="shared" ref="J2725" si="2414">D2725*J$87</f>
        <v>0</v>
      </c>
      <c r="K2725" s="29"/>
      <c r="L2725" s="29"/>
      <c r="M2725" s="29"/>
      <c r="N2725" s="29"/>
      <c r="O2725" s="29"/>
      <c r="P2725" s="30">
        <f t="shared" si="2413"/>
        <v>0</v>
      </c>
      <c r="Q2725" s="31">
        <f t="shared" si="2411"/>
        <v>0</v>
      </c>
    </row>
    <row r="2726" spans="1:17" x14ac:dyDescent="0.2">
      <c r="A2726" s="10"/>
      <c r="B2726" s="26"/>
      <c r="C2726" s="11">
        <v>2002</v>
      </c>
      <c r="D2726" s="32">
        <f>SPFI_CLB14!$D$25</f>
        <v>0.29974699999999999</v>
      </c>
      <c r="E2726" s="32"/>
      <c r="F2726" s="32"/>
      <c r="G2726" s="32"/>
      <c r="H2726" s="32"/>
      <c r="I2726" s="32"/>
      <c r="J2726" s="28">
        <f t="shared" ref="J2726" si="2415">D2726*J$87</f>
        <v>0</v>
      </c>
      <c r="K2726" s="29"/>
      <c r="L2726" s="29"/>
      <c r="M2726" s="29"/>
      <c r="N2726" s="29"/>
      <c r="O2726" s="29"/>
      <c r="P2726" s="30">
        <f t="shared" si="2413"/>
        <v>0</v>
      </c>
      <c r="Q2726" s="31">
        <f t="shared" si="2411"/>
        <v>0</v>
      </c>
    </row>
    <row r="2727" spans="1:17" x14ac:dyDescent="0.2">
      <c r="A2727" s="10"/>
      <c r="B2727" s="26"/>
      <c r="C2727" s="11">
        <v>2003</v>
      </c>
      <c r="D2727" s="32">
        <f>SPFI_CLB14!$D$26</f>
        <v>0.20691100000000001</v>
      </c>
      <c r="E2727" s="32"/>
      <c r="F2727" s="32"/>
      <c r="G2727" s="32"/>
      <c r="H2727" s="32"/>
      <c r="I2727" s="32"/>
      <c r="J2727" s="28">
        <f t="shared" ref="J2727" si="2416">D2727*J$87</f>
        <v>0</v>
      </c>
      <c r="K2727" s="29"/>
      <c r="L2727" s="29"/>
      <c r="M2727" s="29"/>
      <c r="N2727" s="29"/>
      <c r="O2727" s="29"/>
      <c r="P2727" s="30">
        <f t="shared" si="2413"/>
        <v>0</v>
      </c>
      <c r="Q2727" s="31">
        <f t="shared" si="2411"/>
        <v>0</v>
      </c>
    </row>
    <row r="2728" spans="1:17" x14ac:dyDescent="0.2">
      <c r="A2728" s="10"/>
      <c r="B2728" s="26"/>
      <c r="C2728" s="11">
        <v>2004</v>
      </c>
      <c r="D2728" s="32">
        <f>SPFI_CLB14!$D$27</f>
        <v>0.269237</v>
      </c>
      <c r="E2728" s="32"/>
      <c r="F2728" s="32"/>
      <c r="G2728" s="32"/>
      <c r="H2728" s="32"/>
      <c r="I2728" s="32"/>
      <c r="J2728" s="28">
        <f t="shared" ref="J2728" si="2417">D2728*J$87</f>
        <v>0</v>
      </c>
      <c r="K2728" s="29"/>
      <c r="L2728" s="29"/>
      <c r="M2728" s="29"/>
      <c r="N2728" s="29"/>
      <c r="O2728" s="29"/>
      <c r="P2728" s="30">
        <f t="shared" si="2413"/>
        <v>0</v>
      </c>
      <c r="Q2728" s="31">
        <f t="shared" si="2411"/>
        <v>0</v>
      </c>
    </row>
    <row r="2729" spans="1:17" x14ac:dyDescent="0.2">
      <c r="A2729" s="10"/>
      <c r="B2729" s="26"/>
      <c r="C2729" s="11">
        <v>2005</v>
      </c>
      <c r="D2729" s="32">
        <f>SPFI_CLB14!$D$28</f>
        <v>0.37848700000000002</v>
      </c>
      <c r="E2729" s="32"/>
      <c r="F2729" s="32"/>
      <c r="G2729" s="32"/>
      <c r="H2729" s="32"/>
      <c r="I2729" s="32"/>
      <c r="J2729" s="28">
        <f t="shared" ref="J2729" si="2418">D2729*J$87</f>
        <v>0</v>
      </c>
      <c r="K2729" s="29"/>
      <c r="L2729" s="29"/>
      <c r="M2729" s="29"/>
      <c r="N2729" s="29"/>
      <c r="O2729" s="29"/>
      <c r="P2729" s="30">
        <f t="shared" si="2413"/>
        <v>0</v>
      </c>
      <c r="Q2729" s="31">
        <f t="shared" ref="Q2729:Q2734" si="2419">IF(C$87&gt;0,P2729/C$87,0)</f>
        <v>0</v>
      </c>
    </row>
    <row r="2730" spans="1:17" x14ac:dyDescent="0.2">
      <c r="A2730" s="10"/>
      <c r="B2730" s="26"/>
      <c r="C2730" s="11">
        <v>2006</v>
      </c>
      <c r="D2730" s="32">
        <f>SPFI_CLB14!$D$29</f>
        <v>0.381023</v>
      </c>
      <c r="E2730" s="32"/>
      <c r="F2730" s="32"/>
      <c r="G2730" s="32"/>
      <c r="H2730" s="32"/>
      <c r="I2730" s="32"/>
      <c r="J2730" s="28">
        <f t="shared" ref="J2730" si="2420">D2730*J$87</f>
        <v>0</v>
      </c>
      <c r="K2730" s="29"/>
      <c r="L2730" s="29"/>
      <c r="M2730" s="29"/>
      <c r="N2730" s="29"/>
      <c r="O2730" s="29"/>
      <c r="P2730" s="30">
        <f t="shared" ref="P2730:P2737" si="2421">SUM(J2730:O2730)</f>
        <v>0</v>
      </c>
      <c r="Q2730" s="31">
        <f t="shared" si="2419"/>
        <v>0</v>
      </c>
    </row>
    <row r="2731" spans="1:17" x14ac:dyDescent="0.2">
      <c r="A2731" s="10"/>
      <c r="B2731" s="26"/>
      <c r="C2731" s="11">
        <v>2007</v>
      </c>
      <c r="D2731" s="32">
        <f>SPFI_CLB14!$D$30</f>
        <v>0.356512</v>
      </c>
      <c r="E2731" s="32"/>
      <c r="F2731" s="32"/>
      <c r="G2731" s="32"/>
      <c r="H2731" s="32"/>
      <c r="I2731" s="32"/>
      <c r="J2731" s="28">
        <f t="shared" ref="J2731" si="2422">D2731*J$87</f>
        <v>0</v>
      </c>
      <c r="K2731" s="29"/>
      <c r="L2731" s="29"/>
      <c r="M2731" s="29"/>
      <c r="N2731" s="29"/>
      <c r="O2731" s="29"/>
      <c r="P2731" s="30">
        <f t="shared" si="2421"/>
        <v>0</v>
      </c>
      <c r="Q2731" s="31">
        <f t="shared" si="2419"/>
        <v>0</v>
      </c>
    </row>
    <row r="2732" spans="1:17" x14ac:dyDescent="0.2">
      <c r="A2732" s="10"/>
      <c r="B2732" s="26"/>
      <c r="C2732" s="11">
        <v>2008</v>
      </c>
      <c r="D2732" s="32">
        <f>SPFI_CLB14!$D$31</f>
        <v>0.25494499999999998</v>
      </c>
      <c r="E2732" s="32"/>
      <c r="F2732" s="32"/>
      <c r="G2732" s="32"/>
      <c r="H2732" s="32"/>
      <c r="I2732" s="32"/>
      <c r="J2732" s="28">
        <f t="shared" ref="J2732" si="2423">D2732*J$87</f>
        <v>0</v>
      </c>
      <c r="K2732" s="29"/>
      <c r="L2732" s="29"/>
      <c r="M2732" s="29"/>
      <c r="N2732" s="29"/>
      <c r="O2732" s="29"/>
      <c r="P2732" s="30">
        <f t="shared" si="2421"/>
        <v>0</v>
      </c>
      <c r="Q2732" s="31">
        <f t="shared" si="2419"/>
        <v>0</v>
      </c>
    </row>
    <row r="2733" spans="1:17" x14ac:dyDescent="0.2">
      <c r="A2733" s="10"/>
      <c r="B2733" s="26"/>
      <c r="C2733" s="11">
        <v>2009</v>
      </c>
      <c r="D2733" s="32">
        <f>SPFI_CLB14!$D$32</f>
        <v>0.52383000000000002</v>
      </c>
      <c r="E2733" s="32"/>
      <c r="F2733" s="32"/>
      <c r="G2733" s="32"/>
      <c r="H2733" s="32"/>
      <c r="I2733" s="32"/>
      <c r="J2733" s="28">
        <f t="shared" ref="J2733" si="2424">D2733*J$87</f>
        <v>0</v>
      </c>
      <c r="K2733" s="29"/>
      <c r="L2733" s="29"/>
      <c r="M2733" s="29"/>
      <c r="N2733" s="29"/>
      <c r="O2733" s="29"/>
      <c r="P2733" s="30">
        <f t="shared" si="2421"/>
        <v>0</v>
      </c>
      <c r="Q2733" s="31">
        <f t="shared" si="2419"/>
        <v>0</v>
      </c>
    </row>
    <row r="2734" spans="1:17" x14ac:dyDescent="0.2">
      <c r="A2734" s="10"/>
      <c r="B2734" s="26"/>
      <c r="C2734" s="11">
        <v>2010</v>
      </c>
      <c r="D2734" s="32">
        <f>SPFI_CLB14!$D$33</f>
        <v>0.31394</v>
      </c>
      <c r="E2734" s="32"/>
      <c r="F2734" s="32"/>
      <c r="G2734" s="32"/>
      <c r="H2734" s="32"/>
      <c r="I2734" s="32"/>
      <c r="J2734" s="28">
        <f t="shared" ref="J2734" si="2425">D2734*J$87</f>
        <v>0</v>
      </c>
      <c r="K2734" s="29"/>
      <c r="L2734" s="29"/>
      <c r="M2734" s="29"/>
      <c r="N2734" s="29"/>
      <c r="O2734" s="29"/>
      <c r="P2734" s="30">
        <f t="shared" si="2421"/>
        <v>0</v>
      </c>
      <c r="Q2734" s="31">
        <f t="shared" si="2419"/>
        <v>0</v>
      </c>
    </row>
    <row r="2735" spans="1:17" x14ac:dyDescent="0.2">
      <c r="A2735" s="10"/>
      <c r="B2735" s="26"/>
      <c r="C2735" s="11">
        <v>2011</v>
      </c>
      <c r="D2735" s="32">
        <f>SPFI_CLB14!$D$34</f>
        <v>0.294348</v>
      </c>
      <c r="E2735" s="32"/>
      <c r="F2735" s="32"/>
      <c r="G2735" s="32"/>
      <c r="H2735" s="32"/>
      <c r="I2735" s="32"/>
      <c r="J2735" s="28">
        <f t="shared" ref="J2735" si="2426">D2735*J$87</f>
        <v>0</v>
      </c>
      <c r="K2735" s="29"/>
      <c r="L2735" s="29"/>
      <c r="M2735" s="29"/>
      <c r="N2735" s="29"/>
      <c r="O2735" s="29"/>
      <c r="P2735" s="30">
        <f t="shared" ref="P2735" si="2427">SUM(J2735:O2735)</f>
        <v>0</v>
      </c>
      <c r="Q2735" s="31">
        <f t="shared" ref="Q2735" si="2428">IF(C$87&gt;0,P2735/C$87,0)</f>
        <v>0</v>
      </c>
    </row>
    <row r="2736" spans="1:17" x14ac:dyDescent="0.2">
      <c r="A2736" s="10"/>
      <c r="B2736" s="26"/>
      <c r="C2736" s="11">
        <v>2012</v>
      </c>
      <c r="D2736" s="32">
        <f>SPFI_CLB14!$D$35</f>
        <v>0.34784100000000001</v>
      </c>
      <c r="E2736" s="32"/>
      <c r="F2736" s="32"/>
      <c r="G2736" s="32"/>
      <c r="H2736" s="32"/>
      <c r="I2736" s="32"/>
      <c r="J2736" s="28">
        <f t="shared" ref="J2736" si="2429">D2736*J$87</f>
        <v>0</v>
      </c>
      <c r="K2736" s="29"/>
      <c r="L2736" s="29"/>
      <c r="M2736" s="29"/>
      <c r="N2736" s="29"/>
      <c r="O2736" s="29"/>
      <c r="P2736" s="30">
        <f t="shared" ref="P2736" si="2430">SUM(J2736:O2736)</f>
        <v>0</v>
      </c>
      <c r="Q2736" s="31">
        <f t="shared" ref="Q2736" si="2431">IF(C$87&gt;0,P2736/C$87,0)</f>
        <v>0</v>
      </c>
    </row>
    <row r="2737" spans="1:17" x14ac:dyDescent="0.2">
      <c r="A2737" s="5" t="s">
        <v>27</v>
      </c>
      <c r="B2737" s="21">
        <v>2</v>
      </c>
      <c r="C2737" s="6">
        <v>1982</v>
      </c>
      <c r="D2737" s="27">
        <f>SPFI_CLB14!$D$5</f>
        <v>0.98153299999999999</v>
      </c>
      <c r="E2737" s="27"/>
      <c r="F2737" s="27"/>
      <c r="G2737" s="27"/>
      <c r="H2737" s="27"/>
      <c r="I2737" s="27"/>
      <c r="J2737" s="33">
        <f t="shared" ref="J2737:J2749" si="2432">D2737*J$88</f>
        <v>0</v>
      </c>
      <c r="K2737" s="27"/>
      <c r="L2737" s="27"/>
      <c r="M2737" s="27"/>
      <c r="N2737" s="27"/>
      <c r="O2737" s="27"/>
      <c r="P2737" s="34">
        <f t="shared" si="2421"/>
        <v>0</v>
      </c>
      <c r="Q2737" s="35">
        <f t="shared" ref="Q2737:Q2753" si="2433">IF(C$88&gt;0,P2737/C$88,0)</f>
        <v>0</v>
      </c>
    </row>
    <row r="2738" spans="1:17" x14ac:dyDescent="0.2">
      <c r="A2738" s="10"/>
      <c r="B2738" s="26"/>
      <c r="C2738" s="11">
        <v>1983</v>
      </c>
      <c r="D2738" s="32">
        <f>SPFI_CLB14!$D$6</f>
        <v>0.93659899999999996</v>
      </c>
      <c r="E2738" s="32"/>
      <c r="F2738" s="32"/>
      <c r="G2738" s="32"/>
      <c r="H2738" s="32"/>
      <c r="I2738" s="32"/>
      <c r="J2738" s="28">
        <f t="shared" si="2432"/>
        <v>0</v>
      </c>
      <c r="K2738" s="29"/>
      <c r="L2738" s="29"/>
      <c r="M2738" s="29"/>
      <c r="N2738" s="29"/>
      <c r="O2738" s="29"/>
      <c r="P2738" s="30">
        <f t="shared" ref="P2738:P2749" si="2434">SUM(J2738:O2738)</f>
        <v>0</v>
      </c>
      <c r="Q2738" s="31">
        <f t="shared" si="2433"/>
        <v>0</v>
      </c>
    </row>
    <row r="2739" spans="1:17" x14ac:dyDescent="0.2">
      <c r="A2739" s="10"/>
      <c r="B2739" s="26"/>
      <c r="C2739" s="11">
        <v>1984</v>
      </c>
      <c r="D2739" s="32">
        <f>SPFI_CLB14!$D$7</f>
        <v>0.92793599999999998</v>
      </c>
      <c r="E2739" s="32"/>
      <c r="F2739" s="32"/>
      <c r="G2739" s="32"/>
      <c r="H2739" s="32"/>
      <c r="I2739" s="32"/>
      <c r="J2739" s="28">
        <f t="shared" si="2432"/>
        <v>0</v>
      </c>
      <c r="K2739" s="29"/>
      <c r="L2739" s="29"/>
      <c r="M2739" s="29"/>
      <c r="N2739" s="29"/>
      <c r="O2739" s="29"/>
      <c r="P2739" s="30">
        <f t="shared" si="2434"/>
        <v>0</v>
      </c>
      <c r="Q2739" s="31">
        <f t="shared" si="2433"/>
        <v>0</v>
      </c>
    </row>
    <row r="2740" spans="1:17" x14ac:dyDescent="0.2">
      <c r="A2740" s="10"/>
      <c r="B2740" s="26"/>
      <c r="C2740" s="11">
        <v>1985</v>
      </c>
      <c r="D2740" s="32">
        <f>SPFI_CLB14!$D$8</f>
        <v>0.90386500000000003</v>
      </c>
      <c r="E2740" s="32"/>
      <c r="F2740" s="32"/>
      <c r="G2740" s="32"/>
      <c r="H2740" s="32"/>
      <c r="I2740" s="32"/>
      <c r="J2740" s="28">
        <f t="shared" si="2432"/>
        <v>0</v>
      </c>
      <c r="K2740" s="29"/>
      <c r="L2740" s="29"/>
      <c r="M2740" s="29"/>
      <c r="N2740" s="29"/>
      <c r="O2740" s="29"/>
      <c r="P2740" s="30">
        <f t="shared" si="2434"/>
        <v>0</v>
      </c>
      <c r="Q2740" s="31">
        <f t="shared" si="2433"/>
        <v>0</v>
      </c>
    </row>
    <row r="2741" spans="1:17" x14ac:dyDescent="0.2">
      <c r="A2741" s="10"/>
      <c r="B2741" s="26"/>
      <c r="C2741" s="11">
        <v>1986</v>
      </c>
      <c r="D2741" s="32">
        <f>SPFI_CLB14!$D$9</f>
        <v>0.73087500000000005</v>
      </c>
      <c r="E2741" s="32"/>
      <c r="F2741" s="32"/>
      <c r="G2741" s="32"/>
      <c r="H2741" s="32"/>
      <c r="I2741" s="32"/>
      <c r="J2741" s="28">
        <f t="shared" si="2432"/>
        <v>0</v>
      </c>
      <c r="K2741" s="29"/>
      <c r="L2741" s="29"/>
      <c r="M2741" s="29"/>
      <c r="N2741" s="29"/>
      <c r="O2741" s="29"/>
      <c r="P2741" s="30">
        <f t="shared" si="2434"/>
        <v>0</v>
      </c>
      <c r="Q2741" s="31">
        <f t="shared" si="2433"/>
        <v>0</v>
      </c>
    </row>
    <row r="2742" spans="1:17" x14ac:dyDescent="0.2">
      <c r="A2742" s="10"/>
      <c r="B2742" s="26"/>
      <c r="C2742" s="11">
        <v>1987</v>
      </c>
      <c r="D2742" s="32">
        <f>SPFI_CLB14!$D$10</f>
        <v>0.71733499999999994</v>
      </c>
      <c r="E2742" s="32"/>
      <c r="F2742" s="32"/>
      <c r="G2742" s="32"/>
      <c r="H2742" s="32"/>
      <c r="I2742" s="32"/>
      <c r="J2742" s="28">
        <f t="shared" si="2432"/>
        <v>0</v>
      </c>
      <c r="K2742" s="29"/>
      <c r="L2742" s="29"/>
      <c r="M2742" s="29"/>
      <c r="N2742" s="29"/>
      <c r="O2742" s="29"/>
      <c r="P2742" s="30">
        <f t="shared" si="2434"/>
        <v>0</v>
      </c>
      <c r="Q2742" s="31">
        <f t="shared" si="2433"/>
        <v>0</v>
      </c>
    </row>
    <row r="2743" spans="1:17" x14ac:dyDescent="0.2">
      <c r="A2743" s="10"/>
      <c r="B2743" s="26"/>
      <c r="C2743" s="11">
        <v>1988</v>
      </c>
      <c r="D2743" s="32">
        <f>SPFI_CLB14!$D$11</f>
        <v>0.64558800000000005</v>
      </c>
      <c r="E2743" s="32"/>
      <c r="F2743" s="32"/>
      <c r="G2743" s="32"/>
      <c r="H2743" s="32"/>
      <c r="I2743" s="32"/>
      <c r="J2743" s="28">
        <f t="shared" si="2432"/>
        <v>0</v>
      </c>
      <c r="K2743" s="29"/>
      <c r="L2743" s="29"/>
      <c r="M2743" s="29"/>
      <c r="N2743" s="29"/>
      <c r="O2743" s="29"/>
      <c r="P2743" s="30">
        <f t="shared" si="2434"/>
        <v>0</v>
      </c>
      <c r="Q2743" s="31">
        <f t="shared" si="2433"/>
        <v>0</v>
      </c>
    </row>
    <row r="2744" spans="1:17" x14ac:dyDescent="0.2">
      <c r="A2744" s="10"/>
      <c r="B2744" s="26"/>
      <c r="C2744" s="11">
        <v>1989</v>
      </c>
      <c r="D2744" s="32">
        <f>SPFI_CLB14!$D$12</f>
        <v>0.65287700000000004</v>
      </c>
      <c r="E2744" s="32"/>
      <c r="F2744" s="32"/>
      <c r="G2744" s="32"/>
      <c r="H2744" s="32"/>
      <c r="I2744" s="32"/>
      <c r="J2744" s="28">
        <f t="shared" si="2432"/>
        <v>0</v>
      </c>
      <c r="K2744" s="29"/>
      <c r="L2744" s="29"/>
      <c r="M2744" s="29"/>
      <c r="N2744" s="29"/>
      <c r="O2744" s="29"/>
      <c r="P2744" s="30">
        <f t="shared" si="2434"/>
        <v>0</v>
      </c>
      <c r="Q2744" s="31">
        <f t="shared" si="2433"/>
        <v>0</v>
      </c>
    </row>
    <row r="2745" spans="1:17" x14ac:dyDescent="0.2">
      <c r="A2745" s="10"/>
      <c r="B2745" s="26"/>
      <c r="C2745" s="11">
        <v>1990</v>
      </c>
      <c r="D2745" s="32">
        <f>SPFI_CLB14!$D$13</f>
        <v>0.56965100000000002</v>
      </c>
      <c r="E2745" s="32"/>
      <c r="F2745" s="32"/>
      <c r="G2745" s="32"/>
      <c r="H2745" s="32"/>
      <c r="I2745" s="32"/>
      <c r="J2745" s="28">
        <f t="shared" si="2432"/>
        <v>0</v>
      </c>
      <c r="K2745" s="29"/>
      <c r="L2745" s="29"/>
      <c r="M2745" s="29"/>
      <c r="N2745" s="29"/>
      <c r="O2745" s="29"/>
      <c r="P2745" s="30">
        <f t="shared" si="2434"/>
        <v>0</v>
      </c>
      <c r="Q2745" s="31">
        <f t="shared" si="2433"/>
        <v>0</v>
      </c>
    </row>
    <row r="2746" spans="1:17" x14ac:dyDescent="0.2">
      <c r="A2746" s="10"/>
      <c r="B2746" s="26"/>
      <c r="C2746" s="11">
        <v>1991</v>
      </c>
      <c r="D2746" s="32">
        <f>SPFI_CLB14!$D$14</f>
        <v>0.62776900000000002</v>
      </c>
      <c r="E2746" s="32"/>
      <c r="F2746" s="32"/>
      <c r="G2746" s="32"/>
      <c r="H2746" s="32"/>
      <c r="I2746" s="32"/>
      <c r="J2746" s="28">
        <f t="shared" si="2432"/>
        <v>0</v>
      </c>
      <c r="K2746" s="29"/>
      <c r="L2746" s="29"/>
      <c r="M2746" s="29"/>
      <c r="N2746" s="29"/>
      <c r="O2746" s="29"/>
      <c r="P2746" s="30">
        <f t="shared" si="2434"/>
        <v>0</v>
      </c>
      <c r="Q2746" s="31">
        <f t="shared" si="2433"/>
        <v>0</v>
      </c>
    </row>
    <row r="2747" spans="1:17" x14ac:dyDescent="0.2">
      <c r="A2747" s="10"/>
      <c r="B2747" s="26"/>
      <c r="C2747" s="11">
        <v>1992</v>
      </c>
      <c r="D2747" s="32">
        <f>SPFI_CLB14!$D$15</f>
        <v>0.43504100000000001</v>
      </c>
      <c r="E2747" s="32"/>
      <c r="F2747" s="32"/>
      <c r="G2747" s="32"/>
      <c r="H2747" s="32"/>
      <c r="I2747" s="32"/>
      <c r="J2747" s="28">
        <f t="shared" si="2432"/>
        <v>0</v>
      </c>
      <c r="K2747" s="29"/>
      <c r="L2747" s="29"/>
      <c r="M2747" s="29"/>
      <c r="N2747" s="29"/>
      <c r="O2747" s="29"/>
      <c r="P2747" s="30">
        <f t="shared" si="2434"/>
        <v>0</v>
      </c>
      <c r="Q2747" s="31">
        <f t="shared" si="2433"/>
        <v>0</v>
      </c>
    </row>
    <row r="2748" spans="1:17" x14ac:dyDescent="0.2">
      <c r="A2748" s="10"/>
      <c r="B2748" s="26"/>
      <c r="C2748" s="11">
        <v>1993</v>
      </c>
      <c r="D2748" s="32">
        <f>SPFI_CLB14!$D$16</f>
        <v>0.499164</v>
      </c>
      <c r="E2748" s="32"/>
      <c r="F2748" s="32"/>
      <c r="G2748" s="32"/>
      <c r="H2748" s="32"/>
      <c r="I2748" s="32"/>
      <c r="J2748" s="28">
        <f t="shared" si="2432"/>
        <v>0</v>
      </c>
      <c r="K2748" s="29"/>
      <c r="L2748" s="29"/>
      <c r="M2748" s="29"/>
      <c r="N2748" s="29"/>
      <c r="O2748" s="29"/>
      <c r="P2748" s="30">
        <f t="shared" si="2434"/>
        <v>0</v>
      </c>
      <c r="Q2748" s="31">
        <f t="shared" si="2433"/>
        <v>0</v>
      </c>
    </row>
    <row r="2749" spans="1:17" x14ac:dyDescent="0.2">
      <c r="A2749" s="10"/>
      <c r="B2749" s="26"/>
      <c r="C2749" s="11">
        <v>1994</v>
      </c>
      <c r="D2749" s="32">
        <f>SPFI_CLB14!$D$17</f>
        <v>0.59591300000000003</v>
      </c>
      <c r="E2749" s="32"/>
      <c r="F2749" s="32"/>
      <c r="G2749" s="32"/>
      <c r="H2749" s="32"/>
      <c r="I2749" s="32"/>
      <c r="J2749" s="28">
        <f t="shared" si="2432"/>
        <v>0</v>
      </c>
      <c r="K2749" s="29"/>
      <c r="L2749" s="29"/>
      <c r="M2749" s="29"/>
      <c r="N2749" s="29"/>
      <c r="O2749" s="29"/>
      <c r="P2749" s="30">
        <f t="shared" si="2434"/>
        <v>0</v>
      </c>
      <c r="Q2749" s="31">
        <f t="shared" si="2433"/>
        <v>0</v>
      </c>
    </row>
    <row r="2750" spans="1:17" x14ac:dyDescent="0.2">
      <c r="A2750" s="10"/>
      <c r="B2750" s="26"/>
      <c r="C2750" s="11">
        <v>1995</v>
      </c>
      <c r="D2750" s="32">
        <f>SPFI_CLB14!$D$18</f>
        <v>0.25400800000000001</v>
      </c>
      <c r="E2750" s="32"/>
      <c r="F2750" s="32"/>
      <c r="G2750" s="32"/>
      <c r="H2750" s="32"/>
      <c r="I2750" s="32"/>
      <c r="J2750" s="28">
        <f t="shared" ref="J2750" si="2435">D2750*J$88</f>
        <v>0</v>
      </c>
      <c r="K2750" s="29"/>
      <c r="L2750" s="29"/>
      <c r="M2750" s="29"/>
      <c r="N2750" s="29"/>
      <c r="O2750" s="29"/>
      <c r="P2750" s="30">
        <f>SUM(J2750:O2750)</f>
        <v>0</v>
      </c>
      <c r="Q2750" s="31">
        <f t="shared" si="2433"/>
        <v>0</v>
      </c>
    </row>
    <row r="2751" spans="1:17" x14ac:dyDescent="0.2">
      <c r="A2751" s="10"/>
      <c r="B2751" s="26"/>
      <c r="C2751" s="11">
        <v>1996</v>
      </c>
      <c r="D2751" s="32">
        <f>SPFI_CLB14!$D$19</f>
        <v>0</v>
      </c>
      <c r="E2751" s="32"/>
      <c r="F2751" s="32"/>
      <c r="G2751" s="32"/>
      <c r="H2751" s="32"/>
      <c r="I2751" s="32"/>
      <c r="J2751" s="28">
        <f t="shared" ref="J2751" si="2436">D2751*J$88</f>
        <v>0</v>
      </c>
      <c r="K2751" s="29"/>
      <c r="L2751" s="29"/>
      <c r="M2751" s="29"/>
      <c r="N2751" s="29"/>
      <c r="O2751" s="29"/>
      <c r="P2751" s="30">
        <f>SUM(J2751:O2751)</f>
        <v>0</v>
      </c>
      <c r="Q2751" s="31">
        <f t="shared" si="2433"/>
        <v>0</v>
      </c>
    </row>
    <row r="2752" spans="1:17" x14ac:dyDescent="0.2">
      <c r="A2752" s="10"/>
      <c r="B2752" s="26"/>
      <c r="C2752" s="11">
        <v>1997</v>
      </c>
      <c r="D2752" s="32">
        <f>SPFI_CLB14!$D$20</f>
        <v>0.201487</v>
      </c>
      <c r="E2752" s="32"/>
      <c r="F2752" s="32"/>
      <c r="G2752" s="32"/>
      <c r="H2752" s="32"/>
      <c r="I2752" s="32"/>
      <c r="J2752" s="28">
        <f t="shared" ref="J2752" si="2437">D2752*J$88</f>
        <v>0</v>
      </c>
      <c r="K2752" s="29"/>
      <c r="L2752" s="29"/>
      <c r="M2752" s="29"/>
      <c r="N2752" s="29"/>
      <c r="O2752" s="29"/>
      <c r="P2752" s="30">
        <f>SUM(J2752:O2752)</f>
        <v>0</v>
      </c>
      <c r="Q2752" s="31">
        <f t="shared" si="2433"/>
        <v>0</v>
      </c>
    </row>
    <row r="2753" spans="1:17" x14ac:dyDescent="0.2">
      <c r="A2753" s="10"/>
      <c r="B2753" s="26"/>
      <c r="C2753" s="11">
        <v>1998</v>
      </c>
      <c r="D2753" s="32">
        <f>SPFI_CLB14!$D$21</f>
        <v>0.37506400000000001</v>
      </c>
      <c r="E2753" s="32"/>
      <c r="F2753" s="32"/>
      <c r="G2753" s="32"/>
      <c r="H2753" s="32"/>
      <c r="I2753" s="32"/>
      <c r="J2753" s="28">
        <f t="shared" ref="J2753" si="2438">D2753*J$88</f>
        <v>0</v>
      </c>
      <c r="K2753" s="29"/>
      <c r="L2753" s="29"/>
      <c r="M2753" s="29"/>
      <c r="N2753" s="29"/>
      <c r="O2753" s="29"/>
      <c r="P2753" s="30">
        <f>SUM(J2753:O2753)</f>
        <v>0</v>
      </c>
      <c r="Q2753" s="31">
        <f t="shared" si="2433"/>
        <v>0</v>
      </c>
    </row>
    <row r="2754" spans="1:17" x14ac:dyDescent="0.2">
      <c r="A2754" s="10"/>
      <c r="B2754" s="26"/>
      <c r="C2754" s="11">
        <v>1999</v>
      </c>
      <c r="D2754" s="32">
        <f>SPFI_CLB14!$D$22</f>
        <v>0.29823699999999997</v>
      </c>
      <c r="E2754" s="32"/>
      <c r="F2754" s="32"/>
      <c r="G2754" s="32"/>
      <c r="H2754" s="32"/>
      <c r="I2754" s="32"/>
      <c r="J2754" s="28">
        <f t="shared" ref="J2754" si="2439">D2754*J$88</f>
        <v>0</v>
      </c>
      <c r="K2754" s="29"/>
      <c r="L2754" s="29"/>
      <c r="M2754" s="29"/>
      <c r="N2754" s="29"/>
      <c r="O2754" s="29"/>
      <c r="P2754" s="30">
        <f>SUM(J2754:O2754)</f>
        <v>0</v>
      </c>
      <c r="Q2754" s="31">
        <f t="shared" ref="Q2754:Q2759" si="2440">IF(C$88&gt;0,P2754/C$88,0)</f>
        <v>0</v>
      </c>
    </row>
    <row r="2755" spans="1:17" x14ac:dyDescent="0.2">
      <c r="A2755" s="10"/>
      <c r="B2755" s="26"/>
      <c r="C2755" s="11">
        <v>2000</v>
      </c>
      <c r="D2755" s="32">
        <f>SPFI_CLB14!$D$23</f>
        <v>8.4414000000000003E-2</v>
      </c>
      <c r="E2755" s="32"/>
      <c r="F2755" s="32"/>
      <c r="G2755" s="32"/>
      <c r="H2755" s="32"/>
      <c r="I2755" s="32"/>
      <c r="J2755" s="28">
        <f t="shared" ref="J2755" si="2441">D2755*J$88</f>
        <v>0</v>
      </c>
      <c r="K2755" s="29"/>
      <c r="L2755" s="29"/>
      <c r="M2755" s="29"/>
      <c r="N2755" s="29"/>
      <c r="O2755" s="29"/>
      <c r="P2755" s="30">
        <f t="shared" ref="P2755:P2760" si="2442">SUM(J2755:O2755)</f>
        <v>0</v>
      </c>
      <c r="Q2755" s="31">
        <f t="shared" si="2440"/>
        <v>0</v>
      </c>
    </row>
    <row r="2756" spans="1:17" x14ac:dyDescent="0.2">
      <c r="A2756" s="10"/>
      <c r="B2756" s="26"/>
      <c r="C2756" s="11">
        <v>2001</v>
      </c>
      <c r="D2756" s="32">
        <f>SPFI_CLB14!$D$24</f>
        <v>7.8909000000000007E-2</v>
      </c>
      <c r="E2756" s="32"/>
      <c r="F2756" s="32"/>
      <c r="G2756" s="32"/>
      <c r="H2756" s="32"/>
      <c r="I2756" s="32"/>
      <c r="J2756" s="28">
        <f t="shared" ref="J2756" si="2443">D2756*J$88</f>
        <v>0</v>
      </c>
      <c r="K2756" s="29"/>
      <c r="L2756" s="29"/>
      <c r="M2756" s="29"/>
      <c r="N2756" s="29"/>
      <c r="O2756" s="29"/>
      <c r="P2756" s="30">
        <f t="shared" si="2442"/>
        <v>0</v>
      </c>
      <c r="Q2756" s="31">
        <f t="shared" si="2440"/>
        <v>0</v>
      </c>
    </row>
    <row r="2757" spans="1:17" x14ac:dyDescent="0.2">
      <c r="A2757" s="10"/>
      <c r="B2757" s="26"/>
      <c r="C2757" s="11">
        <v>2002</v>
      </c>
      <c r="D2757" s="32">
        <f>SPFI_CLB14!$D$25</f>
        <v>0.29974699999999999</v>
      </c>
      <c r="E2757" s="32"/>
      <c r="F2757" s="32"/>
      <c r="G2757" s="32"/>
      <c r="H2757" s="32"/>
      <c r="I2757" s="32"/>
      <c r="J2757" s="28">
        <f t="shared" ref="J2757" si="2444">D2757*J$88</f>
        <v>0</v>
      </c>
      <c r="K2757" s="29"/>
      <c r="L2757" s="29"/>
      <c r="M2757" s="29"/>
      <c r="N2757" s="29"/>
      <c r="O2757" s="29"/>
      <c r="P2757" s="30">
        <f t="shared" si="2442"/>
        <v>0</v>
      </c>
      <c r="Q2757" s="31">
        <f t="shared" si="2440"/>
        <v>0</v>
      </c>
    </row>
    <row r="2758" spans="1:17" x14ac:dyDescent="0.2">
      <c r="A2758" s="10"/>
      <c r="B2758" s="26"/>
      <c r="C2758" s="11">
        <v>2003</v>
      </c>
      <c r="D2758" s="32">
        <f>SPFI_CLB14!$D$26</f>
        <v>0.20691100000000001</v>
      </c>
      <c r="E2758" s="32"/>
      <c r="F2758" s="32"/>
      <c r="G2758" s="32"/>
      <c r="H2758" s="32"/>
      <c r="I2758" s="32"/>
      <c r="J2758" s="28">
        <f t="shared" ref="J2758" si="2445">D2758*J$88</f>
        <v>0</v>
      </c>
      <c r="K2758" s="29"/>
      <c r="L2758" s="29"/>
      <c r="M2758" s="29"/>
      <c r="N2758" s="29"/>
      <c r="O2758" s="29"/>
      <c r="P2758" s="30">
        <f t="shared" si="2442"/>
        <v>0</v>
      </c>
      <c r="Q2758" s="31">
        <f t="shared" si="2440"/>
        <v>0</v>
      </c>
    </row>
    <row r="2759" spans="1:17" x14ac:dyDescent="0.2">
      <c r="A2759" s="10"/>
      <c r="B2759" s="26"/>
      <c r="C2759" s="11">
        <v>2004</v>
      </c>
      <c r="D2759" s="32">
        <f>SPFI_CLB14!$D$27</f>
        <v>0.269237</v>
      </c>
      <c r="E2759" s="32"/>
      <c r="F2759" s="32"/>
      <c r="G2759" s="32"/>
      <c r="H2759" s="32"/>
      <c r="I2759" s="32"/>
      <c r="J2759" s="28">
        <f t="shared" ref="J2759" si="2446">D2759*J$88</f>
        <v>0</v>
      </c>
      <c r="K2759" s="29"/>
      <c r="L2759" s="29"/>
      <c r="M2759" s="29"/>
      <c r="N2759" s="29"/>
      <c r="O2759" s="29"/>
      <c r="P2759" s="30">
        <f t="shared" si="2442"/>
        <v>0</v>
      </c>
      <c r="Q2759" s="31">
        <f t="shared" si="2440"/>
        <v>0</v>
      </c>
    </row>
    <row r="2760" spans="1:17" x14ac:dyDescent="0.2">
      <c r="A2760" s="10"/>
      <c r="B2760" s="26"/>
      <c r="C2760" s="11">
        <v>2005</v>
      </c>
      <c r="D2760" s="32">
        <f>SPFI_CLB14!$D$28</f>
        <v>0.37848700000000002</v>
      </c>
      <c r="E2760" s="32"/>
      <c r="F2760" s="32"/>
      <c r="G2760" s="32"/>
      <c r="H2760" s="32"/>
      <c r="I2760" s="32"/>
      <c r="J2760" s="28">
        <f t="shared" ref="J2760" si="2447">D2760*J$88</f>
        <v>0</v>
      </c>
      <c r="K2760" s="29"/>
      <c r="L2760" s="29"/>
      <c r="M2760" s="29"/>
      <c r="N2760" s="29"/>
      <c r="O2760" s="29"/>
      <c r="P2760" s="30">
        <f t="shared" si="2442"/>
        <v>0</v>
      </c>
      <c r="Q2760" s="31">
        <f t="shared" ref="Q2760:Q2765" si="2448">IF(C$88&gt;0,P2760/C$88,0)</f>
        <v>0</v>
      </c>
    </row>
    <row r="2761" spans="1:17" x14ac:dyDescent="0.2">
      <c r="A2761" s="10"/>
      <c r="B2761" s="26"/>
      <c r="C2761" s="11">
        <v>2006</v>
      </c>
      <c r="D2761" s="32">
        <f>SPFI_CLB14!$D$29</f>
        <v>0.381023</v>
      </c>
      <c r="E2761" s="32"/>
      <c r="F2761" s="32"/>
      <c r="G2761" s="32"/>
      <c r="H2761" s="32"/>
      <c r="I2761" s="32"/>
      <c r="J2761" s="28">
        <f t="shared" ref="J2761" si="2449">D2761*J$88</f>
        <v>0</v>
      </c>
      <c r="K2761" s="29"/>
      <c r="L2761" s="29"/>
      <c r="M2761" s="29"/>
      <c r="N2761" s="29"/>
      <c r="O2761" s="29"/>
      <c r="P2761" s="30">
        <f t="shared" ref="P2761:P2768" si="2450">SUM(J2761:O2761)</f>
        <v>0</v>
      </c>
      <c r="Q2761" s="31">
        <f t="shared" si="2448"/>
        <v>0</v>
      </c>
    </row>
    <row r="2762" spans="1:17" x14ac:dyDescent="0.2">
      <c r="A2762" s="10"/>
      <c r="B2762" s="26"/>
      <c r="C2762" s="11">
        <v>2007</v>
      </c>
      <c r="D2762" s="32">
        <f>SPFI_CLB14!$D$30</f>
        <v>0.356512</v>
      </c>
      <c r="E2762" s="32"/>
      <c r="F2762" s="32"/>
      <c r="G2762" s="32"/>
      <c r="H2762" s="32"/>
      <c r="I2762" s="32"/>
      <c r="J2762" s="28">
        <f t="shared" ref="J2762" si="2451">D2762*J$88</f>
        <v>0</v>
      </c>
      <c r="K2762" s="29"/>
      <c r="L2762" s="29"/>
      <c r="M2762" s="29"/>
      <c r="N2762" s="29"/>
      <c r="O2762" s="29"/>
      <c r="P2762" s="30">
        <f t="shared" si="2450"/>
        <v>0</v>
      </c>
      <c r="Q2762" s="31">
        <f t="shared" si="2448"/>
        <v>0</v>
      </c>
    </row>
    <row r="2763" spans="1:17" x14ac:dyDescent="0.2">
      <c r="A2763" s="10"/>
      <c r="B2763" s="26"/>
      <c r="C2763" s="11">
        <v>2008</v>
      </c>
      <c r="D2763" s="32">
        <f>SPFI_CLB14!$D$31</f>
        <v>0.25494499999999998</v>
      </c>
      <c r="E2763" s="32"/>
      <c r="F2763" s="32"/>
      <c r="G2763" s="32"/>
      <c r="H2763" s="32"/>
      <c r="I2763" s="32"/>
      <c r="J2763" s="28">
        <f t="shared" ref="J2763" si="2452">D2763*J$88</f>
        <v>0</v>
      </c>
      <c r="K2763" s="29"/>
      <c r="L2763" s="29"/>
      <c r="M2763" s="29"/>
      <c r="N2763" s="29"/>
      <c r="O2763" s="29"/>
      <c r="P2763" s="30">
        <f t="shared" si="2450"/>
        <v>0</v>
      </c>
      <c r="Q2763" s="31">
        <f t="shared" si="2448"/>
        <v>0</v>
      </c>
    </row>
    <row r="2764" spans="1:17" x14ac:dyDescent="0.2">
      <c r="A2764" s="10"/>
      <c r="B2764" s="26"/>
      <c r="C2764" s="11">
        <v>2009</v>
      </c>
      <c r="D2764" s="32">
        <f>SPFI_CLB14!$D$32</f>
        <v>0.52383000000000002</v>
      </c>
      <c r="E2764" s="32"/>
      <c r="F2764" s="32"/>
      <c r="G2764" s="32"/>
      <c r="H2764" s="32"/>
      <c r="I2764" s="32"/>
      <c r="J2764" s="28">
        <f t="shared" ref="J2764" si="2453">D2764*J$88</f>
        <v>0</v>
      </c>
      <c r="K2764" s="29"/>
      <c r="L2764" s="29"/>
      <c r="M2764" s="29"/>
      <c r="N2764" s="29"/>
      <c r="O2764" s="29"/>
      <c r="P2764" s="30">
        <f t="shared" si="2450"/>
        <v>0</v>
      </c>
      <c r="Q2764" s="31">
        <f t="shared" si="2448"/>
        <v>0</v>
      </c>
    </row>
    <row r="2765" spans="1:17" x14ac:dyDescent="0.2">
      <c r="A2765" s="10"/>
      <c r="B2765" s="26"/>
      <c r="C2765" s="11">
        <v>2010</v>
      </c>
      <c r="D2765" s="32">
        <f>SPFI_CLB14!$D$33</f>
        <v>0.31394</v>
      </c>
      <c r="E2765" s="32"/>
      <c r="F2765" s="32"/>
      <c r="G2765" s="32"/>
      <c r="H2765" s="32"/>
      <c r="I2765" s="32"/>
      <c r="J2765" s="28">
        <f t="shared" ref="J2765" si="2454">D2765*J$88</f>
        <v>0</v>
      </c>
      <c r="K2765" s="29"/>
      <c r="L2765" s="29"/>
      <c r="M2765" s="29"/>
      <c r="N2765" s="29"/>
      <c r="O2765" s="29"/>
      <c r="P2765" s="30">
        <f t="shared" si="2450"/>
        <v>0</v>
      </c>
      <c r="Q2765" s="31">
        <f t="shared" si="2448"/>
        <v>0</v>
      </c>
    </row>
    <row r="2766" spans="1:17" x14ac:dyDescent="0.2">
      <c r="A2766" s="10"/>
      <c r="B2766" s="26"/>
      <c r="C2766" s="11">
        <v>2011</v>
      </c>
      <c r="D2766" s="32">
        <f>SPFI_CLB14!$D$34</f>
        <v>0.294348</v>
      </c>
      <c r="E2766" s="32"/>
      <c r="F2766" s="32"/>
      <c r="G2766" s="32"/>
      <c r="H2766" s="32"/>
      <c r="I2766" s="32"/>
      <c r="J2766" s="28">
        <f t="shared" ref="J2766" si="2455">D2766*J$88</f>
        <v>0</v>
      </c>
      <c r="K2766" s="29"/>
      <c r="L2766" s="29"/>
      <c r="M2766" s="29"/>
      <c r="N2766" s="29"/>
      <c r="O2766" s="29"/>
      <c r="P2766" s="30">
        <f t="shared" ref="P2766" si="2456">SUM(J2766:O2766)</f>
        <v>0</v>
      </c>
      <c r="Q2766" s="31">
        <f t="shared" ref="Q2766" si="2457">IF(C$88&gt;0,P2766/C$88,0)</f>
        <v>0</v>
      </c>
    </row>
    <row r="2767" spans="1:17" x14ac:dyDescent="0.2">
      <c r="A2767" s="10"/>
      <c r="B2767" s="26"/>
      <c r="C2767" s="11">
        <v>2012</v>
      </c>
      <c r="D2767" s="32">
        <f>SPFI_CLB14!$D$35</f>
        <v>0.34784100000000001</v>
      </c>
      <c r="E2767" s="32"/>
      <c r="F2767" s="32"/>
      <c r="G2767" s="32"/>
      <c r="H2767" s="32"/>
      <c r="I2767" s="32"/>
      <c r="J2767" s="28">
        <f t="shared" ref="J2767" si="2458">D2767*J$88</f>
        <v>0</v>
      </c>
      <c r="K2767" s="29"/>
      <c r="L2767" s="29"/>
      <c r="M2767" s="29"/>
      <c r="N2767" s="29"/>
      <c r="O2767" s="29"/>
      <c r="P2767" s="30">
        <f t="shared" ref="P2767" si="2459">SUM(J2767:O2767)</f>
        <v>0</v>
      </c>
      <c r="Q2767" s="31">
        <f t="shared" ref="Q2767" si="2460">IF(C$88&gt;0,P2767/C$88,0)</f>
        <v>0</v>
      </c>
    </row>
    <row r="2768" spans="1:17" x14ac:dyDescent="0.2">
      <c r="A2768" s="5" t="s">
        <v>27</v>
      </c>
      <c r="B2768" s="21">
        <v>3</v>
      </c>
      <c r="C2768" s="6">
        <v>1982</v>
      </c>
      <c r="D2768" s="27">
        <f>SPFI_CLB14!$D$5</f>
        <v>0.98153299999999999</v>
      </c>
      <c r="E2768" s="27"/>
      <c r="F2768" s="27"/>
      <c r="G2768" s="27"/>
      <c r="H2768" s="27"/>
      <c r="I2768" s="27"/>
      <c r="J2768" s="33">
        <f t="shared" ref="J2768:J2780" si="2461">D2768*J$89</f>
        <v>0</v>
      </c>
      <c r="K2768" s="27"/>
      <c r="L2768" s="27"/>
      <c r="M2768" s="27"/>
      <c r="N2768" s="27"/>
      <c r="O2768" s="27"/>
      <c r="P2768" s="34">
        <f t="shared" si="2450"/>
        <v>0</v>
      </c>
      <c r="Q2768" s="35">
        <f t="shared" ref="Q2768:Q2784" si="2462">IF(C$89&gt;0,P2768/C$89,0)</f>
        <v>0</v>
      </c>
    </row>
    <row r="2769" spans="1:17" x14ac:dyDescent="0.2">
      <c r="A2769" s="10"/>
      <c r="B2769" s="26"/>
      <c r="C2769" s="11">
        <v>1983</v>
      </c>
      <c r="D2769" s="32">
        <f>SPFI_CLB14!$D$6</f>
        <v>0.93659899999999996</v>
      </c>
      <c r="E2769" s="32"/>
      <c r="F2769" s="32"/>
      <c r="G2769" s="32"/>
      <c r="H2769" s="32"/>
      <c r="I2769" s="32"/>
      <c r="J2769" s="28">
        <f t="shared" si="2461"/>
        <v>0</v>
      </c>
      <c r="K2769" s="29"/>
      <c r="L2769" s="29"/>
      <c r="M2769" s="29"/>
      <c r="N2769" s="29"/>
      <c r="O2769" s="29"/>
      <c r="P2769" s="30">
        <f t="shared" ref="P2769:P2780" si="2463">SUM(J2769:O2769)</f>
        <v>0</v>
      </c>
      <c r="Q2769" s="31">
        <f t="shared" si="2462"/>
        <v>0</v>
      </c>
    </row>
    <row r="2770" spans="1:17" x14ac:dyDescent="0.2">
      <c r="A2770" s="10"/>
      <c r="B2770" s="26"/>
      <c r="C2770" s="11">
        <v>1984</v>
      </c>
      <c r="D2770" s="32">
        <f>SPFI_CLB14!$D$7</f>
        <v>0.92793599999999998</v>
      </c>
      <c r="E2770" s="32"/>
      <c r="F2770" s="32"/>
      <c r="G2770" s="32"/>
      <c r="H2770" s="32"/>
      <c r="I2770" s="32"/>
      <c r="J2770" s="28">
        <f t="shared" si="2461"/>
        <v>0</v>
      </c>
      <c r="K2770" s="29"/>
      <c r="L2770" s="29"/>
      <c r="M2770" s="29"/>
      <c r="N2770" s="29"/>
      <c r="O2770" s="29"/>
      <c r="P2770" s="30">
        <f t="shared" si="2463"/>
        <v>0</v>
      </c>
      <c r="Q2770" s="31">
        <f t="shared" si="2462"/>
        <v>0</v>
      </c>
    </row>
    <row r="2771" spans="1:17" x14ac:dyDescent="0.2">
      <c r="A2771" s="10"/>
      <c r="B2771" s="26"/>
      <c r="C2771" s="11">
        <v>1985</v>
      </c>
      <c r="D2771" s="32">
        <f>SPFI_CLB14!$D$8</f>
        <v>0.90386500000000003</v>
      </c>
      <c r="E2771" s="32"/>
      <c r="F2771" s="32"/>
      <c r="G2771" s="32"/>
      <c r="H2771" s="32"/>
      <c r="I2771" s="32"/>
      <c r="J2771" s="28">
        <f t="shared" si="2461"/>
        <v>0</v>
      </c>
      <c r="K2771" s="29"/>
      <c r="L2771" s="29"/>
      <c r="M2771" s="29"/>
      <c r="N2771" s="29"/>
      <c r="O2771" s="29"/>
      <c r="P2771" s="30">
        <f t="shared" si="2463"/>
        <v>0</v>
      </c>
      <c r="Q2771" s="31">
        <f t="shared" si="2462"/>
        <v>0</v>
      </c>
    </row>
    <row r="2772" spans="1:17" x14ac:dyDescent="0.2">
      <c r="A2772" s="10"/>
      <c r="B2772" s="26"/>
      <c r="C2772" s="11">
        <v>1986</v>
      </c>
      <c r="D2772" s="32">
        <f>SPFI_CLB14!$D$9</f>
        <v>0.73087500000000005</v>
      </c>
      <c r="E2772" s="32"/>
      <c r="F2772" s="32"/>
      <c r="G2772" s="32"/>
      <c r="H2772" s="32"/>
      <c r="I2772" s="32"/>
      <c r="J2772" s="28">
        <f t="shared" si="2461"/>
        <v>0</v>
      </c>
      <c r="K2772" s="29"/>
      <c r="L2772" s="29"/>
      <c r="M2772" s="29"/>
      <c r="N2772" s="29"/>
      <c r="O2772" s="29"/>
      <c r="P2772" s="30">
        <f t="shared" si="2463"/>
        <v>0</v>
      </c>
      <c r="Q2772" s="31">
        <f t="shared" si="2462"/>
        <v>0</v>
      </c>
    </row>
    <row r="2773" spans="1:17" x14ac:dyDescent="0.2">
      <c r="A2773" s="10"/>
      <c r="B2773" s="26"/>
      <c r="C2773" s="11">
        <v>1987</v>
      </c>
      <c r="D2773" s="32">
        <f>SPFI_CLB14!$D$10</f>
        <v>0.71733499999999994</v>
      </c>
      <c r="E2773" s="32"/>
      <c r="F2773" s="32"/>
      <c r="G2773" s="32"/>
      <c r="H2773" s="32"/>
      <c r="I2773" s="32"/>
      <c r="J2773" s="28">
        <f t="shared" si="2461"/>
        <v>0</v>
      </c>
      <c r="K2773" s="29"/>
      <c r="L2773" s="29"/>
      <c r="M2773" s="29"/>
      <c r="N2773" s="29"/>
      <c r="O2773" s="29"/>
      <c r="P2773" s="30">
        <f t="shared" si="2463"/>
        <v>0</v>
      </c>
      <c r="Q2773" s="31">
        <f t="shared" si="2462"/>
        <v>0</v>
      </c>
    </row>
    <row r="2774" spans="1:17" x14ac:dyDescent="0.2">
      <c r="A2774" s="10"/>
      <c r="B2774" s="26"/>
      <c r="C2774" s="11">
        <v>1988</v>
      </c>
      <c r="D2774" s="32">
        <f>SPFI_CLB14!$D$11</f>
        <v>0.64558800000000005</v>
      </c>
      <c r="E2774" s="32"/>
      <c r="F2774" s="32"/>
      <c r="G2774" s="32"/>
      <c r="H2774" s="32"/>
      <c r="I2774" s="32"/>
      <c r="J2774" s="28">
        <f t="shared" si="2461"/>
        <v>0</v>
      </c>
      <c r="K2774" s="29"/>
      <c r="L2774" s="29"/>
      <c r="M2774" s="29"/>
      <c r="N2774" s="29"/>
      <c r="O2774" s="29"/>
      <c r="P2774" s="30">
        <f t="shared" si="2463"/>
        <v>0</v>
      </c>
      <c r="Q2774" s="31">
        <f t="shared" si="2462"/>
        <v>0</v>
      </c>
    </row>
    <row r="2775" spans="1:17" x14ac:dyDescent="0.2">
      <c r="A2775" s="10"/>
      <c r="B2775" s="26"/>
      <c r="C2775" s="11">
        <v>1989</v>
      </c>
      <c r="D2775" s="32">
        <f>SPFI_CLB14!$D$12</f>
        <v>0.65287700000000004</v>
      </c>
      <c r="E2775" s="32"/>
      <c r="F2775" s="32"/>
      <c r="G2775" s="32"/>
      <c r="H2775" s="32"/>
      <c r="I2775" s="32"/>
      <c r="J2775" s="28">
        <f t="shared" si="2461"/>
        <v>0</v>
      </c>
      <c r="K2775" s="29"/>
      <c r="L2775" s="29"/>
      <c r="M2775" s="29"/>
      <c r="N2775" s="29"/>
      <c r="O2775" s="29"/>
      <c r="P2775" s="30">
        <f t="shared" si="2463"/>
        <v>0</v>
      </c>
      <c r="Q2775" s="31">
        <f t="shared" si="2462"/>
        <v>0</v>
      </c>
    </row>
    <row r="2776" spans="1:17" x14ac:dyDescent="0.2">
      <c r="A2776" s="10"/>
      <c r="B2776" s="26"/>
      <c r="C2776" s="11">
        <v>1990</v>
      </c>
      <c r="D2776" s="32">
        <f>SPFI_CLB14!$D$13</f>
        <v>0.56965100000000002</v>
      </c>
      <c r="E2776" s="32"/>
      <c r="F2776" s="32"/>
      <c r="G2776" s="32"/>
      <c r="H2776" s="32"/>
      <c r="I2776" s="32"/>
      <c r="J2776" s="28">
        <f t="shared" si="2461"/>
        <v>0</v>
      </c>
      <c r="K2776" s="29"/>
      <c r="L2776" s="29"/>
      <c r="M2776" s="29"/>
      <c r="N2776" s="29"/>
      <c r="O2776" s="29"/>
      <c r="P2776" s="30">
        <f t="shared" si="2463"/>
        <v>0</v>
      </c>
      <c r="Q2776" s="31">
        <f t="shared" si="2462"/>
        <v>0</v>
      </c>
    </row>
    <row r="2777" spans="1:17" x14ac:dyDescent="0.2">
      <c r="A2777" s="10"/>
      <c r="B2777" s="26"/>
      <c r="C2777" s="11">
        <v>1991</v>
      </c>
      <c r="D2777" s="32">
        <f>SPFI_CLB14!$D$14</f>
        <v>0.62776900000000002</v>
      </c>
      <c r="E2777" s="32"/>
      <c r="F2777" s="32"/>
      <c r="G2777" s="32"/>
      <c r="H2777" s="32"/>
      <c r="I2777" s="32"/>
      <c r="J2777" s="28">
        <f t="shared" si="2461"/>
        <v>0</v>
      </c>
      <c r="K2777" s="29"/>
      <c r="L2777" s="29"/>
      <c r="M2777" s="29"/>
      <c r="N2777" s="29"/>
      <c r="O2777" s="29"/>
      <c r="P2777" s="30">
        <f t="shared" si="2463"/>
        <v>0</v>
      </c>
      <c r="Q2777" s="31">
        <f t="shared" si="2462"/>
        <v>0</v>
      </c>
    </row>
    <row r="2778" spans="1:17" x14ac:dyDescent="0.2">
      <c r="A2778" s="10"/>
      <c r="B2778" s="26"/>
      <c r="C2778" s="11">
        <v>1992</v>
      </c>
      <c r="D2778" s="32">
        <f>SPFI_CLB14!$D$15</f>
        <v>0.43504100000000001</v>
      </c>
      <c r="E2778" s="32"/>
      <c r="F2778" s="32"/>
      <c r="G2778" s="32"/>
      <c r="H2778" s="32"/>
      <c r="I2778" s="32"/>
      <c r="J2778" s="28">
        <f t="shared" si="2461"/>
        <v>0</v>
      </c>
      <c r="K2778" s="29"/>
      <c r="L2778" s="29"/>
      <c r="M2778" s="29"/>
      <c r="N2778" s="29"/>
      <c r="O2778" s="29"/>
      <c r="P2778" s="30">
        <f t="shared" si="2463"/>
        <v>0</v>
      </c>
      <c r="Q2778" s="31">
        <f t="shared" si="2462"/>
        <v>0</v>
      </c>
    </row>
    <row r="2779" spans="1:17" x14ac:dyDescent="0.2">
      <c r="A2779" s="10"/>
      <c r="B2779" s="26"/>
      <c r="C2779" s="11">
        <v>1993</v>
      </c>
      <c r="D2779" s="32">
        <f>SPFI_CLB14!$D$16</f>
        <v>0.499164</v>
      </c>
      <c r="E2779" s="32"/>
      <c r="F2779" s="32"/>
      <c r="G2779" s="32"/>
      <c r="H2779" s="32"/>
      <c r="I2779" s="32"/>
      <c r="J2779" s="28">
        <f t="shared" si="2461"/>
        <v>0</v>
      </c>
      <c r="K2779" s="29"/>
      <c r="L2779" s="29"/>
      <c r="M2779" s="29"/>
      <c r="N2779" s="29"/>
      <c r="O2779" s="29"/>
      <c r="P2779" s="30">
        <f t="shared" si="2463"/>
        <v>0</v>
      </c>
      <c r="Q2779" s="31">
        <f t="shared" si="2462"/>
        <v>0</v>
      </c>
    </row>
    <row r="2780" spans="1:17" x14ac:dyDescent="0.2">
      <c r="A2780" s="10"/>
      <c r="B2780" s="26"/>
      <c r="C2780" s="11">
        <v>1994</v>
      </c>
      <c r="D2780" s="32">
        <f>SPFI_CLB14!$D$17</f>
        <v>0.59591300000000003</v>
      </c>
      <c r="E2780" s="32"/>
      <c r="F2780" s="32"/>
      <c r="G2780" s="32"/>
      <c r="H2780" s="32"/>
      <c r="I2780" s="32"/>
      <c r="J2780" s="28">
        <f t="shared" si="2461"/>
        <v>0</v>
      </c>
      <c r="K2780" s="29"/>
      <c r="L2780" s="29"/>
      <c r="M2780" s="29"/>
      <c r="N2780" s="29"/>
      <c r="O2780" s="29"/>
      <c r="P2780" s="30">
        <f t="shared" si="2463"/>
        <v>0</v>
      </c>
      <c r="Q2780" s="31">
        <f t="shared" si="2462"/>
        <v>0</v>
      </c>
    </row>
    <row r="2781" spans="1:17" x14ac:dyDescent="0.2">
      <c r="A2781" s="10"/>
      <c r="B2781" s="26"/>
      <c r="C2781" s="11">
        <v>1995</v>
      </c>
      <c r="D2781" s="32">
        <f>SPFI_CLB14!$D$18</f>
        <v>0.25400800000000001</v>
      </c>
      <c r="E2781" s="32"/>
      <c r="F2781" s="32"/>
      <c r="G2781" s="32"/>
      <c r="H2781" s="32"/>
      <c r="I2781" s="32"/>
      <c r="J2781" s="28">
        <f t="shared" ref="J2781" si="2464">D2781*J$89</f>
        <v>0</v>
      </c>
      <c r="K2781" s="29"/>
      <c r="L2781" s="29"/>
      <c r="M2781" s="29"/>
      <c r="N2781" s="29"/>
      <c r="O2781" s="29"/>
      <c r="P2781" s="30">
        <f>SUM(J2781:O2781)</f>
        <v>0</v>
      </c>
      <c r="Q2781" s="31">
        <f t="shared" si="2462"/>
        <v>0</v>
      </c>
    </row>
    <row r="2782" spans="1:17" x14ac:dyDescent="0.2">
      <c r="A2782" s="10"/>
      <c r="B2782" s="26"/>
      <c r="C2782" s="11">
        <v>1996</v>
      </c>
      <c r="D2782" s="32">
        <f>SPFI_CLB14!$D$19</f>
        <v>0</v>
      </c>
      <c r="E2782" s="32"/>
      <c r="F2782" s="32"/>
      <c r="G2782" s="32"/>
      <c r="H2782" s="32"/>
      <c r="I2782" s="32"/>
      <c r="J2782" s="28">
        <f t="shared" ref="J2782" si="2465">D2782*J$89</f>
        <v>0</v>
      </c>
      <c r="K2782" s="29"/>
      <c r="L2782" s="29"/>
      <c r="M2782" s="29"/>
      <c r="N2782" s="29"/>
      <c r="O2782" s="29"/>
      <c r="P2782" s="30">
        <f>SUM(J2782:O2782)</f>
        <v>0</v>
      </c>
      <c r="Q2782" s="31">
        <f t="shared" si="2462"/>
        <v>0</v>
      </c>
    </row>
    <row r="2783" spans="1:17" x14ac:dyDescent="0.2">
      <c r="A2783" s="10"/>
      <c r="B2783" s="26"/>
      <c r="C2783" s="11">
        <v>1997</v>
      </c>
      <c r="D2783" s="32">
        <f>SPFI_CLB14!$D$20</f>
        <v>0.201487</v>
      </c>
      <c r="E2783" s="32"/>
      <c r="F2783" s="32"/>
      <c r="G2783" s="32"/>
      <c r="H2783" s="32"/>
      <c r="I2783" s="32"/>
      <c r="J2783" s="28">
        <f t="shared" ref="J2783" si="2466">D2783*J$89</f>
        <v>0</v>
      </c>
      <c r="K2783" s="29"/>
      <c r="L2783" s="29"/>
      <c r="M2783" s="29"/>
      <c r="N2783" s="29"/>
      <c r="O2783" s="29"/>
      <c r="P2783" s="30">
        <f>SUM(J2783:O2783)</f>
        <v>0</v>
      </c>
      <c r="Q2783" s="31">
        <f t="shared" si="2462"/>
        <v>0</v>
      </c>
    </row>
    <row r="2784" spans="1:17" x14ac:dyDescent="0.2">
      <c r="A2784" s="10"/>
      <c r="B2784" s="26"/>
      <c r="C2784" s="11">
        <v>1998</v>
      </c>
      <c r="D2784" s="32">
        <f>SPFI_CLB14!$D$21</f>
        <v>0.37506400000000001</v>
      </c>
      <c r="E2784" s="32"/>
      <c r="F2784" s="32"/>
      <c r="G2784" s="32"/>
      <c r="H2784" s="32"/>
      <c r="I2784" s="32"/>
      <c r="J2784" s="28">
        <f t="shared" ref="J2784" si="2467">D2784*J$89</f>
        <v>0</v>
      </c>
      <c r="K2784" s="29"/>
      <c r="L2784" s="29"/>
      <c r="M2784" s="29"/>
      <c r="N2784" s="29"/>
      <c r="O2784" s="29"/>
      <c r="P2784" s="30">
        <f>SUM(J2784:O2784)</f>
        <v>0</v>
      </c>
      <c r="Q2784" s="31">
        <f t="shared" si="2462"/>
        <v>0</v>
      </c>
    </row>
    <row r="2785" spans="1:17" x14ac:dyDescent="0.2">
      <c r="A2785" s="10"/>
      <c r="B2785" s="26"/>
      <c r="C2785" s="11">
        <v>1999</v>
      </c>
      <c r="D2785" s="32">
        <f>SPFI_CLB14!$D$22</f>
        <v>0.29823699999999997</v>
      </c>
      <c r="E2785" s="32"/>
      <c r="F2785" s="32"/>
      <c r="G2785" s="32"/>
      <c r="H2785" s="32"/>
      <c r="I2785" s="32"/>
      <c r="J2785" s="28">
        <f t="shared" ref="J2785" si="2468">D2785*J$89</f>
        <v>0</v>
      </c>
      <c r="K2785" s="29"/>
      <c r="L2785" s="29"/>
      <c r="M2785" s="29"/>
      <c r="N2785" s="29"/>
      <c r="O2785" s="29"/>
      <c r="P2785" s="30">
        <f>SUM(J2785:O2785)</f>
        <v>0</v>
      </c>
      <c r="Q2785" s="31">
        <f t="shared" ref="Q2785:Q2790" si="2469">IF(C$89&gt;0,P2785/C$89,0)</f>
        <v>0</v>
      </c>
    </row>
    <row r="2786" spans="1:17" x14ac:dyDescent="0.2">
      <c r="A2786" s="10"/>
      <c r="B2786" s="26"/>
      <c r="C2786" s="11">
        <v>2000</v>
      </c>
      <c r="D2786" s="32">
        <f>SPFI_CLB14!$D$23</f>
        <v>8.4414000000000003E-2</v>
      </c>
      <c r="E2786" s="32"/>
      <c r="F2786" s="32"/>
      <c r="G2786" s="32"/>
      <c r="H2786" s="32"/>
      <c r="I2786" s="32"/>
      <c r="J2786" s="28">
        <f t="shared" ref="J2786" si="2470">D2786*J$89</f>
        <v>0</v>
      </c>
      <c r="K2786" s="29"/>
      <c r="L2786" s="29"/>
      <c r="M2786" s="29"/>
      <c r="N2786" s="29"/>
      <c r="O2786" s="29"/>
      <c r="P2786" s="30">
        <f t="shared" ref="P2786:P2791" si="2471">SUM(J2786:O2786)</f>
        <v>0</v>
      </c>
      <c r="Q2786" s="31">
        <f t="shared" si="2469"/>
        <v>0</v>
      </c>
    </row>
    <row r="2787" spans="1:17" x14ac:dyDescent="0.2">
      <c r="A2787" s="10"/>
      <c r="B2787" s="26"/>
      <c r="C2787" s="11">
        <v>2001</v>
      </c>
      <c r="D2787" s="32">
        <f>SPFI_CLB14!$D$24</f>
        <v>7.8909000000000007E-2</v>
      </c>
      <c r="E2787" s="32"/>
      <c r="F2787" s="32"/>
      <c r="G2787" s="32"/>
      <c r="H2787" s="32"/>
      <c r="I2787" s="32"/>
      <c r="J2787" s="28">
        <f t="shared" ref="J2787" si="2472">D2787*J$89</f>
        <v>0</v>
      </c>
      <c r="K2787" s="29"/>
      <c r="L2787" s="29"/>
      <c r="M2787" s="29"/>
      <c r="N2787" s="29"/>
      <c r="O2787" s="29"/>
      <c r="P2787" s="30">
        <f t="shared" si="2471"/>
        <v>0</v>
      </c>
      <c r="Q2787" s="31">
        <f t="shared" si="2469"/>
        <v>0</v>
      </c>
    </row>
    <row r="2788" spans="1:17" x14ac:dyDescent="0.2">
      <c r="A2788" s="10"/>
      <c r="B2788" s="26"/>
      <c r="C2788" s="11">
        <v>2002</v>
      </c>
      <c r="D2788" s="32">
        <f>SPFI_CLB14!$D$25</f>
        <v>0.29974699999999999</v>
      </c>
      <c r="E2788" s="32"/>
      <c r="F2788" s="32"/>
      <c r="G2788" s="32"/>
      <c r="H2788" s="32"/>
      <c r="I2788" s="32"/>
      <c r="J2788" s="28">
        <f t="shared" ref="J2788" si="2473">D2788*J$89</f>
        <v>0</v>
      </c>
      <c r="K2788" s="29"/>
      <c r="L2788" s="29"/>
      <c r="M2788" s="29"/>
      <c r="N2788" s="29"/>
      <c r="O2788" s="29"/>
      <c r="P2788" s="30">
        <f t="shared" si="2471"/>
        <v>0</v>
      </c>
      <c r="Q2788" s="31">
        <f t="shared" si="2469"/>
        <v>0</v>
      </c>
    </row>
    <row r="2789" spans="1:17" x14ac:dyDescent="0.2">
      <c r="A2789" s="10"/>
      <c r="B2789" s="26"/>
      <c r="C2789" s="11">
        <v>2003</v>
      </c>
      <c r="D2789" s="32">
        <f>SPFI_CLB14!$D$26</f>
        <v>0.20691100000000001</v>
      </c>
      <c r="E2789" s="32"/>
      <c r="F2789" s="32"/>
      <c r="G2789" s="32"/>
      <c r="H2789" s="32"/>
      <c r="I2789" s="32"/>
      <c r="J2789" s="28">
        <f t="shared" ref="J2789" si="2474">D2789*J$89</f>
        <v>0</v>
      </c>
      <c r="K2789" s="29"/>
      <c r="L2789" s="29"/>
      <c r="M2789" s="29"/>
      <c r="N2789" s="29"/>
      <c r="O2789" s="29"/>
      <c r="P2789" s="30">
        <f t="shared" si="2471"/>
        <v>0</v>
      </c>
      <c r="Q2789" s="31">
        <f t="shared" si="2469"/>
        <v>0</v>
      </c>
    </row>
    <row r="2790" spans="1:17" x14ac:dyDescent="0.2">
      <c r="A2790" s="10"/>
      <c r="B2790" s="26"/>
      <c r="C2790" s="11">
        <v>2004</v>
      </c>
      <c r="D2790" s="32">
        <f>SPFI_CLB14!$D$27</f>
        <v>0.269237</v>
      </c>
      <c r="E2790" s="32"/>
      <c r="F2790" s="32"/>
      <c r="G2790" s="32"/>
      <c r="H2790" s="32"/>
      <c r="I2790" s="32"/>
      <c r="J2790" s="28">
        <f t="shared" ref="J2790" si="2475">D2790*J$89</f>
        <v>0</v>
      </c>
      <c r="K2790" s="29"/>
      <c r="L2790" s="29"/>
      <c r="M2790" s="29"/>
      <c r="N2790" s="29"/>
      <c r="O2790" s="29"/>
      <c r="P2790" s="30">
        <f t="shared" si="2471"/>
        <v>0</v>
      </c>
      <c r="Q2790" s="31">
        <f t="shared" si="2469"/>
        <v>0</v>
      </c>
    </row>
    <row r="2791" spans="1:17" x14ac:dyDescent="0.2">
      <c r="A2791" s="10"/>
      <c r="B2791" s="26"/>
      <c r="C2791" s="11">
        <v>2005</v>
      </c>
      <c r="D2791" s="32">
        <f>SPFI_CLB14!$D$28</f>
        <v>0.37848700000000002</v>
      </c>
      <c r="E2791" s="32"/>
      <c r="F2791" s="32"/>
      <c r="G2791" s="32"/>
      <c r="H2791" s="32"/>
      <c r="I2791" s="32"/>
      <c r="J2791" s="28">
        <f t="shared" ref="J2791" si="2476">D2791*J$89</f>
        <v>0</v>
      </c>
      <c r="K2791" s="29"/>
      <c r="L2791" s="29"/>
      <c r="M2791" s="29"/>
      <c r="N2791" s="29"/>
      <c r="O2791" s="29"/>
      <c r="P2791" s="30">
        <f t="shared" si="2471"/>
        <v>0</v>
      </c>
      <c r="Q2791" s="31">
        <f t="shared" ref="Q2791:Q2796" si="2477">IF(C$89&gt;0,P2791/C$89,0)</f>
        <v>0</v>
      </c>
    </row>
    <row r="2792" spans="1:17" x14ac:dyDescent="0.2">
      <c r="A2792" s="10"/>
      <c r="B2792" s="26"/>
      <c r="C2792" s="11">
        <v>2006</v>
      </c>
      <c r="D2792" s="32">
        <f>SPFI_CLB14!$D$29</f>
        <v>0.381023</v>
      </c>
      <c r="E2792" s="32"/>
      <c r="F2792" s="32"/>
      <c r="G2792" s="32"/>
      <c r="H2792" s="32"/>
      <c r="I2792" s="32"/>
      <c r="J2792" s="28">
        <f t="shared" ref="J2792" si="2478">D2792*J$89</f>
        <v>0</v>
      </c>
      <c r="K2792" s="29"/>
      <c r="L2792" s="29"/>
      <c r="M2792" s="29"/>
      <c r="N2792" s="29"/>
      <c r="O2792" s="29"/>
      <c r="P2792" s="30">
        <f t="shared" ref="P2792:P2799" si="2479">SUM(J2792:O2792)</f>
        <v>0</v>
      </c>
      <c r="Q2792" s="31">
        <f t="shared" si="2477"/>
        <v>0</v>
      </c>
    </row>
    <row r="2793" spans="1:17" x14ac:dyDescent="0.2">
      <c r="A2793" s="10"/>
      <c r="B2793" s="26"/>
      <c r="C2793" s="11">
        <v>2007</v>
      </c>
      <c r="D2793" s="32">
        <f>SPFI_CLB14!$D$30</f>
        <v>0.356512</v>
      </c>
      <c r="E2793" s="32"/>
      <c r="F2793" s="32"/>
      <c r="G2793" s="32"/>
      <c r="H2793" s="32"/>
      <c r="I2793" s="32"/>
      <c r="J2793" s="28">
        <f t="shared" ref="J2793" si="2480">D2793*J$89</f>
        <v>0</v>
      </c>
      <c r="K2793" s="29"/>
      <c r="L2793" s="29"/>
      <c r="M2793" s="29"/>
      <c r="N2793" s="29"/>
      <c r="O2793" s="29"/>
      <c r="P2793" s="30">
        <f t="shared" si="2479"/>
        <v>0</v>
      </c>
      <c r="Q2793" s="31">
        <f t="shared" si="2477"/>
        <v>0</v>
      </c>
    </row>
    <row r="2794" spans="1:17" x14ac:dyDescent="0.2">
      <c r="A2794" s="10"/>
      <c r="B2794" s="26"/>
      <c r="C2794" s="11">
        <v>2008</v>
      </c>
      <c r="D2794" s="32">
        <f>SPFI_CLB14!$D$31</f>
        <v>0.25494499999999998</v>
      </c>
      <c r="E2794" s="32"/>
      <c r="F2794" s="32"/>
      <c r="G2794" s="32"/>
      <c r="H2794" s="32"/>
      <c r="I2794" s="32"/>
      <c r="J2794" s="28">
        <f t="shared" ref="J2794" si="2481">D2794*J$89</f>
        <v>0</v>
      </c>
      <c r="K2794" s="29"/>
      <c r="L2794" s="29"/>
      <c r="M2794" s="29"/>
      <c r="N2794" s="29"/>
      <c r="O2794" s="29"/>
      <c r="P2794" s="30">
        <f t="shared" si="2479"/>
        <v>0</v>
      </c>
      <c r="Q2794" s="31">
        <f t="shared" si="2477"/>
        <v>0</v>
      </c>
    </row>
    <row r="2795" spans="1:17" x14ac:dyDescent="0.2">
      <c r="A2795" s="10"/>
      <c r="B2795" s="26"/>
      <c r="C2795" s="11">
        <v>2009</v>
      </c>
      <c r="D2795" s="32">
        <f>SPFI_CLB14!$D$32</f>
        <v>0.52383000000000002</v>
      </c>
      <c r="E2795" s="32"/>
      <c r="F2795" s="32"/>
      <c r="G2795" s="32"/>
      <c r="H2795" s="32"/>
      <c r="I2795" s="32"/>
      <c r="J2795" s="28">
        <f t="shared" ref="J2795" si="2482">D2795*J$89</f>
        <v>0</v>
      </c>
      <c r="K2795" s="29"/>
      <c r="L2795" s="29"/>
      <c r="M2795" s="29"/>
      <c r="N2795" s="29"/>
      <c r="O2795" s="29"/>
      <c r="P2795" s="30">
        <f t="shared" si="2479"/>
        <v>0</v>
      </c>
      <c r="Q2795" s="31">
        <f t="shared" si="2477"/>
        <v>0</v>
      </c>
    </row>
    <row r="2796" spans="1:17" x14ac:dyDescent="0.2">
      <c r="A2796" s="10"/>
      <c r="B2796" s="26"/>
      <c r="C2796" s="11">
        <v>2010</v>
      </c>
      <c r="D2796" s="32">
        <f>SPFI_CLB14!$D$33</f>
        <v>0.31394</v>
      </c>
      <c r="E2796" s="32"/>
      <c r="F2796" s="32"/>
      <c r="G2796" s="32"/>
      <c r="H2796" s="32"/>
      <c r="I2796" s="32"/>
      <c r="J2796" s="28">
        <f t="shared" ref="J2796" si="2483">D2796*J$89</f>
        <v>0</v>
      </c>
      <c r="K2796" s="29"/>
      <c r="L2796" s="29"/>
      <c r="M2796" s="29"/>
      <c r="N2796" s="29"/>
      <c r="O2796" s="29"/>
      <c r="P2796" s="30">
        <f t="shared" si="2479"/>
        <v>0</v>
      </c>
      <c r="Q2796" s="31">
        <f t="shared" si="2477"/>
        <v>0</v>
      </c>
    </row>
    <row r="2797" spans="1:17" x14ac:dyDescent="0.2">
      <c r="A2797" s="10"/>
      <c r="B2797" s="26"/>
      <c r="C2797" s="11">
        <v>2011</v>
      </c>
      <c r="D2797" s="32">
        <f>SPFI_CLB14!$D$34</f>
        <v>0.294348</v>
      </c>
      <c r="E2797" s="32"/>
      <c r="F2797" s="32"/>
      <c r="G2797" s="32"/>
      <c r="H2797" s="32"/>
      <c r="I2797" s="32"/>
      <c r="J2797" s="28">
        <f t="shared" ref="J2797" si="2484">D2797*J$89</f>
        <v>0</v>
      </c>
      <c r="K2797" s="29"/>
      <c r="L2797" s="29"/>
      <c r="M2797" s="29"/>
      <c r="N2797" s="29"/>
      <c r="O2797" s="29"/>
      <c r="P2797" s="30">
        <f t="shared" ref="P2797" si="2485">SUM(J2797:O2797)</f>
        <v>0</v>
      </c>
      <c r="Q2797" s="31">
        <f t="shared" ref="Q2797" si="2486">IF(C$89&gt;0,P2797/C$89,0)</f>
        <v>0</v>
      </c>
    </row>
    <row r="2798" spans="1:17" x14ac:dyDescent="0.2">
      <c r="A2798" s="10"/>
      <c r="B2798" s="26"/>
      <c r="C2798" s="11">
        <v>2012</v>
      </c>
      <c r="D2798" s="32">
        <f>SPFI_CLB14!$D$35</f>
        <v>0.34784100000000001</v>
      </c>
      <c r="E2798" s="32"/>
      <c r="F2798" s="32"/>
      <c r="G2798" s="32"/>
      <c r="H2798" s="32"/>
      <c r="I2798" s="32"/>
      <c r="J2798" s="28">
        <f t="shared" ref="J2798" si="2487">D2798*J$89</f>
        <v>0</v>
      </c>
      <c r="K2798" s="29"/>
      <c r="L2798" s="29"/>
      <c r="M2798" s="29"/>
      <c r="N2798" s="29"/>
      <c r="O2798" s="29"/>
      <c r="P2798" s="30">
        <f t="shared" ref="P2798" si="2488">SUM(J2798:O2798)</f>
        <v>0</v>
      </c>
      <c r="Q2798" s="31">
        <f t="shared" ref="Q2798" si="2489">IF(C$89&gt;0,P2798/C$89,0)</f>
        <v>0</v>
      </c>
    </row>
    <row r="2799" spans="1:17" x14ac:dyDescent="0.2">
      <c r="A2799" s="5" t="s">
        <v>27</v>
      </c>
      <c r="B2799" s="21">
        <v>4</v>
      </c>
      <c r="C2799" s="6">
        <v>1982</v>
      </c>
      <c r="D2799" s="27">
        <f>SPFI_CLB14!$D$5</f>
        <v>0.98153299999999999</v>
      </c>
      <c r="E2799" s="27"/>
      <c r="F2799" s="27"/>
      <c r="G2799" s="27"/>
      <c r="H2799" s="27"/>
      <c r="I2799" s="27"/>
      <c r="J2799" s="33">
        <f t="shared" ref="J2799:J2811" si="2490">D2799*J$90</f>
        <v>0</v>
      </c>
      <c r="K2799" s="27"/>
      <c r="L2799" s="27"/>
      <c r="M2799" s="27"/>
      <c r="N2799" s="27"/>
      <c r="O2799" s="27"/>
      <c r="P2799" s="34">
        <f t="shared" si="2479"/>
        <v>0</v>
      </c>
      <c r="Q2799" s="35">
        <f t="shared" ref="Q2799:Q2815" si="2491">IF(C$90&gt;0,P2799/C$90,0)</f>
        <v>0</v>
      </c>
    </row>
    <row r="2800" spans="1:17" x14ac:dyDescent="0.2">
      <c r="A2800" s="10"/>
      <c r="B2800" s="26"/>
      <c r="C2800" s="11">
        <v>1983</v>
      </c>
      <c r="D2800" s="32">
        <f>SPFI_CLB14!$D$6</f>
        <v>0.93659899999999996</v>
      </c>
      <c r="E2800" s="32"/>
      <c r="F2800" s="32"/>
      <c r="G2800" s="32"/>
      <c r="H2800" s="32"/>
      <c r="I2800" s="32"/>
      <c r="J2800" s="28">
        <f t="shared" si="2490"/>
        <v>0</v>
      </c>
      <c r="K2800" s="29"/>
      <c r="L2800" s="29"/>
      <c r="M2800" s="29"/>
      <c r="N2800" s="29"/>
      <c r="O2800" s="29"/>
      <c r="P2800" s="30">
        <f t="shared" ref="P2800:P2811" si="2492">SUM(J2800:O2800)</f>
        <v>0</v>
      </c>
      <c r="Q2800" s="31">
        <f t="shared" si="2491"/>
        <v>0</v>
      </c>
    </row>
    <row r="2801" spans="1:17" x14ac:dyDescent="0.2">
      <c r="A2801" s="10"/>
      <c r="B2801" s="26"/>
      <c r="C2801" s="11">
        <v>1984</v>
      </c>
      <c r="D2801" s="32">
        <f>SPFI_CLB14!$D$7</f>
        <v>0.92793599999999998</v>
      </c>
      <c r="E2801" s="32"/>
      <c r="F2801" s="32"/>
      <c r="G2801" s="32"/>
      <c r="H2801" s="32"/>
      <c r="I2801" s="32"/>
      <c r="J2801" s="28">
        <f t="shared" si="2490"/>
        <v>0</v>
      </c>
      <c r="K2801" s="29"/>
      <c r="L2801" s="29"/>
      <c r="M2801" s="29"/>
      <c r="N2801" s="29"/>
      <c r="O2801" s="29"/>
      <c r="P2801" s="30">
        <f t="shared" si="2492"/>
        <v>0</v>
      </c>
      <c r="Q2801" s="31">
        <f t="shared" si="2491"/>
        <v>0</v>
      </c>
    </row>
    <row r="2802" spans="1:17" x14ac:dyDescent="0.2">
      <c r="A2802" s="10"/>
      <c r="B2802" s="26"/>
      <c r="C2802" s="11">
        <v>1985</v>
      </c>
      <c r="D2802" s="32">
        <f>SPFI_CLB14!$D$8</f>
        <v>0.90386500000000003</v>
      </c>
      <c r="E2802" s="32"/>
      <c r="F2802" s="32"/>
      <c r="G2802" s="32"/>
      <c r="H2802" s="32"/>
      <c r="I2802" s="32"/>
      <c r="J2802" s="28">
        <f t="shared" si="2490"/>
        <v>0</v>
      </c>
      <c r="K2802" s="29"/>
      <c r="L2802" s="29"/>
      <c r="M2802" s="29"/>
      <c r="N2802" s="29"/>
      <c r="O2802" s="29"/>
      <c r="P2802" s="30">
        <f t="shared" si="2492"/>
        <v>0</v>
      </c>
      <c r="Q2802" s="31">
        <f t="shared" si="2491"/>
        <v>0</v>
      </c>
    </row>
    <row r="2803" spans="1:17" x14ac:dyDescent="0.2">
      <c r="A2803" s="10"/>
      <c r="B2803" s="26"/>
      <c r="C2803" s="11">
        <v>1986</v>
      </c>
      <c r="D2803" s="32">
        <f>SPFI_CLB14!$D$9</f>
        <v>0.73087500000000005</v>
      </c>
      <c r="E2803" s="32"/>
      <c r="F2803" s="32"/>
      <c r="G2803" s="32"/>
      <c r="H2803" s="32"/>
      <c r="I2803" s="32"/>
      <c r="J2803" s="28">
        <f t="shared" si="2490"/>
        <v>0</v>
      </c>
      <c r="K2803" s="29"/>
      <c r="L2803" s="29"/>
      <c r="M2803" s="29"/>
      <c r="N2803" s="29"/>
      <c r="O2803" s="29"/>
      <c r="P2803" s="30">
        <f t="shared" si="2492"/>
        <v>0</v>
      </c>
      <c r="Q2803" s="31">
        <f t="shared" si="2491"/>
        <v>0</v>
      </c>
    </row>
    <row r="2804" spans="1:17" x14ac:dyDescent="0.2">
      <c r="A2804" s="10"/>
      <c r="B2804" s="26"/>
      <c r="C2804" s="11">
        <v>1987</v>
      </c>
      <c r="D2804" s="32">
        <f>SPFI_CLB14!$D$10</f>
        <v>0.71733499999999994</v>
      </c>
      <c r="E2804" s="32"/>
      <c r="F2804" s="32"/>
      <c r="G2804" s="32"/>
      <c r="H2804" s="32"/>
      <c r="I2804" s="32"/>
      <c r="J2804" s="28">
        <f t="shared" si="2490"/>
        <v>0</v>
      </c>
      <c r="K2804" s="29"/>
      <c r="L2804" s="29"/>
      <c r="M2804" s="29"/>
      <c r="N2804" s="29"/>
      <c r="O2804" s="29"/>
      <c r="P2804" s="30">
        <f t="shared" si="2492"/>
        <v>0</v>
      </c>
      <c r="Q2804" s="31">
        <f t="shared" si="2491"/>
        <v>0</v>
      </c>
    </row>
    <row r="2805" spans="1:17" x14ac:dyDescent="0.2">
      <c r="A2805" s="10"/>
      <c r="B2805" s="26"/>
      <c r="C2805" s="11">
        <v>1988</v>
      </c>
      <c r="D2805" s="32">
        <f>SPFI_CLB14!$D$11</f>
        <v>0.64558800000000005</v>
      </c>
      <c r="E2805" s="32"/>
      <c r="F2805" s="32"/>
      <c r="G2805" s="32"/>
      <c r="H2805" s="32"/>
      <c r="I2805" s="32"/>
      <c r="J2805" s="28">
        <f t="shared" si="2490"/>
        <v>0</v>
      </c>
      <c r="K2805" s="29"/>
      <c r="L2805" s="29"/>
      <c r="M2805" s="29"/>
      <c r="N2805" s="29"/>
      <c r="O2805" s="29"/>
      <c r="P2805" s="30">
        <f t="shared" si="2492"/>
        <v>0</v>
      </c>
      <c r="Q2805" s="31">
        <f t="shared" si="2491"/>
        <v>0</v>
      </c>
    </row>
    <row r="2806" spans="1:17" x14ac:dyDescent="0.2">
      <c r="A2806" s="10"/>
      <c r="B2806" s="26"/>
      <c r="C2806" s="11">
        <v>1989</v>
      </c>
      <c r="D2806" s="32">
        <f>SPFI_CLB14!$D$12</f>
        <v>0.65287700000000004</v>
      </c>
      <c r="E2806" s="32"/>
      <c r="F2806" s="32"/>
      <c r="G2806" s="32"/>
      <c r="H2806" s="32"/>
      <c r="I2806" s="32"/>
      <c r="J2806" s="28">
        <f t="shared" si="2490"/>
        <v>0</v>
      </c>
      <c r="K2806" s="29"/>
      <c r="L2806" s="29"/>
      <c r="M2806" s="29"/>
      <c r="N2806" s="29"/>
      <c r="O2806" s="29"/>
      <c r="P2806" s="30">
        <f t="shared" si="2492"/>
        <v>0</v>
      </c>
      <c r="Q2806" s="31">
        <f t="shared" si="2491"/>
        <v>0</v>
      </c>
    </row>
    <row r="2807" spans="1:17" x14ac:dyDescent="0.2">
      <c r="A2807" s="10"/>
      <c r="B2807" s="26"/>
      <c r="C2807" s="11">
        <v>1990</v>
      </c>
      <c r="D2807" s="32">
        <f>SPFI_CLB14!$D$13</f>
        <v>0.56965100000000002</v>
      </c>
      <c r="E2807" s="32"/>
      <c r="F2807" s="32"/>
      <c r="G2807" s="32"/>
      <c r="H2807" s="32"/>
      <c r="I2807" s="32"/>
      <c r="J2807" s="28">
        <f t="shared" si="2490"/>
        <v>0</v>
      </c>
      <c r="K2807" s="29"/>
      <c r="L2807" s="29"/>
      <c r="M2807" s="29"/>
      <c r="N2807" s="29"/>
      <c r="O2807" s="29"/>
      <c r="P2807" s="30">
        <f t="shared" si="2492"/>
        <v>0</v>
      </c>
      <c r="Q2807" s="31">
        <f t="shared" si="2491"/>
        <v>0</v>
      </c>
    </row>
    <row r="2808" spans="1:17" x14ac:dyDescent="0.2">
      <c r="A2808" s="10"/>
      <c r="B2808" s="26"/>
      <c r="C2808" s="11">
        <v>1991</v>
      </c>
      <c r="D2808" s="32">
        <f>SPFI_CLB14!$D$14</f>
        <v>0.62776900000000002</v>
      </c>
      <c r="E2808" s="32"/>
      <c r="F2808" s="32"/>
      <c r="G2808" s="32"/>
      <c r="H2808" s="32"/>
      <c r="I2808" s="32"/>
      <c r="J2808" s="28">
        <f t="shared" si="2490"/>
        <v>0</v>
      </c>
      <c r="K2808" s="29"/>
      <c r="L2808" s="29"/>
      <c r="M2808" s="29"/>
      <c r="N2808" s="29"/>
      <c r="O2808" s="29"/>
      <c r="P2808" s="30">
        <f t="shared" si="2492"/>
        <v>0</v>
      </c>
      <c r="Q2808" s="31">
        <f t="shared" si="2491"/>
        <v>0</v>
      </c>
    </row>
    <row r="2809" spans="1:17" x14ac:dyDescent="0.2">
      <c r="A2809" s="10"/>
      <c r="B2809" s="26"/>
      <c r="C2809" s="11">
        <v>1992</v>
      </c>
      <c r="D2809" s="32">
        <f>SPFI_CLB14!$D$15</f>
        <v>0.43504100000000001</v>
      </c>
      <c r="E2809" s="32"/>
      <c r="F2809" s="32"/>
      <c r="G2809" s="32"/>
      <c r="H2809" s="32"/>
      <c r="I2809" s="32"/>
      <c r="J2809" s="28">
        <f t="shared" si="2490"/>
        <v>0</v>
      </c>
      <c r="K2809" s="29"/>
      <c r="L2809" s="29"/>
      <c r="M2809" s="29"/>
      <c r="N2809" s="29"/>
      <c r="O2809" s="29"/>
      <c r="P2809" s="30">
        <f t="shared" si="2492"/>
        <v>0</v>
      </c>
      <c r="Q2809" s="31">
        <f t="shared" si="2491"/>
        <v>0</v>
      </c>
    </row>
    <row r="2810" spans="1:17" x14ac:dyDescent="0.2">
      <c r="A2810" s="10"/>
      <c r="B2810" s="26"/>
      <c r="C2810" s="11">
        <v>1993</v>
      </c>
      <c r="D2810" s="32">
        <f>SPFI_CLB14!$D$16</f>
        <v>0.499164</v>
      </c>
      <c r="E2810" s="32"/>
      <c r="F2810" s="32"/>
      <c r="G2810" s="32"/>
      <c r="H2810" s="32"/>
      <c r="I2810" s="32"/>
      <c r="J2810" s="28">
        <f t="shared" si="2490"/>
        <v>0</v>
      </c>
      <c r="K2810" s="29"/>
      <c r="L2810" s="29"/>
      <c r="M2810" s="29"/>
      <c r="N2810" s="29"/>
      <c r="O2810" s="29"/>
      <c r="P2810" s="30">
        <f t="shared" si="2492"/>
        <v>0</v>
      </c>
      <c r="Q2810" s="31">
        <f t="shared" si="2491"/>
        <v>0</v>
      </c>
    </row>
    <row r="2811" spans="1:17" x14ac:dyDescent="0.2">
      <c r="A2811" s="10"/>
      <c r="B2811" s="26"/>
      <c r="C2811" s="11">
        <v>1994</v>
      </c>
      <c r="D2811" s="32">
        <f>SPFI_CLB14!$D$17</f>
        <v>0.59591300000000003</v>
      </c>
      <c r="E2811" s="32"/>
      <c r="F2811" s="32"/>
      <c r="G2811" s="32"/>
      <c r="H2811" s="32"/>
      <c r="I2811" s="32"/>
      <c r="J2811" s="28">
        <f t="shared" si="2490"/>
        <v>0</v>
      </c>
      <c r="K2811" s="29"/>
      <c r="L2811" s="29"/>
      <c r="M2811" s="29"/>
      <c r="N2811" s="29"/>
      <c r="O2811" s="29"/>
      <c r="P2811" s="30">
        <f t="shared" si="2492"/>
        <v>0</v>
      </c>
      <c r="Q2811" s="31">
        <f t="shared" si="2491"/>
        <v>0</v>
      </c>
    </row>
    <row r="2812" spans="1:17" x14ac:dyDescent="0.2">
      <c r="A2812" s="10"/>
      <c r="B2812" s="26"/>
      <c r="C2812" s="11">
        <v>1995</v>
      </c>
      <c r="D2812" s="32">
        <f>SPFI_CLB14!$D$18</f>
        <v>0.25400800000000001</v>
      </c>
      <c r="E2812" s="32"/>
      <c r="F2812" s="32"/>
      <c r="G2812" s="32"/>
      <c r="H2812" s="32"/>
      <c r="I2812" s="32"/>
      <c r="J2812" s="28">
        <f t="shared" ref="J2812" si="2493">D2812*J$90</f>
        <v>0</v>
      </c>
      <c r="K2812" s="29"/>
      <c r="L2812" s="29"/>
      <c r="M2812" s="29"/>
      <c r="N2812" s="29"/>
      <c r="O2812" s="29"/>
      <c r="P2812" s="30">
        <f>SUM(J2812:O2812)</f>
        <v>0</v>
      </c>
      <c r="Q2812" s="31">
        <f t="shared" si="2491"/>
        <v>0</v>
      </c>
    </row>
    <row r="2813" spans="1:17" x14ac:dyDescent="0.2">
      <c r="A2813" s="10"/>
      <c r="B2813" s="26"/>
      <c r="C2813" s="11">
        <v>1996</v>
      </c>
      <c r="D2813" s="32">
        <f>SPFI_CLB14!$D$19</f>
        <v>0</v>
      </c>
      <c r="E2813" s="32"/>
      <c r="F2813" s="32"/>
      <c r="G2813" s="32"/>
      <c r="H2813" s="32"/>
      <c r="I2813" s="32"/>
      <c r="J2813" s="28">
        <f t="shared" ref="J2813" si="2494">D2813*J$90</f>
        <v>0</v>
      </c>
      <c r="K2813" s="29"/>
      <c r="L2813" s="29"/>
      <c r="M2813" s="29"/>
      <c r="N2813" s="29"/>
      <c r="O2813" s="29"/>
      <c r="P2813" s="30">
        <f>SUM(J2813:O2813)</f>
        <v>0</v>
      </c>
      <c r="Q2813" s="31">
        <f t="shared" si="2491"/>
        <v>0</v>
      </c>
    </row>
    <row r="2814" spans="1:17" x14ac:dyDescent="0.2">
      <c r="A2814" s="10"/>
      <c r="B2814" s="26"/>
      <c r="C2814" s="11">
        <v>1997</v>
      </c>
      <c r="D2814" s="32">
        <f>SPFI_CLB14!$D$20</f>
        <v>0.201487</v>
      </c>
      <c r="E2814" s="32"/>
      <c r="F2814" s="32"/>
      <c r="G2814" s="32"/>
      <c r="H2814" s="32"/>
      <c r="I2814" s="32"/>
      <c r="J2814" s="28">
        <f t="shared" ref="J2814" si="2495">D2814*J$90</f>
        <v>0</v>
      </c>
      <c r="K2814" s="29"/>
      <c r="L2814" s="29"/>
      <c r="M2814" s="29"/>
      <c r="N2814" s="29"/>
      <c r="O2814" s="29"/>
      <c r="P2814" s="30">
        <f>SUM(J2814:O2814)</f>
        <v>0</v>
      </c>
      <c r="Q2814" s="31">
        <f t="shared" si="2491"/>
        <v>0</v>
      </c>
    </row>
    <row r="2815" spans="1:17" x14ac:dyDescent="0.2">
      <c r="A2815" s="10"/>
      <c r="B2815" s="26"/>
      <c r="C2815" s="11">
        <v>1998</v>
      </c>
      <c r="D2815" s="32">
        <f>SPFI_CLB14!$D$21</f>
        <v>0.37506400000000001</v>
      </c>
      <c r="E2815" s="32"/>
      <c r="F2815" s="32"/>
      <c r="G2815" s="32"/>
      <c r="H2815" s="32"/>
      <c r="I2815" s="32"/>
      <c r="J2815" s="28">
        <f t="shared" ref="J2815" si="2496">D2815*J$90</f>
        <v>0</v>
      </c>
      <c r="K2815" s="29"/>
      <c r="L2815" s="29"/>
      <c r="M2815" s="29"/>
      <c r="N2815" s="29"/>
      <c r="O2815" s="29"/>
      <c r="P2815" s="30">
        <f>SUM(J2815:O2815)</f>
        <v>0</v>
      </c>
      <c r="Q2815" s="31">
        <f t="shared" si="2491"/>
        <v>0</v>
      </c>
    </row>
    <row r="2816" spans="1:17" x14ac:dyDescent="0.2">
      <c r="A2816" s="10"/>
      <c r="B2816" s="26"/>
      <c r="C2816" s="11">
        <v>1999</v>
      </c>
      <c r="D2816" s="32">
        <f>SPFI_CLB14!$D$22</f>
        <v>0.29823699999999997</v>
      </c>
      <c r="E2816" s="32"/>
      <c r="F2816" s="32"/>
      <c r="G2816" s="32"/>
      <c r="H2816" s="32"/>
      <c r="I2816" s="32"/>
      <c r="J2816" s="28">
        <f t="shared" ref="J2816" si="2497">D2816*J$90</f>
        <v>0</v>
      </c>
      <c r="K2816" s="29"/>
      <c r="L2816" s="29"/>
      <c r="M2816" s="29"/>
      <c r="N2816" s="29"/>
      <c r="O2816" s="29"/>
      <c r="P2816" s="30">
        <f>SUM(J2816:O2816)</f>
        <v>0</v>
      </c>
      <c r="Q2816" s="31">
        <f t="shared" ref="Q2816:Q2821" si="2498">IF(C$90&gt;0,P2816/C$90,0)</f>
        <v>0</v>
      </c>
    </row>
    <row r="2817" spans="1:17" x14ac:dyDescent="0.2">
      <c r="A2817" s="10"/>
      <c r="B2817" s="26"/>
      <c r="C2817" s="11">
        <v>2000</v>
      </c>
      <c r="D2817" s="32">
        <f>SPFI_CLB14!$D$23</f>
        <v>8.4414000000000003E-2</v>
      </c>
      <c r="E2817" s="32"/>
      <c r="F2817" s="32"/>
      <c r="G2817" s="32"/>
      <c r="H2817" s="32"/>
      <c r="I2817" s="32"/>
      <c r="J2817" s="28">
        <f t="shared" ref="J2817" si="2499">D2817*J$90</f>
        <v>0</v>
      </c>
      <c r="K2817" s="29"/>
      <c r="L2817" s="29"/>
      <c r="M2817" s="29"/>
      <c r="N2817" s="29"/>
      <c r="O2817" s="29"/>
      <c r="P2817" s="30">
        <f t="shared" ref="P2817:P2822" si="2500">SUM(J2817:O2817)</f>
        <v>0</v>
      </c>
      <c r="Q2817" s="31">
        <f t="shared" si="2498"/>
        <v>0</v>
      </c>
    </row>
    <row r="2818" spans="1:17" x14ac:dyDescent="0.2">
      <c r="A2818" s="10"/>
      <c r="B2818" s="26"/>
      <c r="C2818" s="11">
        <v>2001</v>
      </c>
      <c r="D2818" s="32">
        <f>SPFI_CLB14!$D$24</f>
        <v>7.8909000000000007E-2</v>
      </c>
      <c r="E2818" s="32"/>
      <c r="F2818" s="32"/>
      <c r="G2818" s="32"/>
      <c r="H2818" s="32"/>
      <c r="I2818" s="32"/>
      <c r="J2818" s="28">
        <f t="shared" ref="J2818" si="2501">D2818*J$90</f>
        <v>0</v>
      </c>
      <c r="K2818" s="29"/>
      <c r="L2818" s="29"/>
      <c r="M2818" s="29"/>
      <c r="N2818" s="29"/>
      <c r="O2818" s="29"/>
      <c r="P2818" s="30">
        <f t="shared" si="2500"/>
        <v>0</v>
      </c>
      <c r="Q2818" s="31">
        <f t="shared" si="2498"/>
        <v>0</v>
      </c>
    </row>
    <row r="2819" spans="1:17" x14ac:dyDescent="0.2">
      <c r="A2819" s="10"/>
      <c r="B2819" s="26"/>
      <c r="C2819" s="11">
        <v>2002</v>
      </c>
      <c r="D2819" s="32">
        <f>SPFI_CLB14!$D$25</f>
        <v>0.29974699999999999</v>
      </c>
      <c r="E2819" s="32"/>
      <c r="F2819" s="32"/>
      <c r="G2819" s="32"/>
      <c r="H2819" s="32"/>
      <c r="I2819" s="32"/>
      <c r="J2819" s="28">
        <f t="shared" ref="J2819" si="2502">D2819*J$90</f>
        <v>0</v>
      </c>
      <c r="K2819" s="29"/>
      <c r="L2819" s="29"/>
      <c r="M2819" s="29"/>
      <c r="N2819" s="29"/>
      <c r="O2819" s="29"/>
      <c r="P2819" s="30">
        <f t="shared" si="2500"/>
        <v>0</v>
      </c>
      <c r="Q2819" s="31">
        <f t="shared" si="2498"/>
        <v>0</v>
      </c>
    </row>
    <row r="2820" spans="1:17" x14ac:dyDescent="0.2">
      <c r="A2820" s="10"/>
      <c r="B2820" s="26"/>
      <c r="C2820" s="11">
        <v>2003</v>
      </c>
      <c r="D2820" s="32">
        <f>SPFI_CLB14!$D$26</f>
        <v>0.20691100000000001</v>
      </c>
      <c r="E2820" s="32"/>
      <c r="F2820" s="32"/>
      <c r="G2820" s="32"/>
      <c r="H2820" s="32"/>
      <c r="I2820" s="32"/>
      <c r="J2820" s="28">
        <f t="shared" ref="J2820" si="2503">D2820*J$90</f>
        <v>0</v>
      </c>
      <c r="K2820" s="29"/>
      <c r="L2820" s="29"/>
      <c r="M2820" s="29"/>
      <c r="N2820" s="29"/>
      <c r="O2820" s="29"/>
      <c r="P2820" s="30">
        <f t="shared" si="2500"/>
        <v>0</v>
      </c>
      <c r="Q2820" s="31">
        <f t="shared" si="2498"/>
        <v>0</v>
      </c>
    </row>
    <row r="2821" spans="1:17" x14ac:dyDescent="0.2">
      <c r="A2821" s="10"/>
      <c r="B2821" s="26"/>
      <c r="C2821" s="11">
        <v>2004</v>
      </c>
      <c r="D2821" s="32">
        <f>SPFI_CLB14!$D$27</f>
        <v>0.269237</v>
      </c>
      <c r="E2821" s="32"/>
      <c r="F2821" s="32"/>
      <c r="G2821" s="32"/>
      <c r="H2821" s="32"/>
      <c r="I2821" s="32"/>
      <c r="J2821" s="28">
        <f t="shared" ref="J2821" si="2504">D2821*J$90</f>
        <v>0</v>
      </c>
      <c r="K2821" s="29"/>
      <c r="L2821" s="29"/>
      <c r="M2821" s="29"/>
      <c r="N2821" s="29"/>
      <c r="O2821" s="29"/>
      <c r="P2821" s="30">
        <f t="shared" si="2500"/>
        <v>0</v>
      </c>
      <c r="Q2821" s="31">
        <f t="shared" si="2498"/>
        <v>0</v>
      </c>
    </row>
    <row r="2822" spans="1:17" x14ac:dyDescent="0.2">
      <c r="A2822" s="10"/>
      <c r="B2822" s="26"/>
      <c r="C2822" s="11">
        <v>2005</v>
      </c>
      <c r="D2822" s="32">
        <f>SPFI_CLB14!$D$28</f>
        <v>0.37848700000000002</v>
      </c>
      <c r="E2822" s="32"/>
      <c r="F2822" s="32"/>
      <c r="G2822" s="32"/>
      <c r="H2822" s="32"/>
      <c r="I2822" s="32"/>
      <c r="J2822" s="28">
        <f t="shared" ref="J2822" si="2505">D2822*J$90</f>
        <v>0</v>
      </c>
      <c r="K2822" s="29"/>
      <c r="L2822" s="29"/>
      <c r="M2822" s="29"/>
      <c r="N2822" s="29"/>
      <c r="O2822" s="29"/>
      <c r="P2822" s="30">
        <f t="shared" si="2500"/>
        <v>0</v>
      </c>
      <c r="Q2822" s="31">
        <f t="shared" ref="Q2822:Q2827" si="2506">IF(C$90&gt;0,P2822/C$90,0)</f>
        <v>0</v>
      </c>
    </row>
    <row r="2823" spans="1:17" x14ac:dyDescent="0.2">
      <c r="A2823" s="10"/>
      <c r="B2823" s="26"/>
      <c r="C2823" s="11">
        <v>2006</v>
      </c>
      <c r="D2823" s="32">
        <f>SPFI_CLB14!$D$29</f>
        <v>0.381023</v>
      </c>
      <c r="E2823" s="32"/>
      <c r="F2823" s="32"/>
      <c r="G2823" s="32"/>
      <c r="H2823" s="32"/>
      <c r="I2823" s="32"/>
      <c r="J2823" s="28">
        <f t="shared" ref="J2823" si="2507">D2823*J$90</f>
        <v>0</v>
      </c>
      <c r="K2823" s="29"/>
      <c r="L2823" s="29"/>
      <c r="M2823" s="29"/>
      <c r="N2823" s="29"/>
      <c r="O2823" s="29"/>
      <c r="P2823" s="30">
        <f t="shared" ref="P2823:P2830" si="2508">SUM(J2823:O2823)</f>
        <v>0</v>
      </c>
      <c r="Q2823" s="31">
        <f t="shared" si="2506"/>
        <v>0</v>
      </c>
    </row>
    <row r="2824" spans="1:17" x14ac:dyDescent="0.2">
      <c r="A2824" s="10"/>
      <c r="B2824" s="26"/>
      <c r="C2824" s="11">
        <v>2007</v>
      </c>
      <c r="D2824" s="32">
        <f>SPFI_CLB14!$D$30</f>
        <v>0.356512</v>
      </c>
      <c r="E2824" s="32"/>
      <c r="F2824" s="32"/>
      <c r="G2824" s="32"/>
      <c r="H2824" s="32"/>
      <c r="I2824" s="32"/>
      <c r="J2824" s="28">
        <f t="shared" ref="J2824" si="2509">D2824*J$90</f>
        <v>0</v>
      </c>
      <c r="K2824" s="29"/>
      <c r="L2824" s="29"/>
      <c r="M2824" s="29"/>
      <c r="N2824" s="29"/>
      <c r="O2824" s="29"/>
      <c r="P2824" s="30">
        <f t="shared" si="2508"/>
        <v>0</v>
      </c>
      <c r="Q2824" s="31">
        <f t="shared" si="2506"/>
        <v>0</v>
      </c>
    </row>
    <row r="2825" spans="1:17" x14ac:dyDescent="0.2">
      <c r="A2825" s="10"/>
      <c r="B2825" s="26"/>
      <c r="C2825" s="11">
        <v>2008</v>
      </c>
      <c r="D2825" s="32">
        <f>SPFI_CLB14!$D$31</f>
        <v>0.25494499999999998</v>
      </c>
      <c r="E2825" s="32"/>
      <c r="F2825" s="32"/>
      <c r="G2825" s="32"/>
      <c r="H2825" s="32"/>
      <c r="I2825" s="32"/>
      <c r="J2825" s="28">
        <f t="shared" ref="J2825" si="2510">D2825*J$90</f>
        <v>0</v>
      </c>
      <c r="K2825" s="29"/>
      <c r="L2825" s="29"/>
      <c r="M2825" s="29"/>
      <c r="N2825" s="29"/>
      <c r="O2825" s="29"/>
      <c r="P2825" s="30">
        <f t="shared" si="2508"/>
        <v>0</v>
      </c>
      <c r="Q2825" s="31">
        <f t="shared" si="2506"/>
        <v>0</v>
      </c>
    </row>
    <row r="2826" spans="1:17" x14ac:dyDescent="0.2">
      <c r="A2826" s="10"/>
      <c r="B2826" s="26"/>
      <c r="C2826" s="11">
        <v>2009</v>
      </c>
      <c r="D2826" s="32">
        <f>SPFI_CLB14!$D$32</f>
        <v>0.52383000000000002</v>
      </c>
      <c r="E2826" s="32"/>
      <c r="F2826" s="32"/>
      <c r="G2826" s="32"/>
      <c r="H2826" s="32"/>
      <c r="I2826" s="32"/>
      <c r="J2826" s="28">
        <f t="shared" ref="J2826" si="2511">D2826*J$90</f>
        <v>0</v>
      </c>
      <c r="K2826" s="29"/>
      <c r="L2826" s="29"/>
      <c r="M2826" s="29"/>
      <c r="N2826" s="29"/>
      <c r="O2826" s="29"/>
      <c r="P2826" s="30">
        <f t="shared" si="2508"/>
        <v>0</v>
      </c>
      <c r="Q2826" s="31">
        <f t="shared" si="2506"/>
        <v>0</v>
      </c>
    </row>
    <row r="2827" spans="1:17" x14ac:dyDescent="0.2">
      <c r="A2827" s="10"/>
      <c r="B2827" s="26"/>
      <c r="C2827" s="11">
        <v>2010</v>
      </c>
      <c r="D2827" s="32">
        <f>SPFI_CLB14!$D$33</f>
        <v>0.31394</v>
      </c>
      <c r="E2827" s="32"/>
      <c r="F2827" s="32"/>
      <c r="G2827" s="32"/>
      <c r="H2827" s="32"/>
      <c r="I2827" s="32"/>
      <c r="J2827" s="28">
        <f t="shared" ref="J2827" si="2512">D2827*J$90</f>
        <v>0</v>
      </c>
      <c r="K2827" s="29"/>
      <c r="L2827" s="29"/>
      <c r="M2827" s="29"/>
      <c r="N2827" s="29"/>
      <c r="O2827" s="29"/>
      <c r="P2827" s="30">
        <f t="shared" si="2508"/>
        <v>0</v>
      </c>
      <c r="Q2827" s="31">
        <f t="shared" si="2506"/>
        <v>0</v>
      </c>
    </row>
    <row r="2828" spans="1:17" x14ac:dyDescent="0.2">
      <c r="A2828" s="10"/>
      <c r="B2828" s="26"/>
      <c r="C2828" s="11">
        <v>2011</v>
      </c>
      <c r="D2828" s="32">
        <f>SPFI_CLB14!$D$34</f>
        <v>0.294348</v>
      </c>
      <c r="E2828" s="32"/>
      <c r="F2828" s="32"/>
      <c r="G2828" s="32"/>
      <c r="H2828" s="32"/>
      <c r="I2828" s="32"/>
      <c r="J2828" s="28">
        <f t="shared" ref="J2828" si="2513">D2828*J$90</f>
        <v>0</v>
      </c>
      <c r="K2828" s="29"/>
      <c r="L2828" s="29"/>
      <c r="M2828" s="29"/>
      <c r="N2828" s="29"/>
      <c r="O2828" s="29"/>
      <c r="P2828" s="30">
        <f t="shared" ref="P2828" si="2514">SUM(J2828:O2828)</f>
        <v>0</v>
      </c>
      <c r="Q2828" s="31">
        <f t="shared" ref="Q2828" si="2515">IF(C$90&gt;0,P2828/C$90,0)</f>
        <v>0</v>
      </c>
    </row>
    <row r="2829" spans="1:17" x14ac:dyDescent="0.2">
      <c r="A2829" s="10"/>
      <c r="B2829" s="26"/>
      <c r="C2829" s="11">
        <v>2012</v>
      </c>
      <c r="D2829" s="32">
        <f>SPFI_CLB14!$D$35</f>
        <v>0.34784100000000001</v>
      </c>
      <c r="E2829" s="32"/>
      <c r="F2829" s="32"/>
      <c r="G2829" s="32"/>
      <c r="H2829" s="32"/>
      <c r="I2829" s="32"/>
      <c r="J2829" s="28">
        <f t="shared" ref="J2829" si="2516">D2829*J$90</f>
        <v>0</v>
      </c>
      <c r="K2829" s="29"/>
      <c r="L2829" s="29"/>
      <c r="M2829" s="29"/>
      <c r="N2829" s="29"/>
      <c r="O2829" s="29"/>
      <c r="P2829" s="30">
        <f t="shared" ref="P2829" si="2517">SUM(J2829:O2829)</f>
        <v>0</v>
      </c>
      <c r="Q2829" s="31">
        <f t="shared" ref="Q2829" si="2518">IF(C$90&gt;0,P2829/C$90,0)</f>
        <v>0</v>
      </c>
    </row>
    <row r="2830" spans="1:17" x14ac:dyDescent="0.2">
      <c r="A2830" s="5" t="s">
        <v>27</v>
      </c>
      <c r="B2830" s="21">
        <v>5</v>
      </c>
      <c r="C2830" s="6">
        <v>1982</v>
      </c>
      <c r="D2830" s="27">
        <f>SPFI_CLB14!$D$5</f>
        <v>0.98153299999999999</v>
      </c>
      <c r="E2830" s="27"/>
      <c r="F2830" s="27"/>
      <c r="G2830" s="27"/>
      <c r="H2830" s="27"/>
      <c r="I2830" s="27"/>
      <c r="J2830" s="33">
        <f t="shared" ref="J2830:J2842" si="2519">D2830*J$91</f>
        <v>0</v>
      </c>
      <c r="K2830" s="27"/>
      <c r="L2830" s="27"/>
      <c r="M2830" s="27"/>
      <c r="N2830" s="27"/>
      <c r="O2830" s="27"/>
      <c r="P2830" s="34">
        <f t="shared" si="2508"/>
        <v>0</v>
      </c>
      <c r="Q2830" s="35">
        <f t="shared" ref="Q2830:Q2846" si="2520">IF(C$91&gt;0,P2830/C$91,0)</f>
        <v>0</v>
      </c>
    </row>
    <row r="2831" spans="1:17" x14ac:dyDescent="0.2">
      <c r="A2831" s="10"/>
      <c r="B2831" s="26"/>
      <c r="C2831" s="11">
        <v>1983</v>
      </c>
      <c r="D2831" s="32">
        <f>SPFI_CLB14!$D$6</f>
        <v>0.93659899999999996</v>
      </c>
      <c r="E2831" s="32"/>
      <c r="F2831" s="32"/>
      <c r="G2831" s="32"/>
      <c r="H2831" s="32"/>
      <c r="I2831" s="32"/>
      <c r="J2831" s="28">
        <f t="shared" si="2519"/>
        <v>0</v>
      </c>
      <c r="K2831" s="29"/>
      <c r="L2831" s="29"/>
      <c r="M2831" s="29"/>
      <c r="N2831" s="29"/>
      <c r="O2831" s="29"/>
      <c r="P2831" s="30">
        <f t="shared" ref="P2831:P2842" si="2521">SUM(J2831:O2831)</f>
        <v>0</v>
      </c>
      <c r="Q2831" s="31">
        <f t="shared" si="2520"/>
        <v>0</v>
      </c>
    </row>
    <row r="2832" spans="1:17" x14ac:dyDescent="0.2">
      <c r="A2832" s="10"/>
      <c r="B2832" s="26"/>
      <c r="C2832" s="11">
        <v>1984</v>
      </c>
      <c r="D2832" s="32">
        <f>SPFI_CLB14!$D$7</f>
        <v>0.92793599999999998</v>
      </c>
      <c r="E2832" s="32"/>
      <c r="F2832" s="32"/>
      <c r="G2832" s="32"/>
      <c r="H2832" s="32"/>
      <c r="I2832" s="32"/>
      <c r="J2832" s="28">
        <f t="shared" si="2519"/>
        <v>0</v>
      </c>
      <c r="K2832" s="29"/>
      <c r="L2832" s="29"/>
      <c r="M2832" s="29"/>
      <c r="N2832" s="29"/>
      <c r="O2832" s="29"/>
      <c r="P2832" s="30">
        <f t="shared" si="2521"/>
        <v>0</v>
      </c>
      <c r="Q2832" s="31">
        <f t="shared" si="2520"/>
        <v>0</v>
      </c>
    </row>
    <row r="2833" spans="1:17" x14ac:dyDescent="0.2">
      <c r="A2833" s="10"/>
      <c r="B2833" s="26"/>
      <c r="C2833" s="11">
        <v>1985</v>
      </c>
      <c r="D2833" s="32">
        <f>SPFI_CLB14!$D$8</f>
        <v>0.90386500000000003</v>
      </c>
      <c r="E2833" s="32"/>
      <c r="F2833" s="32"/>
      <c r="G2833" s="32"/>
      <c r="H2833" s="32"/>
      <c r="I2833" s="32"/>
      <c r="J2833" s="28">
        <f t="shared" si="2519"/>
        <v>0</v>
      </c>
      <c r="K2833" s="29"/>
      <c r="L2833" s="29"/>
      <c r="M2833" s="29"/>
      <c r="N2833" s="29"/>
      <c r="O2833" s="29"/>
      <c r="P2833" s="30">
        <f t="shared" si="2521"/>
        <v>0</v>
      </c>
      <c r="Q2833" s="31">
        <f t="shared" si="2520"/>
        <v>0</v>
      </c>
    </row>
    <row r="2834" spans="1:17" x14ac:dyDescent="0.2">
      <c r="A2834" s="10"/>
      <c r="B2834" s="26"/>
      <c r="C2834" s="11">
        <v>1986</v>
      </c>
      <c r="D2834" s="32">
        <f>SPFI_CLB14!$D$9</f>
        <v>0.73087500000000005</v>
      </c>
      <c r="E2834" s="32"/>
      <c r="F2834" s="32"/>
      <c r="G2834" s="32"/>
      <c r="H2834" s="32"/>
      <c r="I2834" s="32"/>
      <c r="J2834" s="28">
        <f t="shared" si="2519"/>
        <v>0</v>
      </c>
      <c r="K2834" s="29"/>
      <c r="L2834" s="29"/>
      <c r="M2834" s="29"/>
      <c r="N2834" s="29"/>
      <c r="O2834" s="29"/>
      <c r="P2834" s="30">
        <f t="shared" si="2521"/>
        <v>0</v>
      </c>
      <c r="Q2834" s="31">
        <f t="shared" si="2520"/>
        <v>0</v>
      </c>
    </row>
    <row r="2835" spans="1:17" x14ac:dyDescent="0.2">
      <c r="A2835" s="10"/>
      <c r="B2835" s="26"/>
      <c r="C2835" s="11">
        <v>1987</v>
      </c>
      <c r="D2835" s="32">
        <f>SPFI_CLB14!$D$10</f>
        <v>0.71733499999999994</v>
      </c>
      <c r="E2835" s="32"/>
      <c r="F2835" s="32"/>
      <c r="G2835" s="32"/>
      <c r="H2835" s="32"/>
      <c r="I2835" s="32"/>
      <c r="J2835" s="28">
        <f t="shared" si="2519"/>
        <v>0</v>
      </c>
      <c r="K2835" s="29"/>
      <c r="L2835" s="29"/>
      <c r="M2835" s="29"/>
      <c r="N2835" s="29"/>
      <c r="O2835" s="29"/>
      <c r="P2835" s="30">
        <f t="shared" si="2521"/>
        <v>0</v>
      </c>
      <c r="Q2835" s="31">
        <f t="shared" si="2520"/>
        <v>0</v>
      </c>
    </row>
    <row r="2836" spans="1:17" x14ac:dyDescent="0.2">
      <c r="A2836" s="10"/>
      <c r="B2836" s="26"/>
      <c r="C2836" s="11">
        <v>1988</v>
      </c>
      <c r="D2836" s="32">
        <f>SPFI_CLB14!$D$11</f>
        <v>0.64558800000000005</v>
      </c>
      <c r="E2836" s="32"/>
      <c r="F2836" s="32"/>
      <c r="G2836" s="32"/>
      <c r="H2836" s="32"/>
      <c r="I2836" s="32"/>
      <c r="J2836" s="28">
        <f t="shared" si="2519"/>
        <v>0</v>
      </c>
      <c r="K2836" s="29"/>
      <c r="L2836" s="29"/>
      <c r="M2836" s="29"/>
      <c r="N2836" s="29"/>
      <c r="O2836" s="29"/>
      <c r="P2836" s="30">
        <f t="shared" si="2521"/>
        <v>0</v>
      </c>
      <c r="Q2836" s="31">
        <f t="shared" si="2520"/>
        <v>0</v>
      </c>
    </row>
    <row r="2837" spans="1:17" x14ac:dyDescent="0.2">
      <c r="A2837" s="10"/>
      <c r="B2837" s="26"/>
      <c r="C2837" s="11">
        <v>1989</v>
      </c>
      <c r="D2837" s="32">
        <f>SPFI_CLB14!$D$12</f>
        <v>0.65287700000000004</v>
      </c>
      <c r="E2837" s="32"/>
      <c r="F2837" s="32"/>
      <c r="G2837" s="32"/>
      <c r="H2837" s="32"/>
      <c r="I2837" s="32"/>
      <c r="J2837" s="28">
        <f t="shared" si="2519"/>
        <v>0</v>
      </c>
      <c r="K2837" s="29"/>
      <c r="L2837" s="29"/>
      <c r="M2837" s="29"/>
      <c r="N2837" s="29"/>
      <c r="O2837" s="29"/>
      <c r="P2837" s="30">
        <f t="shared" si="2521"/>
        <v>0</v>
      </c>
      <c r="Q2837" s="31">
        <f t="shared" si="2520"/>
        <v>0</v>
      </c>
    </row>
    <row r="2838" spans="1:17" x14ac:dyDescent="0.2">
      <c r="A2838" s="10"/>
      <c r="B2838" s="26"/>
      <c r="C2838" s="11">
        <v>1990</v>
      </c>
      <c r="D2838" s="32">
        <f>SPFI_CLB14!$D$13</f>
        <v>0.56965100000000002</v>
      </c>
      <c r="E2838" s="32"/>
      <c r="F2838" s="32"/>
      <c r="G2838" s="32"/>
      <c r="H2838" s="32"/>
      <c r="I2838" s="32"/>
      <c r="J2838" s="28">
        <f t="shared" si="2519"/>
        <v>0</v>
      </c>
      <c r="K2838" s="29"/>
      <c r="L2838" s="29"/>
      <c r="M2838" s="29"/>
      <c r="N2838" s="29"/>
      <c r="O2838" s="29"/>
      <c r="P2838" s="30">
        <f t="shared" si="2521"/>
        <v>0</v>
      </c>
      <c r="Q2838" s="31">
        <f t="shared" si="2520"/>
        <v>0</v>
      </c>
    </row>
    <row r="2839" spans="1:17" x14ac:dyDescent="0.2">
      <c r="A2839" s="10"/>
      <c r="B2839" s="26"/>
      <c r="C2839" s="11">
        <v>1991</v>
      </c>
      <c r="D2839" s="32">
        <f>SPFI_CLB14!$D$14</f>
        <v>0.62776900000000002</v>
      </c>
      <c r="E2839" s="32"/>
      <c r="F2839" s="32"/>
      <c r="G2839" s="32"/>
      <c r="H2839" s="32"/>
      <c r="I2839" s="32"/>
      <c r="J2839" s="28">
        <f t="shared" si="2519"/>
        <v>0</v>
      </c>
      <c r="K2839" s="29"/>
      <c r="L2839" s="29"/>
      <c r="M2839" s="29"/>
      <c r="N2839" s="29"/>
      <c r="O2839" s="29"/>
      <c r="P2839" s="30">
        <f t="shared" si="2521"/>
        <v>0</v>
      </c>
      <c r="Q2839" s="31">
        <f t="shared" si="2520"/>
        <v>0</v>
      </c>
    </row>
    <row r="2840" spans="1:17" x14ac:dyDescent="0.2">
      <c r="A2840" s="10"/>
      <c r="B2840" s="26"/>
      <c r="C2840" s="11">
        <v>1992</v>
      </c>
      <c r="D2840" s="32">
        <f>SPFI_CLB14!$D$15</f>
        <v>0.43504100000000001</v>
      </c>
      <c r="E2840" s="32"/>
      <c r="F2840" s="32"/>
      <c r="G2840" s="32"/>
      <c r="H2840" s="32"/>
      <c r="I2840" s="32"/>
      <c r="J2840" s="28">
        <f t="shared" si="2519"/>
        <v>0</v>
      </c>
      <c r="K2840" s="29"/>
      <c r="L2840" s="29"/>
      <c r="M2840" s="29"/>
      <c r="N2840" s="29"/>
      <c r="O2840" s="29"/>
      <c r="P2840" s="30">
        <f t="shared" si="2521"/>
        <v>0</v>
      </c>
      <c r="Q2840" s="31">
        <f t="shared" si="2520"/>
        <v>0</v>
      </c>
    </row>
    <row r="2841" spans="1:17" x14ac:dyDescent="0.2">
      <c r="A2841" s="10"/>
      <c r="B2841" s="26"/>
      <c r="C2841" s="11">
        <v>1993</v>
      </c>
      <c r="D2841" s="32">
        <f>SPFI_CLB14!$D$16</f>
        <v>0.499164</v>
      </c>
      <c r="E2841" s="32"/>
      <c r="F2841" s="32"/>
      <c r="G2841" s="32"/>
      <c r="H2841" s="32"/>
      <c r="I2841" s="32"/>
      <c r="J2841" s="28">
        <f t="shared" si="2519"/>
        <v>0</v>
      </c>
      <c r="K2841" s="29"/>
      <c r="L2841" s="29"/>
      <c r="M2841" s="29"/>
      <c r="N2841" s="29"/>
      <c r="O2841" s="29"/>
      <c r="P2841" s="30">
        <f t="shared" si="2521"/>
        <v>0</v>
      </c>
      <c r="Q2841" s="31">
        <f t="shared" si="2520"/>
        <v>0</v>
      </c>
    </row>
    <row r="2842" spans="1:17" x14ac:dyDescent="0.2">
      <c r="A2842" s="10"/>
      <c r="B2842" s="26" t="s">
        <v>48</v>
      </c>
      <c r="C2842" s="11">
        <v>1994</v>
      </c>
      <c r="D2842" s="32">
        <f>SPFI_CLB14!$D$17</f>
        <v>0.59591300000000003</v>
      </c>
      <c r="E2842" s="32"/>
      <c r="F2842" s="32"/>
      <c r="G2842" s="32"/>
      <c r="H2842" s="32"/>
      <c r="I2842" s="32"/>
      <c r="J2842" s="28">
        <f t="shared" si="2519"/>
        <v>0</v>
      </c>
      <c r="K2842" s="29"/>
      <c r="L2842" s="29"/>
      <c r="M2842" s="29"/>
      <c r="N2842" s="29"/>
      <c r="O2842" s="29"/>
      <c r="P2842" s="30">
        <f t="shared" si="2521"/>
        <v>0</v>
      </c>
      <c r="Q2842" s="31">
        <f t="shared" si="2520"/>
        <v>0</v>
      </c>
    </row>
    <row r="2843" spans="1:17" x14ac:dyDescent="0.2">
      <c r="A2843" s="10"/>
      <c r="B2843" s="26"/>
      <c r="C2843" s="11">
        <v>1995</v>
      </c>
      <c r="D2843" s="32">
        <f>SPFI_CLB14!$D$18</f>
        <v>0.25400800000000001</v>
      </c>
      <c r="E2843" s="32"/>
      <c r="F2843" s="32"/>
      <c r="G2843" s="32"/>
      <c r="H2843" s="32"/>
      <c r="I2843" s="32"/>
      <c r="J2843" s="28">
        <f t="shared" ref="J2843" si="2522">D2843*J$91</f>
        <v>0</v>
      </c>
      <c r="K2843" s="29"/>
      <c r="L2843" s="29"/>
      <c r="M2843" s="29"/>
      <c r="N2843" s="29"/>
      <c r="O2843" s="29"/>
      <c r="P2843" s="30">
        <f>SUM(J2843:O2843)</f>
        <v>0</v>
      </c>
      <c r="Q2843" s="31">
        <f t="shared" si="2520"/>
        <v>0</v>
      </c>
    </row>
    <row r="2844" spans="1:17" x14ac:dyDescent="0.2">
      <c r="A2844" s="10"/>
      <c r="B2844" s="26"/>
      <c r="C2844" s="11">
        <v>1996</v>
      </c>
      <c r="D2844" s="32">
        <f>SPFI_CLB14!$D$19</f>
        <v>0</v>
      </c>
      <c r="E2844" s="32"/>
      <c r="F2844" s="32"/>
      <c r="G2844" s="32"/>
      <c r="H2844" s="32"/>
      <c r="I2844" s="32"/>
      <c r="J2844" s="28">
        <f t="shared" ref="J2844" si="2523">D2844*J$91</f>
        <v>0</v>
      </c>
      <c r="K2844" s="29"/>
      <c r="L2844" s="29"/>
      <c r="M2844" s="29"/>
      <c r="N2844" s="29"/>
      <c r="O2844" s="29"/>
      <c r="P2844" s="30">
        <f>SUM(J2844:O2844)</f>
        <v>0</v>
      </c>
      <c r="Q2844" s="31">
        <f t="shared" si="2520"/>
        <v>0</v>
      </c>
    </row>
    <row r="2845" spans="1:17" x14ac:dyDescent="0.2">
      <c r="A2845" s="10"/>
      <c r="B2845" s="26"/>
      <c r="C2845" s="11">
        <v>1997</v>
      </c>
      <c r="D2845" s="32">
        <f>SPFI_CLB14!$D$20</f>
        <v>0.201487</v>
      </c>
      <c r="E2845" s="32"/>
      <c r="F2845" s="32"/>
      <c r="G2845" s="32"/>
      <c r="H2845" s="32"/>
      <c r="I2845" s="32"/>
      <c r="J2845" s="28">
        <f t="shared" ref="J2845" si="2524">D2845*J$91</f>
        <v>0</v>
      </c>
      <c r="K2845" s="29"/>
      <c r="L2845" s="29"/>
      <c r="M2845" s="29"/>
      <c r="N2845" s="29"/>
      <c r="O2845" s="29"/>
      <c r="P2845" s="30">
        <f>SUM(J2845:O2845)</f>
        <v>0</v>
      </c>
      <c r="Q2845" s="31">
        <f t="shared" si="2520"/>
        <v>0</v>
      </c>
    </row>
    <row r="2846" spans="1:17" x14ac:dyDescent="0.2">
      <c r="A2846" s="10"/>
      <c r="B2846" s="26"/>
      <c r="C2846" s="11">
        <v>1998</v>
      </c>
      <c r="D2846" s="32">
        <f>SPFI_CLB14!$D$21</f>
        <v>0.37506400000000001</v>
      </c>
      <c r="E2846" s="32"/>
      <c r="F2846" s="32"/>
      <c r="G2846" s="32"/>
      <c r="H2846" s="32"/>
      <c r="I2846" s="32"/>
      <c r="J2846" s="28">
        <f t="shared" ref="J2846" si="2525">D2846*J$91</f>
        <v>0</v>
      </c>
      <c r="K2846" s="29"/>
      <c r="L2846" s="29"/>
      <c r="M2846" s="29"/>
      <c r="N2846" s="29"/>
      <c r="O2846" s="29"/>
      <c r="P2846" s="30">
        <f>SUM(J2846:O2846)</f>
        <v>0</v>
      </c>
      <c r="Q2846" s="31">
        <f t="shared" si="2520"/>
        <v>0</v>
      </c>
    </row>
    <row r="2847" spans="1:17" x14ac:dyDescent="0.2">
      <c r="A2847" s="10"/>
      <c r="B2847" s="26"/>
      <c r="C2847" s="11">
        <v>1999</v>
      </c>
      <c r="D2847" s="32">
        <f>SPFI_CLB14!$D$22</f>
        <v>0.29823699999999997</v>
      </c>
      <c r="E2847" s="32"/>
      <c r="F2847" s="32"/>
      <c r="G2847" s="32"/>
      <c r="H2847" s="32"/>
      <c r="I2847" s="32"/>
      <c r="J2847" s="28">
        <f t="shared" ref="J2847" si="2526">D2847*J$91</f>
        <v>0</v>
      </c>
      <c r="K2847" s="29"/>
      <c r="L2847" s="29"/>
      <c r="M2847" s="29"/>
      <c r="N2847" s="29"/>
      <c r="O2847" s="29"/>
      <c r="P2847" s="30">
        <f>SUM(J2847:O2847)</f>
        <v>0</v>
      </c>
      <c r="Q2847" s="31">
        <f t="shared" ref="Q2847:Q2852" si="2527">IF(C$91&gt;0,P2847/C$91,0)</f>
        <v>0</v>
      </c>
    </row>
    <row r="2848" spans="1:17" x14ac:dyDescent="0.2">
      <c r="A2848" s="10"/>
      <c r="B2848" s="26"/>
      <c r="C2848" s="11">
        <v>2000</v>
      </c>
      <c r="D2848" s="32">
        <f>SPFI_CLB14!$D$23</f>
        <v>8.4414000000000003E-2</v>
      </c>
      <c r="E2848" s="32"/>
      <c r="F2848" s="32"/>
      <c r="G2848" s="32"/>
      <c r="H2848" s="32"/>
      <c r="I2848" s="32"/>
      <c r="J2848" s="28">
        <f t="shared" ref="J2848" si="2528">D2848*J$91</f>
        <v>0</v>
      </c>
      <c r="K2848" s="29"/>
      <c r="L2848" s="29"/>
      <c r="M2848" s="29"/>
      <c r="N2848" s="29"/>
      <c r="O2848" s="29"/>
      <c r="P2848" s="30">
        <f t="shared" ref="P2848:P2853" si="2529">SUM(J2848:O2848)</f>
        <v>0</v>
      </c>
      <c r="Q2848" s="31">
        <f t="shared" si="2527"/>
        <v>0</v>
      </c>
    </row>
    <row r="2849" spans="1:17" x14ac:dyDescent="0.2">
      <c r="A2849" s="10"/>
      <c r="B2849" s="26"/>
      <c r="C2849" s="11">
        <v>2001</v>
      </c>
      <c r="D2849" s="32">
        <f>SPFI_CLB14!$D$24</f>
        <v>7.8909000000000007E-2</v>
      </c>
      <c r="E2849" s="32"/>
      <c r="F2849" s="32"/>
      <c r="G2849" s="32"/>
      <c r="H2849" s="32"/>
      <c r="I2849" s="32"/>
      <c r="J2849" s="28">
        <f t="shared" ref="J2849" si="2530">D2849*J$91</f>
        <v>0</v>
      </c>
      <c r="K2849" s="29"/>
      <c r="L2849" s="29"/>
      <c r="M2849" s="29"/>
      <c r="N2849" s="29"/>
      <c r="O2849" s="29"/>
      <c r="P2849" s="30">
        <f t="shared" si="2529"/>
        <v>0</v>
      </c>
      <c r="Q2849" s="31">
        <f t="shared" si="2527"/>
        <v>0</v>
      </c>
    </row>
    <row r="2850" spans="1:17" x14ac:dyDescent="0.2">
      <c r="A2850" s="10"/>
      <c r="B2850" s="26"/>
      <c r="C2850" s="11">
        <v>2002</v>
      </c>
      <c r="D2850" s="32">
        <f>SPFI_CLB14!$D$25</f>
        <v>0.29974699999999999</v>
      </c>
      <c r="E2850" s="32"/>
      <c r="F2850" s="32"/>
      <c r="G2850" s="32"/>
      <c r="H2850" s="32"/>
      <c r="I2850" s="32"/>
      <c r="J2850" s="28">
        <f t="shared" ref="J2850" si="2531">D2850*J$91</f>
        <v>0</v>
      </c>
      <c r="K2850" s="29"/>
      <c r="L2850" s="29"/>
      <c r="M2850" s="29"/>
      <c r="N2850" s="29"/>
      <c r="O2850" s="29"/>
      <c r="P2850" s="30">
        <f t="shared" si="2529"/>
        <v>0</v>
      </c>
      <c r="Q2850" s="31">
        <f t="shared" si="2527"/>
        <v>0</v>
      </c>
    </row>
    <row r="2851" spans="1:17" x14ac:dyDescent="0.2">
      <c r="A2851" s="10"/>
      <c r="B2851" s="26"/>
      <c r="C2851" s="11">
        <v>2003</v>
      </c>
      <c r="D2851" s="32">
        <f>SPFI_CLB14!$D$26</f>
        <v>0.20691100000000001</v>
      </c>
      <c r="E2851" s="32"/>
      <c r="F2851" s="32"/>
      <c r="G2851" s="32"/>
      <c r="H2851" s="32"/>
      <c r="I2851" s="32"/>
      <c r="J2851" s="28">
        <f t="shared" ref="J2851" si="2532">D2851*J$91</f>
        <v>0</v>
      </c>
      <c r="K2851" s="29"/>
      <c r="L2851" s="29"/>
      <c r="M2851" s="29"/>
      <c r="N2851" s="29"/>
      <c r="O2851" s="29"/>
      <c r="P2851" s="30">
        <f t="shared" si="2529"/>
        <v>0</v>
      </c>
      <c r="Q2851" s="31">
        <f t="shared" si="2527"/>
        <v>0</v>
      </c>
    </row>
    <row r="2852" spans="1:17" x14ac:dyDescent="0.2">
      <c r="A2852" s="10"/>
      <c r="B2852" s="26"/>
      <c r="C2852" s="11">
        <v>2004</v>
      </c>
      <c r="D2852" s="32">
        <f>SPFI_CLB14!$D$27</f>
        <v>0.269237</v>
      </c>
      <c r="E2852" s="32"/>
      <c r="F2852" s="32"/>
      <c r="G2852" s="32"/>
      <c r="H2852" s="32"/>
      <c r="I2852" s="32"/>
      <c r="J2852" s="28">
        <f t="shared" ref="J2852" si="2533">D2852*J$91</f>
        <v>0</v>
      </c>
      <c r="K2852" s="29"/>
      <c r="L2852" s="29"/>
      <c r="M2852" s="29"/>
      <c r="N2852" s="29"/>
      <c r="O2852" s="29"/>
      <c r="P2852" s="30">
        <f t="shared" si="2529"/>
        <v>0</v>
      </c>
      <c r="Q2852" s="31">
        <f t="shared" si="2527"/>
        <v>0</v>
      </c>
    </row>
    <row r="2853" spans="1:17" x14ac:dyDescent="0.2">
      <c r="A2853" s="10"/>
      <c r="B2853" s="26"/>
      <c r="C2853" s="11">
        <v>2005</v>
      </c>
      <c r="D2853" s="32">
        <f>SPFI_CLB14!$D$28</f>
        <v>0.37848700000000002</v>
      </c>
      <c r="E2853" s="32"/>
      <c r="F2853" s="32"/>
      <c r="G2853" s="32"/>
      <c r="H2853" s="32"/>
      <c r="I2853" s="32"/>
      <c r="J2853" s="28">
        <f t="shared" ref="J2853" si="2534">D2853*J$91</f>
        <v>0</v>
      </c>
      <c r="K2853" s="29"/>
      <c r="L2853" s="29"/>
      <c r="M2853" s="29"/>
      <c r="N2853" s="29"/>
      <c r="O2853" s="29"/>
      <c r="P2853" s="30">
        <f t="shared" si="2529"/>
        <v>0</v>
      </c>
      <c r="Q2853" s="31">
        <f t="shared" ref="Q2853:Q2858" si="2535">IF(C$91&gt;0,P2853/C$91,0)</f>
        <v>0</v>
      </c>
    </row>
    <row r="2854" spans="1:17" x14ac:dyDescent="0.2">
      <c r="A2854" s="10"/>
      <c r="B2854" s="26"/>
      <c r="C2854" s="11">
        <v>2006</v>
      </c>
      <c r="D2854" s="32">
        <f>SPFI_CLB14!$D$29</f>
        <v>0.381023</v>
      </c>
      <c r="E2854" s="32"/>
      <c r="F2854" s="32"/>
      <c r="G2854" s="32"/>
      <c r="H2854" s="32"/>
      <c r="I2854" s="32"/>
      <c r="J2854" s="28">
        <f t="shared" ref="J2854" si="2536">D2854*J$91</f>
        <v>0</v>
      </c>
      <c r="K2854" s="29"/>
      <c r="L2854" s="29"/>
      <c r="M2854" s="29"/>
      <c r="N2854" s="29"/>
      <c r="O2854" s="29"/>
      <c r="P2854" s="30">
        <f t="shared" ref="P2854:P2861" si="2537">SUM(J2854:O2854)</f>
        <v>0</v>
      </c>
      <c r="Q2854" s="31">
        <f t="shared" si="2535"/>
        <v>0</v>
      </c>
    </row>
    <row r="2855" spans="1:17" x14ac:dyDescent="0.2">
      <c r="A2855" s="10"/>
      <c r="B2855" s="26"/>
      <c r="C2855" s="11">
        <v>2007</v>
      </c>
      <c r="D2855" s="32">
        <f>SPFI_CLB14!$D$30</f>
        <v>0.356512</v>
      </c>
      <c r="E2855" s="32"/>
      <c r="F2855" s="32"/>
      <c r="G2855" s="32"/>
      <c r="H2855" s="32"/>
      <c r="I2855" s="32"/>
      <c r="J2855" s="28">
        <f t="shared" ref="J2855" si="2538">D2855*J$91</f>
        <v>0</v>
      </c>
      <c r="K2855" s="29"/>
      <c r="L2855" s="29"/>
      <c r="M2855" s="29"/>
      <c r="N2855" s="29"/>
      <c r="O2855" s="29"/>
      <c r="P2855" s="30">
        <f t="shared" si="2537"/>
        <v>0</v>
      </c>
      <c r="Q2855" s="31">
        <f t="shared" si="2535"/>
        <v>0</v>
      </c>
    </row>
    <row r="2856" spans="1:17" x14ac:dyDescent="0.2">
      <c r="A2856" s="10"/>
      <c r="B2856" s="26"/>
      <c r="C2856" s="11">
        <v>2008</v>
      </c>
      <c r="D2856" s="32">
        <f>SPFI_CLB14!$D$31</f>
        <v>0.25494499999999998</v>
      </c>
      <c r="E2856" s="32"/>
      <c r="F2856" s="32"/>
      <c r="G2856" s="32"/>
      <c r="H2856" s="32"/>
      <c r="I2856" s="32"/>
      <c r="J2856" s="28">
        <f t="shared" ref="J2856" si="2539">D2856*J$91</f>
        <v>0</v>
      </c>
      <c r="K2856" s="29"/>
      <c r="L2856" s="29"/>
      <c r="M2856" s="29"/>
      <c r="N2856" s="29"/>
      <c r="O2856" s="29"/>
      <c r="P2856" s="30">
        <f t="shared" si="2537"/>
        <v>0</v>
      </c>
      <c r="Q2856" s="31">
        <f t="shared" si="2535"/>
        <v>0</v>
      </c>
    </row>
    <row r="2857" spans="1:17" x14ac:dyDescent="0.2">
      <c r="A2857" s="10"/>
      <c r="B2857" s="26"/>
      <c r="C2857" s="11">
        <v>2009</v>
      </c>
      <c r="D2857" s="32">
        <f>SPFI_CLB14!$D$32</f>
        <v>0.52383000000000002</v>
      </c>
      <c r="E2857" s="32"/>
      <c r="F2857" s="32"/>
      <c r="G2857" s="32"/>
      <c r="H2857" s="32"/>
      <c r="I2857" s="32"/>
      <c r="J2857" s="28">
        <f t="shared" ref="J2857" si="2540">D2857*J$91</f>
        <v>0</v>
      </c>
      <c r="K2857" s="29"/>
      <c r="L2857" s="29"/>
      <c r="M2857" s="29"/>
      <c r="N2857" s="29"/>
      <c r="O2857" s="29"/>
      <c r="P2857" s="30">
        <f t="shared" si="2537"/>
        <v>0</v>
      </c>
      <c r="Q2857" s="31">
        <f t="shared" si="2535"/>
        <v>0</v>
      </c>
    </row>
    <row r="2858" spans="1:17" x14ac:dyDescent="0.2">
      <c r="A2858" s="10"/>
      <c r="B2858" s="26"/>
      <c r="C2858" s="11">
        <v>2010</v>
      </c>
      <c r="D2858" s="32">
        <f>SPFI_CLB14!$D$33</f>
        <v>0.31394</v>
      </c>
      <c r="E2858" s="32"/>
      <c r="F2858" s="32"/>
      <c r="G2858" s="32"/>
      <c r="H2858" s="32"/>
      <c r="I2858" s="32"/>
      <c r="J2858" s="28">
        <f t="shared" ref="J2858" si="2541">D2858*J$91</f>
        <v>0</v>
      </c>
      <c r="K2858" s="29"/>
      <c r="L2858" s="29"/>
      <c r="M2858" s="29"/>
      <c r="N2858" s="29"/>
      <c r="O2858" s="29"/>
      <c r="P2858" s="30">
        <f t="shared" si="2537"/>
        <v>0</v>
      </c>
      <c r="Q2858" s="31">
        <f t="shared" si="2535"/>
        <v>0</v>
      </c>
    </row>
    <row r="2859" spans="1:17" x14ac:dyDescent="0.2">
      <c r="A2859" s="10"/>
      <c r="B2859" s="26"/>
      <c r="C2859" s="11">
        <v>2011</v>
      </c>
      <c r="D2859" s="32">
        <f>SPFI_CLB14!$D$34</f>
        <v>0.294348</v>
      </c>
      <c r="E2859" s="32"/>
      <c r="F2859" s="32"/>
      <c r="G2859" s="32"/>
      <c r="H2859" s="32"/>
      <c r="I2859" s="32"/>
      <c r="J2859" s="28">
        <f t="shared" ref="J2859" si="2542">D2859*J$91</f>
        <v>0</v>
      </c>
      <c r="K2859" s="29"/>
      <c r="L2859" s="29"/>
      <c r="M2859" s="29"/>
      <c r="N2859" s="29"/>
      <c r="O2859" s="29"/>
      <c r="P2859" s="30">
        <f t="shared" ref="P2859" si="2543">SUM(J2859:O2859)</f>
        <v>0</v>
      </c>
      <c r="Q2859" s="31">
        <f t="shared" ref="Q2859" si="2544">IF(C$91&gt;0,P2859/C$91,0)</f>
        <v>0</v>
      </c>
    </row>
    <row r="2860" spans="1:17" x14ac:dyDescent="0.2">
      <c r="A2860" s="10"/>
      <c r="B2860" s="26"/>
      <c r="C2860" s="11">
        <v>2012</v>
      </c>
      <c r="D2860" s="32">
        <f>SPFI_CLB14!$D$35</f>
        <v>0.34784100000000001</v>
      </c>
      <c r="E2860" s="32"/>
      <c r="F2860" s="32"/>
      <c r="G2860" s="32"/>
      <c r="H2860" s="32"/>
      <c r="I2860" s="32"/>
      <c r="J2860" s="28">
        <f t="shared" ref="J2860" si="2545">D2860*J$91</f>
        <v>0</v>
      </c>
      <c r="K2860" s="29"/>
      <c r="L2860" s="29"/>
      <c r="M2860" s="29"/>
      <c r="N2860" s="29"/>
      <c r="O2860" s="29"/>
      <c r="P2860" s="30">
        <f t="shared" ref="P2860" si="2546">SUM(J2860:O2860)</f>
        <v>0</v>
      </c>
      <c r="Q2860" s="31">
        <f t="shared" ref="Q2860" si="2547">IF(C$91&gt;0,P2860/C$91,0)</f>
        <v>0</v>
      </c>
    </row>
    <row r="2861" spans="1:17" x14ac:dyDescent="0.2">
      <c r="A2861" s="5" t="s">
        <v>28</v>
      </c>
      <c r="B2861" s="21">
        <v>2</v>
      </c>
      <c r="C2861" s="6">
        <v>1982</v>
      </c>
      <c r="D2861" s="27">
        <f>SPFI_CLB14!$D$5</f>
        <v>0.98153299999999999</v>
      </c>
      <c r="E2861" s="27"/>
      <c r="F2861" s="27"/>
      <c r="G2861" s="27"/>
      <c r="H2861" s="27"/>
      <c r="I2861" s="27"/>
      <c r="J2861" s="33">
        <f t="shared" ref="J2861:J2873" si="2548">D2861*J$92</f>
        <v>0</v>
      </c>
      <c r="K2861" s="27"/>
      <c r="L2861" s="27"/>
      <c r="M2861" s="27"/>
      <c r="N2861" s="27"/>
      <c r="O2861" s="27"/>
      <c r="P2861" s="34">
        <f t="shared" si="2537"/>
        <v>0</v>
      </c>
      <c r="Q2861" s="35">
        <f t="shared" ref="Q2861:Q2877" si="2549">IF(C$92&gt;0,P2861/C$92,0)</f>
        <v>0</v>
      </c>
    </row>
    <row r="2862" spans="1:17" x14ac:dyDescent="0.2">
      <c r="A2862" s="10"/>
      <c r="B2862" s="26"/>
      <c r="C2862" s="11">
        <v>1983</v>
      </c>
      <c r="D2862" s="32">
        <f>SPFI_CLB14!$D$6</f>
        <v>0.93659899999999996</v>
      </c>
      <c r="E2862" s="32"/>
      <c r="F2862" s="32"/>
      <c r="G2862" s="32"/>
      <c r="H2862" s="32"/>
      <c r="I2862" s="32"/>
      <c r="J2862" s="28">
        <f t="shared" si="2548"/>
        <v>0</v>
      </c>
      <c r="K2862" s="29"/>
      <c r="L2862" s="29"/>
      <c r="M2862" s="29"/>
      <c r="N2862" s="29"/>
      <c r="O2862" s="29"/>
      <c r="P2862" s="30">
        <f t="shared" ref="P2862:P2873" si="2550">SUM(J2862:O2862)</f>
        <v>0</v>
      </c>
      <c r="Q2862" s="31">
        <f t="shared" si="2549"/>
        <v>0</v>
      </c>
    </row>
    <row r="2863" spans="1:17" x14ac:dyDescent="0.2">
      <c r="A2863" s="10"/>
      <c r="B2863" s="26"/>
      <c r="C2863" s="11">
        <v>1984</v>
      </c>
      <c r="D2863" s="32">
        <f>SPFI_CLB14!$D$7</f>
        <v>0.92793599999999998</v>
      </c>
      <c r="E2863" s="32"/>
      <c r="F2863" s="32"/>
      <c r="G2863" s="32"/>
      <c r="H2863" s="32"/>
      <c r="I2863" s="32"/>
      <c r="J2863" s="28">
        <f t="shared" si="2548"/>
        <v>0</v>
      </c>
      <c r="K2863" s="29"/>
      <c r="L2863" s="29"/>
      <c r="M2863" s="29"/>
      <c r="N2863" s="29"/>
      <c r="O2863" s="29"/>
      <c r="P2863" s="30">
        <f t="shared" si="2550"/>
        <v>0</v>
      </c>
      <c r="Q2863" s="31">
        <f t="shared" si="2549"/>
        <v>0</v>
      </c>
    </row>
    <row r="2864" spans="1:17" x14ac:dyDescent="0.2">
      <c r="A2864" s="10"/>
      <c r="B2864" s="26"/>
      <c r="C2864" s="11">
        <v>1985</v>
      </c>
      <c r="D2864" s="32">
        <f>SPFI_CLB14!$D$8</f>
        <v>0.90386500000000003</v>
      </c>
      <c r="E2864" s="32"/>
      <c r="F2864" s="32"/>
      <c r="G2864" s="32"/>
      <c r="H2864" s="32"/>
      <c r="I2864" s="32"/>
      <c r="J2864" s="28">
        <f t="shared" si="2548"/>
        <v>0</v>
      </c>
      <c r="K2864" s="29"/>
      <c r="L2864" s="29"/>
      <c r="M2864" s="29"/>
      <c r="N2864" s="29"/>
      <c r="O2864" s="29"/>
      <c r="P2864" s="30">
        <f t="shared" si="2550"/>
        <v>0</v>
      </c>
      <c r="Q2864" s="31">
        <f t="shared" si="2549"/>
        <v>0</v>
      </c>
    </row>
    <row r="2865" spans="1:17" x14ac:dyDescent="0.2">
      <c r="A2865" s="10"/>
      <c r="B2865" s="26"/>
      <c r="C2865" s="11">
        <v>1986</v>
      </c>
      <c r="D2865" s="32">
        <f>SPFI_CLB14!$D$9</f>
        <v>0.73087500000000005</v>
      </c>
      <c r="E2865" s="32"/>
      <c r="F2865" s="32"/>
      <c r="G2865" s="32"/>
      <c r="H2865" s="32"/>
      <c r="I2865" s="32"/>
      <c r="J2865" s="28">
        <f t="shared" si="2548"/>
        <v>0</v>
      </c>
      <c r="K2865" s="29"/>
      <c r="L2865" s="29"/>
      <c r="M2865" s="29"/>
      <c r="N2865" s="29"/>
      <c r="O2865" s="29"/>
      <c r="P2865" s="30">
        <f t="shared" si="2550"/>
        <v>0</v>
      </c>
      <c r="Q2865" s="31">
        <f t="shared" si="2549"/>
        <v>0</v>
      </c>
    </row>
    <row r="2866" spans="1:17" x14ac:dyDescent="0.2">
      <c r="A2866" s="10"/>
      <c r="B2866" s="26"/>
      <c r="C2866" s="11">
        <v>1987</v>
      </c>
      <c r="D2866" s="32">
        <f>SPFI_CLB14!$D$10</f>
        <v>0.71733499999999994</v>
      </c>
      <c r="E2866" s="32"/>
      <c r="F2866" s="32"/>
      <c r="G2866" s="32"/>
      <c r="H2866" s="32"/>
      <c r="I2866" s="32"/>
      <c r="J2866" s="28">
        <f t="shared" si="2548"/>
        <v>0</v>
      </c>
      <c r="K2866" s="29"/>
      <c r="L2866" s="29"/>
      <c r="M2866" s="29"/>
      <c r="N2866" s="29"/>
      <c r="O2866" s="29"/>
      <c r="P2866" s="30">
        <f t="shared" si="2550"/>
        <v>0</v>
      </c>
      <c r="Q2866" s="31">
        <f t="shared" si="2549"/>
        <v>0</v>
      </c>
    </row>
    <row r="2867" spans="1:17" x14ac:dyDescent="0.2">
      <c r="A2867" s="10"/>
      <c r="B2867" s="26"/>
      <c r="C2867" s="11">
        <v>1988</v>
      </c>
      <c r="D2867" s="32">
        <f>SPFI_CLB14!$D$11</f>
        <v>0.64558800000000005</v>
      </c>
      <c r="E2867" s="32"/>
      <c r="F2867" s="32"/>
      <c r="G2867" s="32"/>
      <c r="H2867" s="32"/>
      <c r="I2867" s="32"/>
      <c r="J2867" s="28">
        <f t="shared" si="2548"/>
        <v>0</v>
      </c>
      <c r="K2867" s="29"/>
      <c r="L2867" s="29"/>
      <c r="M2867" s="29"/>
      <c r="N2867" s="29"/>
      <c r="O2867" s="29"/>
      <c r="P2867" s="30">
        <f t="shared" si="2550"/>
        <v>0</v>
      </c>
      <c r="Q2867" s="31">
        <f t="shared" si="2549"/>
        <v>0</v>
      </c>
    </row>
    <row r="2868" spans="1:17" x14ac:dyDescent="0.2">
      <c r="A2868" s="10"/>
      <c r="B2868" s="26"/>
      <c r="C2868" s="11">
        <v>1989</v>
      </c>
      <c r="D2868" s="32">
        <f>SPFI_CLB14!$D$12</f>
        <v>0.65287700000000004</v>
      </c>
      <c r="E2868" s="32"/>
      <c r="F2868" s="32"/>
      <c r="G2868" s="32"/>
      <c r="H2868" s="32"/>
      <c r="I2868" s="32"/>
      <c r="J2868" s="28">
        <f t="shared" si="2548"/>
        <v>0</v>
      </c>
      <c r="K2868" s="29"/>
      <c r="L2868" s="29"/>
      <c r="M2868" s="29"/>
      <c r="N2868" s="29"/>
      <c r="O2868" s="29"/>
      <c r="P2868" s="30">
        <f t="shared" si="2550"/>
        <v>0</v>
      </c>
      <c r="Q2868" s="31">
        <f t="shared" si="2549"/>
        <v>0</v>
      </c>
    </row>
    <row r="2869" spans="1:17" x14ac:dyDescent="0.2">
      <c r="A2869" s="10"/>
      <c r="B2869" s="26"/>
      <c r="C2869" s="11">
        <v>1990</v>
      </c>
      <c r="D2869" s="32">
        <f>SPFI_CLB14!$D$13</f>
        <v>0.56965100000000002</v>
      </c>
      <c r="E2869" s="32"/>
      <c r="F2869" s="32"/>
      <c r="G2869" s="32"/>
      <c r="H2869" s="32"/>
      <c r="I2869" s="32"/>
      <c r="J2869" s="28">
        <f t="shared" si="2548"/>
        <v>0</v>
      </c>
      <c r="K2869" s="29"/>
      <c r="L2869" s="29"/>
      <c r="M2869" s="29"/>
      <c r="N2869" s="29"/>
      <c r="O2869" s="29"/>
      <c r="P2869" s="30">
        <f t="shared" si="2550"/>
        <v>0</v>
      </c>
      <c r="Q2869" s="31">
        <f t="shared" si="2549"/>
        <v>0</v>
      </c>
    </row>
    <row r="2870" spans="1:17" x14ac:dyDescent="0.2">
      <c r="A2870" s="10"/>
      <c r="B2870" s="26"/>
      <c r="C2870" s="11">
        <v>1991</v>
      </c>
      <c r="D2870" s="32">
        <f>SPFI_CLB14!$D$14</f>
        <v>0.62776900000000002</v>
      </c>
      <c r="E2870" s="32"/>
      <c r="F2870" s="32"/>
      <c r="G2870" s="32"/>
      <c r="H2870" s="32"/>
      <c r="I2870" s="32"/>
      <c r="J2870" s="28">
        <f t="shared" si="2548"/>
        <v>0</v>
      </c>
      <c r="K2870" s="29"/>
      <c r="L2870" s="29"/>
      <c r="M2870" s="29"/>
      <c r="N2870" s="29"/>
      <c r="O2870" s="29"/>
      <c r="P2870" s="30">
        <f t="shared" si="2550"/>
        <v>0</v>
      </c>
      <c r="Q2870" s="31">
        <f t="shared" si="2549"/>
        <v>0</v>
      </c>
    </row>
    <row r="2871" spans="1:17" x14ac:dyDescent="0.2">
      <c r="A2871" s="10"/>
      <c r="B2871" s="26"/>
      <c r="C2871" s="11">
        <v>1992</v>
      </c>
      <c r="D2871" s="32">
        <f>SPFI_CLB14!$D$15</f>
        <v>0.43504100000000001</v>
      </c>
      <c r="E2871" s="32"/>
      <c r="F2871" s="32"/>
      <c r="G2871" s="32"/>
      <c r="H2871" s="32"/>
      <c r="I2871" s="32"/>
      <c r="J2871" s="28">
        <f t="shared" si="2548"/>
        <v>0</v>
      </c>
      <c r="K2871" s="29"/>
      <c r="L2871" s="29"/>
      <c r="M2871" s="29"/>
      <c r="N2871" s="29"/>
      <c r="O2871" s="29"/>
      <c r="P2871" s="30">
        <f t="shared" si="2550"/>
        <v>0</v>
      </c>
      <c r="Q2871" s="31">
        <f t="shared" si="2549"/>
        <v>0</v>
      </c>
    </row>
    <row r="2872" spans="1:17" x14ac:dyDescent="0.2">
      <c r="A2872" s="10"/>
      <c r="B2872" s="26"/>
      <c r="C2872" s="11">
        <v>1993</v>
      </c>
      <c r="D2872" s="32">
        <f>SPFI_CLB14!$D$16</f>
        <v>0.499164</v>
      </c>
      <c r="E2872" s="32"/>
      <c r="F2872" s="32"/>
      <c r="G2872" s="32"/>
      <c r="H2872" s="32"/>
      <c r="I2872" s="32"/>
      <c r="J2872" s="28">
        <f t="shared" si="2548"/>
        <v>0</v>
      </c>
      <c r="K2872" s="29"/>
      <c r="L2872" s="29"/>
      <c r="M2872" s="29"/>
      <c r="N2872" s="29"/>
      <c r="O2872" s="29"/>
      <c r="P2872" s="30">
        <f t="shared" si="2550"/>
        <v>0</v>
      </c>
      <c r="Q2872" s="31">
        <f t="shared" si="2549"/>
        <v>0</v>
      </c>
    </row>
    <row r="2873" spans="1:17" x14ac:dyDescent="0.2">
      <c r="A2873" s="10"/>
      <c r="B2873" s="26"/>
      <c r="C2873" s="11">
        <v>1994</v>
      </c>
      <c r="D2873" s="32">
        <f>SPFI_CLB14!$D$17</f>
        <v>0.59591300000000003</v>
      </c>
      <c r="E2873" s="32"/>
      <c r="F2873" s="32"/>
      <c r="G2873" s="32"/>
      <c r="H2873" s="32"/>
      <c r="I2873" s="32"/>
      <c r="J2873" s="28">
        <f t="shared" si="2548"/>
        <v>0</v>
      </c>
      <c r="K2873" s="29"/>
      <c r="L2873" s="29"/>
      <c r="M2873" s="29"/>
      <c r="N2873" s="29"/>
      <c r="O2873" s="29"/>
      <c r="P2873" s="30">
        <f t="shared" si="2550"/>
        <v>0</v>
      </c>
      <c r="Q2873" s="31">
        <f t="shared" si="2549"/>
        <v>0</v>
      </c>
    </row>
    <row r="2874" spans="1:17" x14ac:dyDescent="0.2">
      <c r="A2874" s="10"/>
      <c r="B2874" s="26"/>
      <c r="C2874" s="11">
        <v>1995</v>
      </c>
      <c r="D2874" s="32">
        <f>SPFI_CLB14!$D$18</f>
        <v>0.25400800000000001</v>
      </c>
      <c r="E2874" s="32"/>
      <c r="F2874" s="32"/>
      <c r="G2874" s="32"/>
      <c r="H2874" s="32"/>
      <c r="I2874" s="32"/>
      <c r="J2874" s="28">
        <f t="shared" ref="J2874" si="2551">D2874*J$92</f>
        <v>0</v>
      </c>
      <c r="K2874" s="29"/>
      <c r="L2874" s="29"/>
      <c r="M2874" s="29"/>
      <c r="N2874" s="29"/>
      <c r="O2874" s="29"/>
      <c r="P2874" s="30">
        <f>SUM(J2874:O2874)</f>
        <v>0</v>
      </c>
      <c r="Q2874" s="31">
        <f t="shared" si="2549"/>
        <v>0</v>
      </c>
    </row>
    <row r="2875" spans="1:17" x14ac:dyDescent="0.2">
      <c r="A2875" s="10"/>
      <c r="B2875" s="26"/>
      <c r="C2875" s="11">
        <v>1996</v>
      </c>
      <c r="D2875" s="32">
        <f>SPFI_CLB14!$D$19</f>
        <v>0</v>
      </c>
      <c r="E2875" s="32"/>
      <c r="F2875" s="32"/>
      <c r="G2875" s="32"/>
      <c r="H2875" s="32"/>
      <c r="I2875" s="32"/>
      <c r="J2875" s="28">
        <f t="shared" ref="J2875" si="2552">D2875*J$92</f>
        <v>0</v>
      </c>
      <c r="K2875" s="29"/>
      <c r="L2875" s="29"/>
      <c r="M2875" s="29"/>
      <c r="N2875" s="29"/>
      <c r="O2875" s="29"/>
      <c r="P2875" s="30">
        <f>SUM(J2875:O2875)</f>
        <v>0</v>
      </c>
      <c r="Q2875" s="31">
        <f t="shared" si="2549"/>
        <v>0</v>
      </c>
    </row>
    <row r="2876" spans="1:17" x14ac:dyDescent="0.2">
      <c r="A2876" s="10"/>
      <c r="B2876" s="26"/>
      <c r="C2876" s="11">
        <v>1997</v>
      </c>
      <c r="D2876" s="32">
        <f>SPFI_CLB14!$D$20</f>
        <v>0.201487</v>
      </c>
      <c r="E2876" s="32"/>
      <c r="F2876" s="32"/>
      <c r="G2876" s="32"/>
      <c r="H2876" s="32"/>
      <c r="I2876" s="32"/>
      <c r="J2876" s="28">
        <f t="shared" ref="J2876" si="2553">D2876*J$92</f>
        <v>0</v>
      </c>
      <c r="K2876" s="29"/>
      <c r="L2876" s="29"/>
      <c r="M2876" s="29"/>
      <c r="N2876" s="29"/>
      <c r="O2876" s="29"/>
      <c r="P2876" s="30">
        <f>SUM(J2876:O2876)</f>
        <v>0</v>
      </c>
      <c r="Q2876" s="31">
        <f t="shared" si="2549"/>
        <v>0</v>
      </c>
    </row>
    <row r="2877" spans="1:17" x14ac:dyDescent="0.2">
      <c r="A2877" s="10"/>
      <c r="B2877" s="26"/>
      <c r="C2877" s="11">
        <v>1998</v>
      </c>
      <c r="D2877" s="32">
        <f>SPFI_CLB14!$D$21</f>
        <v>0.37506400000000001</v>
      </c>
      <c r="E2877" s="32"/>
      <c r="F2877" s="32"/>
      <c r="G2877" s="32"/>
      <c r="H2877" s="32"/>
      <c r="I2877" s="32"/>
      <c r="J2877" s="28">
        <f t="shared" ref="J2877" si="2554">D2877*J$92</f>
        <v>0</v>
      </c>
      <c r="K2877" s="29"/>
      <c r="L2877" s="29"/>
      <c r="M2877" s="29"/>
      <c r="N2877" s="29"/>
      <c r="O2877" s="29"/>
      <c r="P2877" s="30">
        <f>SUM(J2877:O2877)</f>
        <v>0</v>
      </c>
      <c r="Q2877" s="31">
        <f t="shared" si="2549"/>
        <v>0</v>
      </c>
    </row>
    <row r="2878" spans="1:17" x14ac:dyDescent="0.2">
      <c r="A2878" s="10"/>
      <c r="B2878" s="26"/>
      <c r="C2878" s="11">
        <v>1999</v>
      </c>
      <c r="D2878" s="32">
        <f>SPFI_CLB14!$D$22</f>
        <v>0.29823699999999997</v>
      </c>
      <c r="E2878" s="32"/>
      <c r="F2878" s="32"/>
      <c r="G2878" s="32"/>
      <c r="H2878" s="32"/>
      <c r="I2878" s="32"/>
      <c r="J2878" s="28">
        <f t="shared" ref="J2878" si="2555">D2878*J$92</f>
        <v>0</v>
      </c>
      <c r="K2878" s="29"/>
      <c r="L2878" s="29"/>
      <c r="M2878" s="29"/>
      <c r="N2878" s="29"/>
      <c r="O2878" s="29"/>
      <c r="P2878" s="30">
        <f>SUM(J2878:O2878)</f>
        <v>0</v>
      </c>
      <c r="Q2878" s="31">
        <f t="shared" ref="Q2878:Q2883" si="2556">IF(C$92&gt;0,P2878/C$92,0)</f>
        <v>0</v>
      </c>
    </row>
    <row r="2879" spans="1:17" x14ac:dyDescent="0.2">
      <c r="A2879" s="10"/>
      <c r="B2879" s="26"/>
      <c r="C2879" s="11">
        <v>2000</v>
      </c>
      <c r="D2879" s="32">
        <f>SPFI_CLB14!$D$23</f>
        <v>8.4414000000000003E-2</v>
      </c>
      <c r="E2879" s="32"/>
      <c r="F2879" s="32"/>
      <c r="G2879" s="32"/>
      <c r="H2879" s="32"/>
      <c r="I2879" s="32"/>
      <c r="J2879" s="28">
        <f t="shared" ref="J2879" si="2557">D2879*J$92</f>
        <v>0</v>
      </c>
      <c r="K2879" s="29"/>
      <c r="L2879" s="29"/>
      <c r="M2879" s="29"/>
      <c r="N2879" s="29"/>
      <c r="O2879" s="29"/>
      <c r="P2879" s="30">
        <f t="shared" ref="P2879:P2884" si="2558">SUM(J2879:O2879)</f>
        <v>0</v>
      </c>
      <c r="Q2879" s="31">
        <f t="shared" si="2556"/>
        <v>0</v>
      </c>
    </row>
    <row r="2880" spans="1:17" x14ac:dyDescent="0.2">
      <c r="A2880" s="10"/>
      <c r="B2880" s="26"/>
      <c r="C2880" s="11">
        <v>2001</v>
      </c>
      <c r="D2880" s="32">
        <f>SPFI_CLB14!$D$24</f>
        <v>7.8909000000000007E-2</v>
      </c>
      <c r="E2880" s="32"/>
      <c r="F2880" s="32"/>
      <c r="G2880" s="32"/>
      <c r="H2880" s="32"/>
      <c r="I2880" s="32"/>
      <c r="J2880" s="28">
        <f t="shared" ref="J2880" si="2559">D2880*J$92</f>
        <v>0</v>
      </c>
      <c r="K2880" s="29"/>
      <c r="L2880" s="29"/>
      <c r="M2880" s="29"/>
      <c r="N2880" s="29"/>
      <c r="O2880" s="29"/>
      <c r="P2880" s="30">
        <f t="shared" si="2558"/>
        <v>0</v>
      </c>
      <c r="Q2880" s="31">
        <f t="shared" si="2556"/>
        <v>0</v>
      </c>
    </row>
    <row r="2881" spans="1:17" x14ac:dyDescent="0.2">
      <c r="A2881" s="10"/>
      <c r="B2881" s="26"/>
      <c r="C2881" s="11">
        <v>2002</v>
      </c>
      <c r="D2881" s="32">
        <f>SPFI_CLB14!$D$25</f>
        <v>0.29974699999999999</v>
      </c>
      <c r="E2881" s="32"/>
      <c r="F2881" s="32"/>
      <c r="G2881" s="32"/>
      <c r="H2881" s="32"/>
      <c r="I2881" s="32"/>
      <c r="J2881" s="28">
        <f t="shared" ref="J2881" si="2560">D2881*J$92</f>
        <v>0</v>
      </c>
      <c r="K2881" s="29"/>
      <c r="L2881" s="29"/>
      <c r="M2881" s="29"/>
      <c r="N2881" s="29"/>
      <c r="O2881" s="29"/>
      <c r="P2881" s="30">
        <f t="shared" si="2558"/>
        <v>0</v>
      </c>
      <c r="Q2881" s="31">
        <f t="shared" si="2556"/>
        <v>0</v>
      </c>
    </row>
    <row r="2882" spans="1:17" x14ac:dyDescent="0.2">
      <c r="A2882" s="10"/>
      <c r="B2882" s="26"/>
      <c r="C2882" s="11">
        <v>2003</v>
      </c>
      <c r="D2882" s="32">
        <f>SPFI_CLB14!$D$26</f>
        <v>0.20691100000000001</v>
      </c>
      <c r="E2882" s="32"/>
      <c r="F2882" s="32"/>
      <c r="G2882" s="32"/>
      <c r="H2882" s="32"/>
      <c r="I2882" s="32"/>
      <c r="J2882" s="28">
        <f t="shared" ref="J2882" si="2561">D2882*J$92</f>
        <v>0</v>
      </c>
      <c r="K2882" s="29"/>
      <c r="L2882" s="29"/>
      <c r="M2882" s="29"/>
      <c r="N2882" s="29"/>
      <c r="O2882" s="29"/>
      <c r="P2882" s="30">
        <f t="shared" si="2558"/>
        <v>0</v>
      </c>
      <c r="Q2882" s="31">
        <f t="shared" si="2556"/>
        <v>0</v>
      </c>
    </row>
    <row r="2883" spans="1:17" x14ac:dyDescent="0.2">
      <c r="A2883" s="10"/>
      <c r="B2883" s="26"/>
      <c r="C2883" s="11">
        <v>2004</v>
      </c>
      <c r="D2883" s="32">
        <f>SPFI_CLB14!$D$27</f>
        <v>0.269237</v>
      </c>
      <c r="E2883" s="32"/>
      <c r="F2883" s="32"/>
      <c r="G2883" s="32"/>
      <c r="H2883" s="32"/>
      <c r="I2883" s="32"/>
      <c r="J2883" s="28">
        <f t="shared" ref="J2883" si="2562">D2883*J$92</f>
        <v>0</v>
      </c>
      <c r="K2883" s="29"/>
      <c r="L2883" s="29"/>
      <c r="M2883" s="29"/>
      <c r="N2883" s="29"/>
      <c r="O2883" s="29"/>
      <c r="P2883" s="30">
        <f t="shared" si="2558"/>
        <v>0</v>
      </c>
      <c r="Q2883" s="31">
        <f t="shared" si="2556"/>
        <v>0</v>
      </c>
    </row>
    <row r="2884" spans="1:17" x14ac:dyDescent="0.2">
      <c r="A2884" s="10"/>
      <c r="B2884" s="26"/>
      <c r="C2884" s="11">
        <v>2005</v>
      </c>
      <c r="D2884" s="32">
        <f>SPFI_CLB14!$D$28</f>
        <v>0.37848700000000002</v>
      </c>
      <c r="E2884" s="32"/>
      <c r="F2884" s="32"/>
      <c r="G2884" s="32"/>
      <c r="H2884" s="32"/>
      <c r="I2884" s="32"/>
      <c r="J2884" s="28">
        <f t="shared" ref="J2884" si="2563">D2884*J$92</f>
        <v>0</v>
      </c>
      <c r="K2884" s="29"/>
      <c r="L2884" s="29"/>
      <c r="M2884" s="29"/>
      <c r="N2884" s="29"/>
      <c r="O2884" s="29"/>
      <c r="P2884" s="30">
        <f t="shared" si="2558"/>
        <v>0</v>
      </c>
      <c r="Q2884" s="31">
        <f t="shared" ref="Q2884:Q2889" si="2564">IF(C$92&gt;0,P2884/C$92,0)</f>
        <v>0</v>
      </c>
    </row>
    <row r="2885" spans="1:17" x14ac:dyDescent="0.2">
      <c r="A2885" s="10"/>
      <c r="B2885" s="26"/>
      <c r="C2885" s="11">
        <v>2006</v>
      </c>
      <c r="D2885" s="32">
        <f>SPFI_CLB14!$D$29</f>
        <v>0.381023</v>
      </c>
      <c r="E2885" s="32"/>
      <c r="F2885" s="32"/>
      <c r="G2885" s="32"/>
      <c r="H2885" s="32"/>
      <c r="I2885" s="32"/>
      <c r="J2885" s="28">
        <f t="shared" ref="J2885" si="2565">D2885*J$92</f>
        <v>0</v>
      </c>
      <c r="K2885" s="29"/>
      <c r="L2885" s="29"/>
      <c r="M2885" s="29"/>
      <c r="N2885" s="29"/>
      <c r="O2885" s="29"/>
      <c r="P2885" s="30">
        <f t="shared" ref="P2885:P2892" si="2566">SUM(J2885:O2885)</f>
        <v>0</v>
      </c>
      <c r="Q2885" s="31">
        <f t="shared" si="2564"/>
        <v>0</v>
      </c>
    </row>
    <row r="2886" spans="1:17" x14ac:dyDescent="0.2">
      <c r="A2886" s="10"/>
      <c r="B2886" s="26"/>
      <c r="C2886" s="11">
        <v>2007</v>
      </c>
      <c r="D2886" s="32">
        <f>SPFI_CLB14!$D$30</f>
        <v>0.356512</v>
      </c>
      <c r="E2886" s="32"/>
      <c r="F2886" s="32"/>
      <c r="G2886" s="32"/>
      <c r="H2886" s="32"/>
      <c r="I2886" s="32"/>
      <c r="J2886" s="28">
        <f t="shared" ref="J2886" si="2567">D2886*J$92</f>
        <v>0</v>
      </c>
      <c r="K2886" s="29"/>
      <c r="L2886" s="29"/>
      <c r="M2886" s="29"/>
      <c r="N2886" s="29"/>
      <c r="O2886" s="29"/>
      <c r="P2886" s="30">
        <f t="shared" si="2566"/>
        <v>0</v>
      </c>
      <c r="Q2886" s="31">
        <f t="shared" si="2564"/>
        <v>0</v>
      </c>
    </row>
    <row r="2887" spans="1:17" x14ac:dyDescent="0.2">
      <c r="A2887" s="10"/>
      <c r="B2887" s="26"/>
      <c r="C2887" s="11">
        <v>2008</v>
      </c>
      <c r="D2887" s="32">
        <f>SPFI_CLB14!$D$31</f>
        <v>0.25494499999999998</v>
      </c>
      <c r="E2887" s="32"/>
      <c r="F2887" s="32"/>
      <c r="G2887" s="32"/>
      <c r="H2887" s="32"/>
      <c r="I2887" s="32"/>
      <c r="J2887" s="28">
        <f t="shared" ref="J2887" si="2568">D2887*J$92</f>
        <v>0</v>
      </c>
      <c r="K2887" s="29"/>
      <c r="L2887" s="29"/>
      <c r="M2887" s="29"/>
      <c r="N2887" s="29"/>
      <c r="O2887" s="29"/>
      <c r="P2887" s="30">
        <f t="shared" si="2566"/>
        <v>0</v>
      </c>
      <c r="Q2887" s="31">
        <f t="shared" si="2564"/>
        <v>0</v>
      </c>
    </row>
    <row r="2888" spans="1:17" x14ac:dyDescent="0.2">
      <c r="A2888" s="10"/>
      <c r="B2888" s="26"/>
      <c r="C2888" s="11">
        <v>2009</v>
      </c>
      <c r="D2888" s="32">
        <f>SPFI_CLB14!$D$32</f>
        <v>0.52383000000000002</v>
      </c>
      <c r="E2888" s="32"/>
      <c r="F2888" s="32"/>
      <c r="G2888" s="32"/>
      <c r="H2888" s="32"/>
      <c r="I2888" s="32"/>
      <c r="J2888" s="28">
        <f t="shared" ref="J2888" si="2569">D2888*J$92</f>
        <v>0</v>
      </c>
      <c r="K2888" s="29"/>
      <c r="L2888" s="29"/>
      <c r="M2888" s="29"/>
      <c r="N2888" s="29"/>
      <c r="O2888" s="29"/>
      <c r="P2888" s="30">
        <f t="shared" si="2566"/>
        <v>0</v>
      </c>
      <c r="Q2888" s="31">
        <f t="shared" si="2564"/>
        <v>0</v>
      </c>
    </row>
    <row r="2889" spans="1:17" x14ac:dyDescent="0.2">
      <c r="A2889" s="10"/>
      <c r="B2889" s="26"/>
      <c r="C2889" s="11">
        <v>2010</v>
      </c>
      <c r="D2889" s="32">
        <f>SPFI_CLB14!$D$33</f>
        <v>0.31394</v>
      </c>
      <c r="E2889" s="32"/>
      <c r="F2889" s="32"/>
      <c r="G2889" s="32"/>
      <c r="H2889" s="32"/>
      <c r="I2889" s="32"/>
      <c r="J2889" s="28">
        <f t="shared" ref="J2889" si="2570">D2889*J$92</f>
        <v>0</v>
      </c>
      <c r="K2889" s="29"/>
      <c r="L2889" s="29"/>
      <c r="M2889" s="29"/>
      <c r="N2889" s="29"/>
      <c r="O2889" s="29"/>
      <c r="P2889" s="30">
        <f t="shared" si="2566"/>
        <v>0</v>
      </c>
      <c r="Q2889" s="31">
        <f t="shared" si="2564"/>
        <v>0</v>
      </c>
    </row>
    <row r="2890" spans="1:17" x14ac:dyDescent="0.2">
      <c r="A2890" s="10"/>
      <c r="B2890" s="26"/>
      <c r="C2890" s="11">
        <v>2011</v>
      </c>
      <c r="D2890" s="32">
        <f>SPFI_CLB14!$D$34</f>
        <v>0.294348</v>
      </c>
      <c r="E2890" s="32"/>
      <c r="F2890" s="32"/>
      <c r="G2890" s="32"/>
      <c r="H2890" s="32"/>
      <c r="I2890" s="32"/>
      <c r="J2890" s="28">
        <f t="shared" ref="J2890" si="2571">D2890*J$92</f>
        <v>0</v>
      </c>
      <c r="K2890" s="29"/>
      <c r="L2890" s="29"/>
      <c r="M2890" s="29"/>
      <c r="N2890" s="29"/>
      <c r="O2890" s="29"/>
      <c r="P2890" s="30">
        <f t="shared" ref="P2890" si="2572">SUM(J2890:O2890)</f>
        <v>0</v>
      </c>
      <c r="Q2890" s="31">
        <f t="shared" ref="Q2890" si="2573">IF(C$92&gt;0,P2890/C$92,0)</f>
        <v>0</v>
      </c>
    </row>
    <row r="2891" spans="1:17" x14ac:dyDescent="0.2">
      <c r="A2891" s="10"/>
      <c r="B2891" s="26"/>
      <c r="C2891" s="11">
        <v>2012</v>
      </c>
      <c r="D2891" s="32">
        <f>SPFI_CLB14!$D$35</f>
        <v>0.34784100000000001</v>
      </c>
      <c r="E2891" s="32"/>
      <c r="F2891" s="32"/>
      <c r="G2891" s="32"/>
      <c r="H2891" s="32"/>
      <c r="I2891" s="32"/>
      <c r="J2891" s="28">
        <f t="shared" ref="J2891" si="2574">D2891*J$92</f>
        <v>0</v>
      </c>
      <c r="K2891" s="29"/>
      <c r="L2891" s="29"/>
      <c r="M2891" s="29"/>
      <c r="N2891" s="29"/>
      <c r="O2891" s="29"/>
      <c r="P2891" s="30">
        <f t="shared" ref="P2891" si="2575">SUM(J2891:O2891)</f>
        <v>0</v>
      </c>
      <c r="Q2891" s="31">
        <f t="shared" ref="Q2891" si="2576">IF(C$92&gt;0,P2891/C$92,0)</f>
        <v>0</v>
      </c>
    </row>
    <row r="2892" spans="1:17" x14ac:dyDescent="0.2">
      <c r="A2892" s="5" t="s">
        <v>28</v>
      </c>
      <c r="B2892" s="21">
        <v>3</v>
      </c>
      <c r="C2892" s="6">
        <v>1982</v>
      </c>
      <c r="D2892" s="27">
        <f>SPFI_CLB14!$D$5</f>
        <v>0.98153299999999999</v>
      </c>
      <c r="E2892" s="27"/>
      <c r="F2892" s="27"/>
      <c r="G2892" s="27"/>
      <c r="H2892" s="27"/>
      <c r="I2892" s="27"/>
      <c r="J2892" s="33">
        <f t="shared" ref="J2892:J2904" si="2577">D2892*J$93</f>
        <v>0</v>
      </c>
      <c r="K2892" s="27"/>
      <c r="L2892" s="27"/>
      <c r="M2892" s="27"/>
      <c r="N2892" s="27"/>
      <c r="O2892" s="27"/>
      <c r="P2892" s="34">
        <f t="shared" si="2566"/>
        <v>0</v>
      </c>
      <c r="Q2892" s="35">
        <f t="shared" ref="Q2892:Q2908" si="2578">IF(C$93&gt;0,P2892/C$93,0)</f>
        <v>0</v>
      </c>
    </row>
    <row r="2893" spans="1:17" x14ac:dyDescent="0.2">
      <c r="A2893" s="10"/>
      <c r="B2893" s="26"/>
      <c r="C2893" s="11">
        <v>1983</v>
      </c>
      <c r="D2893" s="32">
        <f>SPFI_CLB14!$D$6</f>
        <v>0.93659899999999996</v>
      </c>
      <c r="E2893" s="32"/>
      <c r="F2893" s="32"/>
      <c r="G2893" s="32"/>
      <c r="H2893" s="32"/>
      <c r="I2893" s="32"/>
      <c r="J2893" s="28">
        <f t="shared" si="2577"/>
        <v>0</v>
      </c>
      <c r="K2893" s="29"/>
      <c r="L2893" s="29"/>
      <c r="M2893" s="29"/>
      <c r="N2893" s="29"/>
      <c r="O2893" s="29"/>
      <c r="P2893" s="30">
        <f t="shared" ref="P2893:P2904" si="2579">SUM(J2893:O2893)</f>
        <v>0</v>
      </c>
      <c r="Q2893" s="31">
        <f t="shared" si="2578"/>
        <v>0</v>
      </c>
    </row>
    <row r="2894" spans="1:17" x14ac:dyDescent="0.2">
      <c r="A2894" s="10"/>
      <c r="B2894" s="26"/>
      <c r="C2894" s="11">
        <v>1984</v>
      </c>
      <c r="D2894" s="32">
        <f>SPFI_CLB14!$D$7</f>
        <v>0.92793599999999998</v>
      </c>
      <c r="E2894" s="32"/>
      <c r="F2894" s="32"/>
      <c r="G2894" s="32"/>
      <c r="H2894" s="32"/>
      <c r="I2894" s="32"/>
      <c r="J2894" s="28">
        <f t="shared" si="2577"/>
        <v>0</v>
      </c>
      <c r="K2894" s="29"/>
      <c r="L2894" s="29"/>
      <c r="M2894" s="29"/>
      <c r="N2894" s="29"/>
      <c r="O2894" s="29"/>
      <c r="P2894" s="30">
        <f t="shared" si="2579"/>
        <v>0</v>
      </c>
      <c r="Q2894" s="31">
        <f t="shared" si="2578"/>
        <v>0</v>
      </c>
    </row>
    <row r="2895" spans="1:17" x14ac:dyDescent="0.2">
      <c r="A2895" s="10"/>
      <c r="B2895" s="26"/>
      <c r="C2895" s="11">
        <v>1985</v>
      </c>
      <c r="D2895" s="32">
        <f>SPFI_CLB14!$D$8</f>
        <v>0.90386500000000003</v>
      </c>
      <c r="E2895" s="32"/>
      <c r="F2895" s="32"/>
      <c r="G2895" s="32"/>
      <c r="H2895" s="32"/>
      <c r="I2895" s="32"/>
      <c r="J2895" s="28">
        <f t="shared" si="2577"/>
        <v>0</v>
      </c>
      <c r="K2895" s="29"/>
      <c r="L2895" s="29"/>
      <c r="M2895" s="29"/>
      <c r="N2895" s="29"/>
      <c r="O2895" s="29"/>
      <c r="P2895" s="30">
        <f t="shared" si="2579"/>
        <v>0</v>
      </c>
      <c r="Q2895" s="31">
        <f t="shared" si="2578"/>
        <v>0</v>
      </c>
    </row>
    <row r="2896" spans="1:17" x14ac:dyDescent="0.2">
      <c r="A2896" s="10"/>
      <c r="B2896" s="26"/>
      <c r="C2896" s="11">
        <v>1986</v>
      </c>
      <c r="D2896" s="32">
        <f>SPFI_CLB14!$D$9</f>
        <v>0.73087500000000005</v>
      </c>
      <c r="E2896" s="32"/>
      <c r="F2896" s="32"/>
      <c r="G2896" s="32"/>
      <c r="H2896" s="32"/>
      <c r="I2896" s="32"/>
      <c r="J2896" s="28">
        <f t="shared" si="2577"/>
        <v>0</v>
      </c>
      <c r="K2896" s="29"/>
      <c r="L2896" s="29"/>
      <c r="M2896" s="29"/>
      <c r="N2896" s="29"/>
      <c r="O2896" s="29"/>
      <c r="P2896" s="30">
        <f t="shared" si="2579"/>
        <v>0</v>
      </c>
      <c r="Q2896" s="31">
        <f t="shared" si="2578"/>
        <v>0</v>
      </c>
    </row>
    <row r="2897" spans="1:17" x14ac:dyDescent="0.2">
      <c r="A2897" s="10"/>
      <c r="B2897" s="26"/>
      <c r="C2897" s="11">
        <v>1987</v>
      </c>
      <c r="D2897" s="32">
        <f>SPFI_CLB14!$D$10</f>
        <v>0.71733499999999994</v>
      </c>
      <c r="E2897" s="32"/>
      <c r="F2897" s="32"/>
      <c r="G2897" s="32"/>
      <c r="H2897" s="32"/>
      <c r="I2897" s="32"/>
      <c r="J2897" s="28">
        <f t="shared" si="2577"/>
        <v>0</v>
      </c>
      <c r="K2897" s="29"/>
      <c r="L2897" s="29"/>
      <c r="M2897" s="29"/>
      <c r="N2897" s="29"/>
      <c r="O2897" s="29"/>
      <c r="P2897" s="30">
        <f t="shared" si="2579"/>
        <v>0</v>
      </c>
      <c r="Q2897" s="31">
        <f t="shared" si="2578"/>
        <v>0</v>
      </c>
    </row>
    <row r="2898" spans="1:17" x14ac:dyDescent="0.2">
      <c r="A2898" s="10"/>
      <c r="B2898" s="26"/>
      <c r="C2898" s="11">
        <v>1988</v>
      </c>
      <c r="D2898" s="32">
        <f>SPFI_CLB14!$D$11</f>
        <v>0.64558800000000005</v>
      </c>
      <c r="E2898" s="32"/>
      <c r="F2898" s="32"/>
      <c r="G2898" s="32"/>
      <c r="H2898" s="32"/>
      <c r="I2898" s="32"/>
      <c r="J2898" s="28">
        <f t="shared" si="2577"/>
        <v>0</v>
      </c>
      <c r="K2898" s="29"/>
      <c r="L2898" s="29"/>
      <c r="M2898" s="29"/>
      <c r="N2898" s="29"/>
      <c r="O2898" s="29"/>
      <c r="P2898" s="30">
        <f t="shared" si="2579"/>
        <v>0</v>
      </c>
      <c r="Q2898" s="31">
        <f t="shared" si="2578"/>
        <v>0</v>
      </c>
    </row>
    <row r="2899" spans="1:17" x14ac:dyDescent="0.2">
      <c r="A2899" s="10"/>
      <c r="B2899" s="26"/>
      <c r="C2899" s="11">
        <v>1989</v>
      </c>
      <c r="D2899" s="32">
        <f>SPFI_CLB14!$D$12</f>
        <v>0.65287700000000004</v>
      </c>
      <c r="E2899" s="32"/>
      <c r="F2899" s="32"/>
      <c r="G2899" s="32"/>
      <c r="H2899" s="32"/>
      <c r="I2899" s="32"/>
      <c r="J2899" s="28">
        <f t="shared" si="2577"/>
        <v>0</v>
      </c>
      <c r="K2899" s="29"/>
      <c r="L2899" s="29"/>
      <c r="M2899" s="29"/>
      <c r="N2899" s="29"/>
      <c r="O2899" s="29"/>
      <c r="P2899" s="30">
        <f t="shared" si="2579"/>
        <v>0</v>
      </c>
      <c r="Q2899" s="31">
        <f t="shared" si="2578"/>
        <v>0</v>
      </c>
    </row>
    <row r="2900" spans="1:17" x14ac:dyDescent="0.2">
      <c r="A2900" s="10"/>
      <c r="B2900" s="26"/>
      <c r="C2900" s="11">
        <v>1990</v>
      </c>
      <c r="D2900" s="32">
        <f>SPFI_CLB14!$D$13</f>
        <v>0.56965100000000002</v>
      </c>
      <c r="E2900" s="32"/>
      <c r="F2900" s="32"/>
      <c r="G2900" s="32"/>
      <c r="H2900" s="32"/>
      <c r="I2900" s="32"/>
      <c r="J2900" s="28">
        <f t="shared" si="2577"/>
        <v>0</v>
      </c>
      <c r="K2900" s="29"/>
      <c r="L2900" s="29"/>
      <c r="M2900" s="29"/>
      <c r="N2900" s="29"/>
      <c r="O2900" s="29"/>
      <c r="P2900" s="30">
        <f t="shared" si="2579"/>
        <v>0</v>
      </c>
      <c r="Q2900" s="31">
        <f t="shared" si="2578"/>
        <v>0</v>
      </c>
    </row>
    <row r="2901" spans="1:17" x14ac:dyDescent="0.2">
      <c r="A2901" s="10"/>
      <c r="B2901" s="26"/>
      <c r="C2901" s="11">
        <v>1991</v>
      </c>
      <c r="D2901" s="32">
        <f>SPFI_CLB14!$D$14</f>
        <v>0.62776900000000002</v>
      </c>
      <c r="E2901" s="32"/>
      <c r="F2901" s="32"/>
      <c r="G2901" s="32"/>
      <c r="H2901" s="32"/>
      <c r="I2901" s="32"/>
      <c r="J2901" s="28">
        <f t="shared" si="2577"/>
        <v>0</v>
      </c>
      <c r="K2901" s="29"/>
      <c r="L2901" s="29"/>
      <c r="M2901" s="29"/>
      <c r="N2901" s="29"/>
      <c r="O2901" s="29"/>
      <c r="P2901" s="30">
        <f t="shared" si="2579"/>
        <v>0</v>
      </c>
      <c r="Q2901" s="31">
        <f t="shared" si="2578"/>
        <v>0</v>
      </c>
    </row>
    <row r="2902" spans="1:17" x14ac:dyDescent="0.2">
      <c r="A2902" s="10"/>
      <c r="B2902" s="26"/>
      <c r="C2902" s="11">
        <v>1992</v>
      </c>
      <c r="D2902" s="32">
        <f>SPFI_CLB14!$D$15</f>
        <v>0.43504100000000001</v>
      </c>
      <c r="E2902" s="32"/>
      <c r="F2902" s="32"/>
      <c r="G2902" s="32"/>
      <c r="H2902" s="32"/>
      <c r="I2902" s="32"/>
      <c r="J2902" s="28">
        <f t="shared" si="2577"/>
        <v>0</v>
      </c>
      <c r="K2902" s="29"/>
      <c r="L2902" s="29"/>
      <c r="M2902" s="29"/>
      <c r="N2902" s="29"/>
      <c r="O2902" s="29"/>
      <c r="P2902" s="30">
        <f t="shared" si="2579"/>
        <v>0</v>
      </c>
      <c r="Q2902" s="31">
        <f t="shared" si="2578"/>
        <v>0</v>
      </c>
    </row>
    <row r="2903" spans="1:17" x14ac:dyDescent="0.2">
      <c r="A2903" s="10"/>
      <c r="B2903" s="26"/>
      <c r="C2903" s="11">
        <v>1993</v>
      </c>
      <c r="D2903" s="32">
        <f>SPFI_CLB14!$D$16</f>
        <v>0.499164</v>
      </c>
      <c r="E2903" s="32"/>
      <c r="F2903" s="32"/>
      <c r="G2903" s="32"/>
      <c r="H2903" s="32"/>
      <c r="I2903" s="32"/>
      <c r="J2903" s="28">
        <f t="shared" si="2577"/>
        <v>0</v>
      </c>
      <c r="K2903" s="29"/>
      <c r="L2903" s="29"/>
      <c r="M2903" s="29"/>
      <c r="N2903" s="29"/>
      <c r="O2903" s="29"/>
      <c r="P2903" s="30">
        <f t="shared" si="2579"/>
        <v>0</v>
      </c>
      <c r="Q2903" s="31">
        <f t="shared" si="2578"/>
        <v>0</v>
      </c>
    </row>
    <row r="2904" spans="1:17" x14ac:dyDescent="0.2">
      <c r="A2904" s="10"/>
      <c r="B2904" s="26"/>
      <c r="C2904" s="11">
        <v>1994</v>
      </c>
      <c r="D2904" s="32">
        <f>SPFI_CLB14!$D$17</f>
        <v>0.59591300000000003</v>
      </c>
      <c r="E2904" s="32"/>
      <c r="F2904" s="32"/>
      <c r="G2904" s="32"/>
      <c r="H2904" s="32"/>
      <c r="I2904" s="32"/>
      <c r="J2904" s="28">
        <f t="shared" si="2577"/>
        <v>0</v>
      </c>
      <c r="K2904" s="29"/>
      <c r="L2904" s="29"/>
      <c r="M2904" s="29"/>
      <c r="N2904" s="29"/>
      <c r="O2904" s="29"/>
      <c r="P2904" s="30">
        <f t="shared" si="2579"/>
        <v>0</v>
      </c>
      <c r="Q2904" s="31">
        <f t="shared" si="2578"/>
        <v>0</v>
      </c>
    </row>
    <row r="2905" spans="1:17" x14ac:dyDescent="0.2">
      <c r="A2905" s="10"/>
      <c r="B2905" s="26"/>
      <c r="C2905" s="11">
        <v>1995</v>
      </c>
      <c r="D2905" s="32">
        <f>SPFI_CLB14!$D$18</f>
        <v>0.25400800000000001</v>
      </c>
      <c r="E2905" s="32"/>
      <c r="F2905" s="32"/>
      <c r="G2905" s="32"/>
      <c r="H2905" s="32"/>
      <c r="I2905" s="32"/>
      <c r="J2905" s="28">
        <f t="shared" ref="J2905" si="2580">D2905*J$93</f>
        <v>0</v>
      </c>
      <c r="K2905" s="29"/>
      <c r="L2905" s="29"/>
      <c r="M2905" s="29"/>
      <c r="N2905" s="29"/>
      <c r="O2905" s="29"/>
      <c r="P2905" s="30">
        <f>SUM(J2905:O2905)</f>
        <v>0</v>
      </c>
      <c r="Q2905" s="31">
        <f t="shared" si="2578"/>
        <v>0</v>
      </c>
    </row>
    <row r="2906" spans="1:17" x14ac:dyDescent="0.2">
      <c r="A2906" s="10"/>
      <c r="B2906" s="26"/>
      <c r="C2906" s="11">
        <v>1996</v>
      </c>
      <c r="D2906" s="32">
        <f>SPFI_CLB14!$D$19</f>
        <v>0</v>
      </c>
      <c r="E2906" s="32"/>
      <c r="F2906" s="32"/>
      <c r="G2906" s="32"/>
      <c r="H2906" s="32"/>
      <c r="I2906" s="32"/>
      <c r="J2906" s="28">
        <f t="shared" ref="J2906" si="2581">D2906*J$93</f>
        <v>0</v>
      </c>
      <c r="K2906" s="29"/>
      <c r="L2906" s="29"/>
      <c r="M2906" s="29"/>
      <c r="N2906" s="29"/>
      <c r="O2906" s="29"/>
      <c r="P2906" s="30">
        <f>SUM(J2906:O2906)</f>
        <v>0</v>
      </c>
      <c r="Q2906" s="31">
        <f t="shared" si="2578"/>
        <v>0</v>
      </c>
    </row>
    <row r="2907" spans="1:17" x14ac:dyDescent="0.2">
      <c r="A2907" s="10"/>
      <c r="B2907" s="26"/>
      <c r="C2907" s="11">
        <v>1997</v>
      </c>
      <c r="D2907" s="32">
        <f>SPFI_CLB14!$D$20</f>
        <v>0.201487</v>
      </c>
      <c r="E2907" s="32"/>
      <c r="F2907" s="32"/>
      <c r="G2907" s="32"/>
      <c r="H2907" s="32"/>
      <c r="I2907" s="32"/>
      <c r="J2907" s="28">
        <f t="shared" ref="J2907" si="2582">D2907*J$93</f>
        <v>0</v>
      </c>
      <c r="K2907" s="29"/>
      <c r="L2907" s="29"/>
      <c r="M2907" s="29"/>
      <c r="N2907" s="29"/>
      <c r="O2907" s="29"/>
      <c r="P2907" s="30">
        <f>SUM(J2907:O2907)</f>
        <v>0</v>
      </c>
      <c r="Q2907" s="31">
        <f t="shared" si="2578"/>
        <v>0</v>
      </c>
    </row>
    <row r="2908" spans="1:17" x14ac:dyDescent="0.2">
      <c r="A2908" s="10"/>
      <c r="B2908" s="26"/>
      <c r="C2908" s="11">
        <v>1998</v>
      </c>
      <c r="D2908" s="32">
        <f>SPFI_CLB14!$D$21</f>
        <v>0.37506400000000001</v>
      </c>
      <c r="E2908" s="32"/>
      <c r="F2908" s="32"/>
      <c r="G2908" s="32"/>
      <c r="H2908" s="32"/>
      <c r="I2908" s="32"/>
      <c r="J2908" s="28">
        <f t="shared" ref="J2908" si="2583">D2908*J$93</f>
        <v>0</v>
      </c>
      <c r="K2908" s="29"/>
      <c r="L2908" s="29"/>
      <c r="M2908" s="29"/>
      <c r="N2908" s="29"/>
      <c r="O2908" s="29"/>
      <c r="P2908" s="30">
        <f>SUM(J2908:O2908)</f>
        <v>0</v>
      </c>
      <c r="Q2908" s="31">
        <f t="shared" si="2578"/>
        <v>0</v>
      </c>
    </row>
    <row r="2909" spans="1:17" x14ac:dyDescent="0.2">
      <c r="A2909" s="10"/>
      <c r="B2909" s="26"/>
      <c r="C2909" s="11">
        <v>1999</v>
      </c>
      <c r="D2909" s="32">
        <f>SPFI_CLB14!$D$22</f>
        <v>0.29823699999999997</v>
      </c>
      <c r="E2909" s="32"/>
      <c r="F2909" s="32"/>
      <c r="G2909" s="32"/>
      <c r="H2909" s="32"/>
      <c r="I2909" s="32"/>
      <c r="J2909" s="28">
        <f t="shared" ref="J2909" si="2584">D2909*J$93</f>
        <v>0</v>
      </c>
      <c r="K2909" s="29"/>
      <c r="L2909" s="29"/>
      <c r="M2909" s="29"/>
      <c r="N2909" s="29"/>
      <c r="O2909" s="29"/>
      <c r="P2909" s="30">
        <f>SUM(J2909:O2909)</f>
        <v>0</v>
      </c>
      <c r="Q2909" s="31">
        <f t="shared" ref="Q2909:Q2914" si="2585">IF(C$93&gt;0,P2909/C$93,0)</f>
        <v>0</v>
      </c>
    </row>
    <row r="2910" spans="1:17" x14ac:dyDescent="0.2">
      <c r="A2910" s="10"/>
      <c r="B2910" s="26"/>
      <c r="C2910" s="11">
        <v>2000</v>
      </c>
      <c r="D2910" s="32">
        <f>SPFI_CLB14!$D$23</f>
        <v>8.4414000000000003E-2</v>
      </c>
      <c r="E2910" s="32"/>
      <c r="F2910" s="32"/>
      <c r="G2910" s="32"/>
      <c r="H2910" s="32"/>
      <c r="I2910" s="32"/>
      <c r="J2910" s="28">
        <f t="shared" ref="J2910" si="2586">D2910*J$93</f>
        <v>0</v>
      </c>
      <c r="K2910" s="29"/>
      <c r="L2910" s="29"/>
      <c r="M2910" s="29"/>
      <c r="N2910" s="29"/>
      <c r="O2910" s="29"/>
      <c r="P2910" s="30">
        <f t="shared" ref="P2910:P2915" si="2587">SUM(J2910:O2910)</f>
        <v>0</v>
      </c>
      <c r="Q2910" s="31">
        <f t="shared" si="2585"/>
        <v>0</v>
      </c>
    </row>
    <row r="2911" spans="1:17" x14ac:dyDescent="0.2">
      <c r="A2911" s="10"/>
      <c r="B2911" s="26"/>
      <c r="C2911" s="11">
        <v>2001</v>
      </c>
      <c r="D2911" s="32">
        <f>SPFI_CLB14!$D$24</f>
        <v>7.8909000000000007E-2</v>
      </c>
      <c r="E2911" s="32"/>
      <c r="F2911" s="32"/>
      <c r="G2911" s="32"/>
      <c r="H2911" s="32"/>
      <c r="I2911" s="32"/>
      <c r="J2911" s="28">
        <f t="shared" ref="J2911" si="2588">D2911*J$93</f>
        <v>0</v>
      </c>
      <c r="K2911" s="29"/>
      <c r="L2911" s="29"/>
      <c r="M2911" s="29"/>
      <c r="N2911" s="29"/>
      <c r="O2911" s="29"/>
      <c r="P2911" s="30">
        <f t="shared" si="2587"/>
        <v>0</v>
      </c>
      <c r="Q2911" s="31">
        <f t="shared" si="2585"/>
        <v>0</v>
      </c>
    </row>
    <row r="2912" spans="1:17" x14ac:dyDescent="0.2">
      <c r="A2912" s="10"/>
      <c r="B2912" s="26"/>
      <c r="C2912" s="11">
        <v>2002</v>
      </c>
      <c r="D2912" s="32">
        <f>SPFI_CLB14!$D$25</f>
        <v>0.29974699999999999</v>
      </c>
      <c r="E2912" s="32"/>
      <c r="F2912" s="32"/>
      <c r="G2912" s="32"/>
      <c r="H2912" s="32"/>
      <c r="I2912" s="32"/>
      <c r="J2912" s="28">
        <f t="shared" ref="J2912" si="2589">D2912*J$93</f>
        <v>0</v>
      </c>
      <c r="K2912" s="29"/>
      <c r="L2912" s="29"/>
      <c r="M2912" s="29"/>
      <c r="N2912" s="29"/>
      <c r="O2912" s="29"/>
      <c r="P2912" s="30">
        <f t="shared" si="2587"/>
        <v>0</v>
      </c>
      <c r="Q2912" s="31">
        <f t="shared" si="2585"/>
        <v>0</v>
      </c>
    </row>
    <row r="2913" spans="1:17" x14ac:dyDescent="0.2">
      <c r="A2913" s="10"/>
      <c r="B2913" s="26"/>
      <c r="C2913" s="11">
        <v>2003</v>
      </c>
      <c r="D2913" s="32">
        <f>SPFI_CLB14!$D$26</f>
        <v>0.20691100000000001</v>
      </c>
      <c r="E2913" s="32"/>
      <c r="F2913" s="32"/>
      <c r="G2913" s="32"/>
      <c r="H2913" s="32"/>
      <c r="I2913" s="32"/>
      <c r="J2913" s="28">
        <f t="shared" ref="J2913" si="2590">D2913*J$93</f>
        <v>0</v>
      </c>
      <c r="K2913" s="29"/>
      <c r="L2913" s="29"/>
      <c r="M2913" s="29"/>
      <c r="N2913" s="29"/>
      <c r="O2913" s="29"/>
      <c r="P2913" s="30">
        <f t="shared" si="2587"/>
        <v>0</v>
      </c>
      <c r="Q2913" s="31">
        <f t="shared" si="2585"/>
        <v>0</v>
      </c>
    </row>
    <row r="2914" spans="1:17" x14ac:dyDescent="0.2">
      <c r="A2914" s="10"/>
      <c r="B2914" s="26"/>
      <c r="C2914" s="11">
        <v>2004</v>
      </c>
      <c r="D2914" s="32">
        <f>SPFI_CLB14!$D$27</f>
        <v>0.269237</v>
      </c>
      <c r="E2914" s="32"/>
      <c r="F2914" s="32"/>
      <c r="G2914" s="32"/>
      <c r="H2914" s="32"/>
      <c r="I2914" s="32"/>
      <c r="J2914" s="28">
        <f t="shared" ref="J2914" si="2591">D2914*J$93</f>
        <v>0</v>
      </c>
      <c r="K2914" s="29"/>
      <c r="L2914" s="29"/>
      <c r="M2914" s="29"/>
      <c r="N2914" s="29"/>
      <c r="O2914" s="29"/>
      <c r="P2914" s="30">
        <f t="shared" si="2587"/>
        <v>0</v>
      </c>
      <c r="Q2914" s="31">
        <f t="shared" si="2585"/>
        <v>0</v>
      </c>
    </row>
    <row r="2915" spans="1:17" x14ac:dyDescent="0.2">
      <c r="A2915" s="10"/>
      <c r="B2915" s="26"/>
      <c r="C2915" s="11">
        <v>2005</v>
      </c>
      <c r="D2915" s="32">
        <f>SPFI_CLB14!$D$28</f>
        <v>0.37848700000000002</v>
      </c>
      <c r="E2915" s="32"/>
      <c r="F2915" s="32"/>
      <c r="G2915" s="32"/>
      <c r="H2915" s="32"/>
      <c r="I2915" s="32"/>
      <c r="J2915" s="28">
        <f t="shared" ref="J2915" si="2592">D2915*J$93</f>
        <v>0</v>
      </c>
      <c r="K2915" s="29"/>
      <c r="L2915" s="29"/>
      <c r="M2915" s="29"/>
      <c r="N2915" s="29"/>
      <c r="O2915" s="29"/>
      <c r="P2915" s="30">
        <f t="shared" si="2587"/>
        <v>0</v>
      </c>
      <c r="Q2915" s="31">
        <f t="shared" ref="Q2915:Q2920" si="2593">IF(C$93&gt;0,P2915/C$93,0)</f>
        <v>0</v>
      </c>
    </row>
    <row r="2916" spans="1:17" x14ac:dyDescent="0.2">
      <c r="A2916" s="10"/>
      <c r="B2916" s="26"/>
      <c r="C2916" s="11">
        <v>2006</v>
      </c>
      <c r="D2916" s="32">
        <f>SPFI_CLB14!$D$29</f>
        <v>0.381023</v>
      </c>
      <c r="E2916" s="32"/>
      <c r="F2916" s="32"/>
      <c r="G2916" s="32"/>
      <c r="H2916" s="32"/>
      <c r="I2916" s="32"/>
      <c r="J2916" s="28">
        <f t="shared" ref="J2916" si="2594">D2916*J$93</f>
        <v>0</v>
      </c>
      <c r="K2916" s="29"/>
      <c r="L2916" s="29"/>
      <c r="M2916" s="29"/>
      <c r="N2916" s="29"/>
      <c r="O2916" s="29"/>
      <c r="P2916" s="30">
        <f t="shared" ref="P2916:P2923" si="2595">SUM(J2916:O2916)</f>
        <v>0</v>
      </c>
      <c r="Q2916" s="31">
        <f t="shared" si="2593"/>
        <v>0</v>
      </c>
    </row>
    <row r="2917" spans="1:17" x14ac:dyDescent="0.2">
      <c r="A2917" s="10"/>
      <c r="B2917" s="26"/>
      <c r="C2917" s="11">
        <v>2007</v>
      </c>
      <c r="D2917" s="32">
        <f>SPFI_CLB14!$D$30</f>
        <v>0.356512</v>
      </c>
      <c r="E2917" s="32"/>
      <c r="F2917" s="32"/>
      <c r="G2917" s="32"/>
      <c r="H2917" s="32"/>
      <c r="I2917" s="32"/>
      <c r="J2917" s="28">
        <f t="shared" ref="J2917" si="2596">D2917*J$93</f>
        <v>0</v>
      </c>
      <c r="K2917" s="29"/>
      <c r="L2917" s="29"/>
      <c r="M2917" s="29"/>
      <c r="N2917" s="29"/>
      <c r="O2917" s="29"/>
      <c r="P2917" s="30">
        <f t="shared" si="2595"/>
        <v>0</v>
      </c>
      <c r="Q2917" s="31">
        <f t="shared" si="2593"/>
        <v>0</v>
      </c>
    </row>
    <row r="2918" spans="1:17" x14ac:dyDescent="0.2">
      <c r="A2918" s="10"/>
      <c r="B2918" s="26"/>
      <c r="C2918" s="11">
        <v>2008</v>
      </c>
      <c r="D2918" s="32">
        <f>SPFI_CLB14!$D$31</f>
        <v>0.25494499999999998</v>
      </c>
      <c r="E2918" s="32"/>
      <c r="F2918" s="32"/>
      <c r="G2918" s="32"/>
      <c r="H2918" s="32"/>
      <c r="I2918" s="32"/>
      <c r="J2918" s="28">
        <f t="shared" ref="J2918" si="2597">D2918*J$93</f>
        <v>0</v>
      </c>
      <c r="K2918" s="29"/>
      <c r="L2918" s="29"/>
      <c r="M2918" s="29"/>
      <c r="N2918" s="29"/>
      <c r="O2918" s="29"/>
      <c r="P2918" s="30">
        <f t="shared" si="2595"/>
        <v>0</v>
      </c>
      <c r="Q2918" s="31">
        <f t="shared" si="2593"/>
        <v>0</v>
      </c>
    </row>
    <row r="2919" spans="1:17" x14ac:dyDescent="0.2">
      <c r="A2919" s="10"/>
      <c r="B2919" s="26"/>
      <c r="C2919" s="11">
        <v>2009</v>
      </c>
      <c r="D2919" s="32">
        <f>SPFI_CLB14!$D$32</f>
        <v>0.52383000000000002</v>
      </c>
      <c r="E2919" s="32"/>
      <c r="F2919" s="32"/>
      <c r="G2919" s="32"/>
      <c r="H2919" s="32"/>
      <c r="I2919" s="32"/>
      <c r="J2919" s="28">
        <f t="shared" ref="J2919" si="2598">D2919*J$93</f>
        <v>0</v>
      </c>
      <c r="K2919" s="29"/>
      <c r="L2919" s="29"/>
      <c r="M2919" s="29"/>
      <c r="N2919" s="29"/>
      <c r="O2919" s="29"/>
      <c r="P2919" s="30">
        <f t="shared" si="2595"/>
        <v>0</v>
      </c>
      <c r="Q2919" s="31">
        <f t="shared" si="2593"/>
        <v>0</v>
      </c>
    </row>
    <row r="2920" spans="1:17" x14ac:dyDescent="0.2">
      <c r="A2920" s="10"/>
      <c r="B2920" s="26"/>
      <c r="C2920" s="11">
        <v>2010</v>
      </c>
      <c r="D2920" s="32">
        <f>SPFI_CLB14!$D$33</f>
        <v>0.31394</v>
      </c>
      <c r="E2920" s="32"/>
      <c r="F2920" s="32"/>
      <c r="G2920" s="32"/>
      <c r="H2920" s="32"/>
      <c r="I2920" s="32"/>
      <c r="J2920" s="28">
        <f t="shared" ref="J2920" si="2599">D2920*J$93</f>
        <v>0</v>
      </c>
      <c r="K2920" s="29"/>
      <c r="L2920" s="29"/>
      <c r="M2920" s="29"/>
      <c r="N2920" s="29"/>
      <c r="O2920" s="29"/>
      <c r="P2920" s="30">
        <f t="shared" si="2595"/>
        <v>0</v>
      </c>
      <c r="Q2920" s="31">
        <f t="shared" si="2593"/>
        <v>0</v>
      </c>
    </row>
    <row r="2921" spans="1:17" x14ac:dyDescent="0.2">
      <c r="A2921" s="10"/>
      <c r="B2921" s="26"/>
      <c r="C2921" s="11">
        <v>2011</v>
      </c>
      <c r="D2921" s="32">
        <f>SPFI_CLB14!$D$34</f>
        <v>0.294348</v>
      </c>
      <c r="E2921" s="32"/>
      <c r="F2921" s="32"/>
      <c r="G2921" s="32"/>
      <c r="H2921" s="32"/>
      <c r="I2921" s="32"/>
      <c r="J2921" s="28">
        <f t="shared" ref="J2921" si="2600">D2921*J$93</f>
        <v>0</v>
      </c>
      <c r="K2921" s="29"/>
      <c r="L2921" s="29"/>
      <c r="M2921" s="29"/>
      <c r="N2921" s="29"/>
      <c r="O2921" s="29"/>
      <c r="P2921" s="30">
        <f t="shared" ref="P2921" si="2601">SUM(J2921:O2921)</f>
        <v>0</v>
      </c>
      <c r="Q2921" s="31">
        <f t="shared" ref="Q2921" si="2602">IF(C$93&gt;0,P2921/C$93,0)</f>
        <v>0</v>
      </c>
    </row>
    <row r="2922" spans="1:17" x14ac:dyDescent="0.2">
      <c r="A2922" s="10"/>
      <c r="B2922" s="26"/>
      <c r="C2922" s="11">
        <v>2012</v>
      </c>
      <c r="D2922" s="32">
        <f>SPFI_CLB14!$D$35</f>
        <v>0.34784100000000001</v>
      </c>
      <c r="E2922" s="32"/>
      <c r="F2922" s="32"/>
      <c r="G2922" s="32"/>
      <c r="H2922" s="32"/>
      <c r="I2922" s="32"/>
      <c r="J2922" s="28">
        <f t="shared" ref="J2922" si="2603">D2922*J$93</f>
        <v>0</v>
      </c>
      <c r="K2922" s="29"/>
      <c r="L2922" s="29"/>
      <c r="M2922" s="29"/>
      <c r="N2922" s="29"/>
      <c r="O2922" s="29"/>
      <c r="P2922" s="30">
        <f t="shared" ref="P2922" si="2604">SUM(J2922:O2922)</f>
        <v>0</v>
      </c>
      <c r="Q2922" s="31">
        <f t="shared" ref="Q2922" si="2605">IF(C$93&gt;0,P2922/C$93,0)</f>
        <v>0</v>
      </c>
    </row>
    <row r="2923" spans="1:17" x14ac:dyDescent="0.2">
      <c r="A2923" s="5" t="s">
        <v>28</v>
      </c>
      <c r="B2923" s="21">
        <v>4</v>
      </c>
      <c r="C2923" s="6">
        <v>1982</v>
      </c>
      <c r="D2923" s="27">
        <f>SPFI_CLB14!$D$5</f>
        <v>0.98153299999999999</v>
      </c>
      <c r="E2923" s="27"/>
      <c r="F2923" s="27"/>
      <c r="G2923" s="27"/>
      <c r="H2923" s="27"/>
      <c r="I2923" s="27"/>
      <c r="J2923" s="33">
        <f t="shared" ref="J2923:J2935" si="2606">D2923*J$94</f>
        <v>0</v>
      </c>
      <c r="K2923" s="27"/>
      <c r="L2923" s="27"/>
      <c r="M2923" s="27"/>
      <c r="N2923" s="27"/>
      <c r="O2923" s="27"/>
      <c r="P2923" s="34">
        <f t="shared" si="2595"/>
        <v>0</v>
      </c>
      <c r="Q2923" s="35">
        <f t="shared" ref="Q2923:Q2939" si="2607">IF(C$94&gt;0,P2923/C$94,0)</f>
        <v>0</v>
      </c>
    </row>
    <row r="2924" spans="1:17" x14ac:dyDescent="0.2">
      <c r="A2924" s="10"/>
      <c r="B2924" s="26"/>
      <c r="C2924" s="11">
        <v>1983</v>
      </c>
      <c r="D2924" s="32">
        <f>SPFI_CLB14!$D$6</f>
        <v>0.93659899999999996</v>
      </c>
      <c r="E2924" s="32"/>
      <c r="F2924" s="32"/>
      <c r="G2924" s="32"/>
      <c r="H2924" s="32"/>
      <c r="I2924" s="32"/>
      <c r="J2924" s="28">
        <f t="shared" si="2606"/>
        <v>0</v>
      </c>
      <c r="K2924" s="29"/>
      <c r="L2924" s="29"/>
      <c r="M2924" s="29"/>
      <c r="N2924" s="29"/>
      <c r="O2924" s="29"/>
      <c r="P2924" s="30">
        <f t="shared" ref="P2924:P2935" si="2608">SUM(J2924:O2924)</f>
        <v>0</v>
      </c>
      <c r="Q2924" s="31">
        <f t="shared" si="2607"/>
        <v>0</v>
      </c>
    </row>
    <row r="2925" spans="1:17" x14ac:dyDescent="0.2">
      <c r="A2925" s="10"/>
      <c r="B2925" s="26"/>
      <c r="C2925" s="11">
        <v>1984</v>
      </c>
      <c r="D2925" s="32">
        <f>SPFI_CLB14!$D$7</f>
        <v>0.92793599999999998</v>
      </c>
      <c r="E2925" s="32"/>
      <c r="F2925" s="32"/>
      <c r="G2925" s="32"/>
      <c r="H2925" s="32"/>
      <c r="I2925" s="32"/>
      <c r="J2925" s="28">
        <f t="shared" si="2606"/>
        <v>0</v>
      </c>
      <c r="K2925" s="29"/>
      <c r="L2925" s="29"/>
      <c r="M2925" s="29"/>
      <c r="N2925" s="29"/>
      <c r="O2925" s="29"/>
      <c r="P2925" s="30">
        <f t="shared" si="2608"/>
        <v>0</v>
      </c>
      <c r="Q2925" s="31">
        <f t="shared" si="2607"/>
        <v>0</v>
      </c>
    </row>
    <row r="2926" spans="1:17" x14ac:dyDescent="0.2">
      <c r="A2926" s="10"/>
      <c r="B2926" s="26"/>
      <c r="C2926" s="11">
        <v>1985</v>
      </c>
      <c r="D2926" s="32">
        <f>SPFI_CLB14!$D$8</f>
        <v>0.90386500000000003</v>
      </c>
      <c r="E2926" s="32"/>
      <c r="F2926" s="32"/>
      <c r="G2926" s="32"/>
      <c r="H2926" s="32"/>
      <c r="I2926" s="32"/>
      <c r="J2926" s="28">
        <f t="shared" si="2606"/>
        <v>0</v>
      </c>
      <c r="K2926" s="29"/>
      <c r="L2926" s="29"/>
      <c r="M2926" s="29"/>
      <c r="N2926" s="29"/>
      <c r="O2926" s="29"/>
      <c r="P2926" s="30">
        <f t="shared" si="2608"/>
        <v>0</v>
      </c>
      <c r="Q2926" s="31">
        <f t="shared" si="2607"/>
        <v>0</v>
      </c>
    </row>
    <row r="2927" spans="1:17" x14ac:dyDescent="0.2">
      <c r="A2927" s="10"/>
      <c r="B2927" s="26"/>
      <c r="C2927" s="11">
        <v>1986</v>
      </c>
      <c r="D2927" s="32">
        <f>SPFI_CLB14!$D$9</f>
        <v>0.73087500000000005</v>
      </c>
      <c r="E2927" s="32"/>
      <c r="F2927" s="32"/>
      <c r="G2927" s="32"/>
      <c r="H2927" s="32"/>
      <c r="I2927" s="32"/>
      <c r="J2927" s="28">
        <f t="shared" si="2606"/>
        <v>0</v>
      </c>
      <c r="K2927" s="29"/>
      <c r="L2927" s="29"/>
      <c r="M2927" s="29"/>
      <c r="N2927" s="29"/>
      <c r="O2927" s="29"/>
      <c r="P2927" s="30">
        <f t="shared" si="2608"/>
        <v>0</v>
      </c>
      <c r="Q2927" s="31">
        <f t="shared" si="2607"/>
        <v>0</v>
      </c>
    </row>
    <row r="2928" spans="1:17" x14ac:dyDescent="0.2">
      <c r="A2928" s="10"/>
      <c r="B2928" s="26"/>
      <c r="C2928" s="11">
        <v>1987</v>
      </c>
      <c r="D2928" s="32">
        <f>SPFI_CLB14!$D$10</f>
        <v>0.71733499999999994</v>
      </c>
      <c r="E2928" s="32"/>
      <c r="F2928" s="32"/>
      <c r="G2928" s="32"/>
      <c r="H2928" s="32"/>
      <c r="I2928" s="32"/>
      <c r="J2928" s="28">
        <f t="shared" si="2606"/>
        <v>0</v>
      </c>
      <c r="K2928" s="29"/>
      <c r="L2928" s="29"/>
      <c r="M2928" s="29"/>
      <c r="N2928" s="29"/>
      <c r="O2928" s="29"/>
      <c r="P2928" s="30">
        <f t="shared" si="2608"/>
        <v>0</v>
      </c>
      <c r="Q2928" s="31">
        <f t="shared" si="2607"/>
        <v>0</v>
      </c>
    </row>
    <row r="2929" spans="1:17" x14ac:dyDescent="0.2">
      <c r="A2929" s="10"/>
      <c r="B2929" s="26"/>
      <c r="C2929" s="11">
        <v>1988</v>
      </c>
      <c r="D2929" s="32">
        <f>SPFI_CLB14!$D$11</f>
        <v>0.64558800000000005</v>
      </c>
      <c r="E2929" s="32"/>
      <c r="F2929" s="32"/>
      <c r="G2929" s="32"/>
      <c r="H2929" s="32"/>
      <c r="I2929" s="32"/>
      <c r="J2929" s="28">
        <f t="shared" si="2606"/>
        <v>0</v>
      </c>
      <c r="K2929" s="29"/>
      <c r="L2929" s="29"/>
      <c r="M2929" s="29"/>
      <c r="N2929" s="29"/>
      <c r="O2929" s="29"/>
      <c r="P2929" s="30">
        <f t="shared" si="2608"/>
        <v>0</v>
      </c>
      <c r="Q2929" s="31">
        <f t="shared" si="2607"/>
        <v>0</v>
      </c>
    </row>
    <row r="2930" spans="1:17" x14ac:dyDescent="0.2">
      <c r="A2930" s="10"/>
      <c r="B2930" s="26"/>
      <c r="C2930" s="11">
        <v>1989</v>
      </c>
      <c r="D2930" s="32">
        <f>SPFI_CLB14!$D$12</f>
        <v>0.65287700000000004</v>
      </c>
      <c r="E2930" s="32"/>
      <c r="F2930" s="32"/>
      <c r="G2930" s="32"/>
      <c r="H2930" s="32"/>
      <c r="I2930" s="32"/>
      <c r="J2930" s="28">
        <f t="shared" si="2606"/>
        <v>0</v>
      </c>
      <c r="K2930" s="29"/>
      <c r="L2930" s="29"/>
      <c r="M2930" s="29"/>
      <c r="N2930" s="29"/>
      <c r="O2930" s="29"/>
      <c r="P2930" s="30">
        <f t="shared" si="2608"/>
        <v>0</v>
      </c>
      <c r="Q2930" s="31">
        <f t="shared" si="2607"/>
        <v>0</v>
      </c>
    </row>
    <row r="2931" spans="1:17" x14ac:dyDescent="0.2">
      <c r="A2931" s="10"/>
      <c r="B2931" s="26"/>
      <c r="C2931" s="11">
        <v>1990</v>
      </c>
      <c r="D2931" s="32">
        <f>SPFI_CLB14!$D$13</f>
        <v>0.56965100000000002</v>
      </c>
      <c r="E2931" s="32"/>
      <c r="F2931" s="32"/>
      <c r="G2931" s="32"/>
      <c r="H2931" s="32"/>
      <c r="I2931" s="32"/>
      <c r="J2931" s="28">
        <f t="shared" si="2606"/>
        <v>0</v>
      </c>
      <c r="K2931" s="29"/>
      <c r="L2931" s="29"/>
      <c r="M2931" s="29"/>
      <c r="N2931" s="29"/>
      <c r="O2931" s="29"/>
      <c r="P2931" s="30">
        <f t="shared" si="2608"/>
        <v>0</v>
      </c>
      <c r="Q2931" s="31">
        <f t="shared" si="2607"/>
        <v>0</v>
      </c>
    </row>
    <row r="2932" spans="1:17" x14ac:dyDescent="0.2">
      <c r="A2932" s="10"/>
      <c r="B2932" s="26"/>
      <c r="C2932" s="11">
        <v>1991</v>
      </c>
      <c r="D2932" s="32">
        <f>SPFI_CLB14!$D$14</f>
        <v>0.62776900000000002</v>
      </c>
      <c r="E2932" s="32"/>
      <c r="F2932" s="32"/>
      <c r="G2932" s="32"/>
      <c r="H2932" s="32"/>
      <c r="I2932" s="32"/>
      <c r="J2932" s="28">
        <f t="shared" si="2606"/>
        <v>0</v>
      </c>
      <c r="K2932" s="29"/>
      <c r="L2932" s="29"/>
      <c r="M2932" s="29"/>
      <c r="N2932" s="29"/>
      <c r="O2932" s="29"/>
      <c r="P2932" s="30">
        <f t="shared" si="2608"/>
        <v>0</v>
      </c>
      <c r="Q2932" s="31">
        <f t="shared" si="2607"/>
        <v>0</v>
      </c>
    </row>
    <row r="2933" spans="1:17" x14ac:dyDescent="0.2">
      <c r="A2933" s="10"/>
      <c r="B2933" s="26"/>
      <c r="C2933" s="11">
        <v>1992</v>
      </c>
      <c r="D2933" s="32">
        <f>SPFI_CLB14!$D$15</f>
        <v>0.43504100000000001</v>
      </c>
      <c r="E2933" s="32"/>
      <c r="F2933" s="32"/>
      <c r="G2933" s="32"/>
      <c r="H2933" s="32"/>
      <c r="I2933" s="32"/>
      <c r="J2933" s="28">
        <f t="shared" si="2606"/>
        <v>0</v>
      </c>
      <c r="K2933" s="29"/>
      <c r="L2933" s="29"/>
      <c r="M2933" s="29"/>
      <c r="N2933" s="29"/>
      <c r="O2933" s="29"/>
      <c r="P2933" s="30">
        <f t="shared" si="2608"/>
        <v>0</v>
      </c>
      <c r="Q2933" s="31">
        <f t="shared" si="2607"/>
        <v>0</v>
      </c>
    </row>
    <row r="2934" spans="1:17" x14ac:dyDescent="0.2">
      <c r="A2934" s="10"/>
      <c r="B2934" s="26"/>
      <c r="C2934" s="11">
        <v>1993</v>
      </c>
      <c r="D2934" s="32">
        <f>SPFI_CLB14!$D$16</f>
        <v>0.499164</v>
      </c>
      <c r="E2934" s="32"/>
      <c r="F2934" s="32"/>
      <c r="G2934" s="32"/>
      <c r="H2934" s="32"/>
      <c r="I2934" s="32"/>
      <c r="J2934" s="28">
        <f t="shared" si="2606"/>
        <v>0</v>
      </c>
      <c r="K2934" s="29"/>
      <c r="L2934" s="29"/>
      <c r="M2934" s="29"/>
      <c r="N2934" s="29"/>
      <c r="O2934" s="29"/>
      <c r="P2934" s="30">
        <f t="shared" si="2608"/>
        <v>0</v>
      </c>
      <c r="Q2934" s="31">
        <f t="shared" si="2607"/>
        <v>0</v>
      </c>
    </row>
    <row r="2935" spans="1:17" x14ac:dyDescent="0.2">
      <c r="A2935" s="10"/>
      <c r="B2935" s="26"/>
      <c r="C2935" s="11">
        <v>1994</v>
      </c>
      <c r="D2935" s="32">
        <f>SPFI_CLB14!$D$17</f>
        <v>0.59591300000000003</v>
      </c>
      <c r="E2935" s="32"/>
      <c r="F2935" s="32"/>
      <c r="G2935" s="32"/>
      <c r="H2935" s="32"/>
      <c r="I2935" s="32"/>
      <c r="J2935" s="28">
        <f t="shared" si="2606"/>
        <v>0</v>
      </c>
      <c r="K2935" s="29"/>
      <c r="L2935" s="29"/>
      <c r="M2935" s="29"/>
      <c r="N2935" s="29"/>
      <c r="O2935" s="29"/>
      <c r="P2935" s="30">
        <f t="shared" si="2608"/>
        <v>0</v>
      </c>
      <c r="Q2935" s="31">
        <f t="shared" si="2607"/>
        <v>0</v>
      </c>
    </row>
    <row r="2936" spans="1:17" x14ac:dyDescent="0.2">
      <c r="A2936" s="10"/>
      <c r="B2936" s="26"/>
      <c r="C2936" s="11">
        <v>1995</v>
      </c>
      <c r="D2936" s="32">
        <f>SPFI_CLB14!$D$18</f>
        <v>0.25400800000000001</v>
      </c>
      <c r="E2936" s="32"/>
      <c r="F2936" s="32"/>
      <c r="G2936" s="32"/>
      <c r="H2936" s="32"/>
      <c r="I2936" s="32"/>
      <c r="J2936" s="28">
        <f t="shared" ref="J2936" si="2609">D2936*J$94</f>
        <v>0</v>
      </c>
      <c r="K2936" s="29"/>
      <c r="L2936" s="29"/>
      <c r="M2936" s="29"/>
      <c r="N2936" s="29"/>
      <c r="O2936" s="29"/>
      <c r="P2936" s="30">
        <f>SUM(J2936:O2936)</f>
        <v>0</v>
      </c>
      <c r="Q2936" s="31">
        <f t="shared" si="2607"/>
        <v>0</v>
      </c>
    </row>
    <row r="2937" spans="1:17" x14ac:dyDescent="0.2">
      <c r="A2937" s="10"/>
      <c r="B2937" s="26"/>
      <c r="C2937" s="11">
        <v>1996</v>
      </c>
      <c r="D2937" s="32">
        <f>SPFI_CLB14!$D$19</f>
        <v>0</v>
      </c>
      <c r="E2937" s="32"/>
      <c r="F2937" s="32"/>
      <c r="G2937" s="32"/>
      <c r="H2937" s="32"/>
      <c r="I2937" s="32"/>
      <c r="J2937" s="28">
        <f t="shared" ref="J2937" si="2610">D2937*J$94</f>
        <v>0</v>
      </c>
      <c r="K2937" s="29"/>
      <c r="L2937" s="29"/>
      <c r="M2937" s="29"/>
      <c r="N2937" s="29"/>
      <c r="O2937" s="29"/>
      <c r="P2937" s="30">
        <f>SUM(J2937:O2937)</f>
        <v>0</v>
      </c>
      <c r="Q2937" s="31">
        <f t="shared" si="2607"/>
        <v>0</v>
      </c>
    </row>
    <row r="2938" spans="1:17" x14ac:dyDescent="0.2">
      <c r="A2938" s="10"/>
      <c r="B2938" s="26"/>
      <c r="C2938" s="11">
        <v>1997</v>
      </c>
      <c r="D2938" s="32">
        <f>SPFI_CLB14!$D$20</f>
        <v>0.201487</v>
      </c>
      <c r="E2938" s="32"/>
      <c r="F2938" s="32"/>
      <c r="G2938" s="32"/>
      <c r="H2938" s="32"/>
      <c r="I2938" s="32"/>
      <c r="J2938" s="28">
        <f t="shared" ref="J2938" si="2611">D2938*J$94</f>
        <v>0</v>
      </c>
      <c r="K2938" s="29"/>
      <c r="L2938" s="29"/>
      <c r="M2938" s="29"/>
      <c r="N2938" s="29"/>
      <c r="O2938" s="29"/>
      <c r="P2938" s="30">
        <f>SUM(J2938:O2938)</f>
        <v>0</v>
      </c>
      <c r="Q2938" s="31">
        <f t="shared" si="2607"/>
        <v>0</v>
      </c>
    </row>
    <row r="2939" spans="1:17" x14ac:dyDescent="0.2">
      <c r="A2939" s="10"/>
      <c r="B2939" s="26"/>
      <c r="C2939" s="11">
        <v>1998</v>
      </c>
      <c r="D2939" s="32">
        <f>SPFI_CLB14!$D$21</f>
        <v>0.37506400000000001</v>
      </c>
      <c r="E2939" s="32"/>
      <c r="F2939" s="32"/>
      <c r="G2939" s="32"/>
      <c r="H2939" s="32"/>
      <c r="I2939" s="32"/>
      <c r="J2939" s="28">
        <f t="shared" ref="J2939" si="2612">D2939*J$94</f>
        <v>0</v>
      </c>
      <c r="K2939" s="29"/>
      <c r="L2939" s="29"/>
      <c r="M2939" s="29"/>
      <c r="N2939" s="29"/>
      <c r="O2939" s="29"/>
      <c r="P2939" s="30">
        <f>SUM(J2939:O2939)</f>
        <v>0</v>
      </c>
      <c r="Q2939" s="31">
        <f t="shared" si="2607"/>
        <v>0</v>
      </c>
    </row>
    <row r="2940" spans="1:17" x14ac:dyDescent="0.2">
      <c r="A2940" s="10"/>
      <c r="B2940" s="26"/>
      <c r="C2940" s="11">
        <v>1999</v>
      </c>
      <c r="D2940" s="32">
        <f>SPFI_CLB14!$D$22</f>
        <v>0.29823699999999997</v>
      </c>
      <c r="E2940" s="32"/>
      <c r="F2940" s="32"/>
      <c r="G2940" s="32"/>
      <c r="H2940" s="32"/>
      <c r="I2940" s="32"/>
      <c r="J2940" s="28">
        <f t="shared" ref="J2940" si="2613">D2940*J$94</f>
        <v>0</v>
      </c>
      <c r="K2940" s="29"/>
      <c r="L2940" s="29"/>
      <c r="M2940" s="29"/>
      <c r="N2940" s="29"/>
      <c r="O2940" s="29"/>
      <c r="P2940" s="30">
        <f>SUM(J2940:O2940)</f>
        <v>0</v>
      </c>
      <c r="Q2940" s="31">
        <f t="shared" ref="Q2940:Q2945" si="2614">IF(C$94&gt;0,P2940/C$94,0)</f>
        <v>0</v>
      </c>
    </row>
    <row r="2941" spans="1:17" x14ac:dyDescent="0.2">
      <c r="A2941" s="10"/>
      <c r="B2941" s="26"/>
      <c r="C2941" s="11">
        <v>2000</v>
      </c>
      <c r="D2941" s="32">
        <f>SPFI_CLB14!$D$23</f>
        <v>8.4414000000000003E-2</v>
      </c>
      <c r="E2941" s="32"/>
      <c r="F2941" s="32"/>
      <c r="G2941" s="32"/>
      <c r="H2941" s="32"/>
      <c r="I2941" s="32"/>
      <c r="J2941" s="28">
        <f t="shared" ref="J2941" si="2615">D2941*J$94</f>
        <v>0</v>
      </c>
      <c r="K2941" s="29"/>
      <c r="L2941" s="29"/>
      <c r="M2941" s="29"/>
      <c r="N2941" s="29"/>
      <c r="O2941" s="29"/>
      <c r="P2941" s="30">
        <f t="shared" ref="P2941:P2946" si="2616">SUM(J2941:O2941)</f>
        <v>0</v>
      </c>
      <c r="Q2941" s="31">
        <f t="shared" si="2614"/>
        <v>0</v>
      </c>
    </row>
    <row r="2942" spans="1:17" x14ac:dyDescent="0.2">
      <c r="A2942" s="10"/>
      <c r="B2942" s="26"/>
      <c r="C2942" s="11">
        <v>2001</v>
      </c>
      <c r="D2942" s="32">
        <f>SPFI_CLB14!$D$24</f>
        <v>7.8909000000000007E-2</v>
      </c>
      <c r="E2942" s="32"/>
      <c r="F2942" s="32"/>
      <c r="G2942" s="32"/>
      <c r="H2942" s="32"/>
      <c r="I2942" s="32"/>
      <c r="J2942" s="28">
        <f t="shared" ref="J2942" si="2617">D2942*J$94</f>
        <v>0</v>
      </c>
      <c r="K2942" s="29"/>
      <c r="L2942" s="29"/>
      <c r="M2942" s="29"/>
      <c r="N2942" s="29"/>
      <c r="O2942" s="29"/>
      <c r="P2942" s="30">
        <f t="shared" si="2616"/>
        <v>0</v>
      </c>
      <c r="Q2942" s="31">
        <f t="shared" si="2614"/>
        <v>0</v>
      </c>
    </row>
    <row r="2943" spans="1:17" x14ac:dyDescent="0.2">
      <c r="A2943" s="10"/>
      <c r="B2943" s="26"/>
      <c r="C2943" s="11">
        <v>2002</v>
      </c>
      <c r="D2943" s="32">
        <f>SPFI_CLB14!$D$25</f>
        <v>0.29974699999999999</v>
      </c>
      <c r="E2943" s="32"/>
      <c r="F2943" s="32"/>
      <c r="G2943" s="32"/>
      <c r="H2943" s="32"/>
      <c r="I2943" s="32"/>
      <c r="J2943" s="28">
        <f t="shared" ref="J2943" si="2618">D2943*J$94</f>
        <v>0</v>
      </c>
      <c r="K2943" s="29"/>
      <c r="L2943" s="29"/>
      <c r="M2943" s="29"/>
      <c r="N2943" s="29"/>
      <c r="O2943" s="29"/>
      <c r="P2943" s="30">
        <f t="shared" si="2616"/>
        <v>0</v>
      </c>
      <c r="Q2943" s="31">
        <f t="shared" si="2614"/>
        <v>0</v>
      </c>
    </row>
    <row r="2944" spans="1:17" x14ac:dyDescent="0.2">
      <c r="A2944" s="10"/>
      <c r="B2944" s="26"/>
      <c r="C2944" s="11">
        <v>2003</v>
      </c>
      <c r="D2944" s="32">
        <f>SPFI_CLB14!$D$26</f>
        <v>0.20691100000000001</v>
      </c>
      <c r="E2944" s="32"/>
      <c r="F2944" s="32"/>
      <c r="G2944" s="32"/>
      <c r="H2944" s="32"/>
      <c r="I2944" s="32"/>
      <c r="J2944" s="28">
        <f t="shared" ref="J2944" si="2619">D2944*J$94</f>
        <v>0</v>
      </c>
      <c r="K2944" s="29"/>
      <c r="L2944" s="29"/>
      <c r="M2944" s="29"/>
      <c r="N2944" s="29"/>
      <c r="O2944" s="29"/>
      <c r="P2944" s="30">
        <f t="shared" si="2616"/>
        <v>0</v>
      </c>
      <c r="Q2944" s="31">
        <f t="shared" si="2614"/>
        <v>0</v>
      </c>
    </row>
    <row r="2945" spans="1:17" x14ac:dyDescent="0.2">
      <c r="A2945" s="10"/>
      <c r="B2945" s="26"/>
      <c r="C2945" s="11">
        <v>2004</v>
      </c>
      <c r="D2945" s="32">
        <f>SPFI_CLB14!$D$27</f>
        <v>0.269237</v>
      </c>
      <c r="E2945" s="32"/>
      <c r="F2945" s="32"/>
      <c r="G2945" s="32"/>
      <c r="H2945" s="32"/>
      <c r="I2945" s="32"/>
      <c r="J2945" s="28">
        <f t="shared" ref="J2945" si="2620">D2945*J$94</f>
        <v>0</v>
      </c>
      <c r="K2945" s="29"/>
      <c r="L2945" s="29"/>
      <c r="M2945" s="29"/>
      <c r="N2945" s="29"/>
      <c r="O2945" s="29"/>
      <c r="P2945" s="30">
        <f t="shared" si="2616"/>
        <v>0</v>
      </c>
      <c r="Q2945" s="31">
        <f t="shared" si="2614"/>
        <v>0</v>
      </c>
    </row>
    <row r="2946" spans="1:17" x14ac:dyDescent="0.2">
      <c r="A2946" s="10"/>
      <c r="B2946" s="26"/>
      <c r="C2946" s="11">
        <v>2005</v>
      </c>
      <c r="D2946" s="32">
        <f>SPFI_CLB14!$D$28</f>
        <v>0.37848700000000002</v>
      </c>
      <c r="E2946" s="32"/>
      <c r="F2946" s="32"/>
      <c r="G2946" s="32"/>
      <c r="H2946" s="32"/>
      <c r="I2946" s="32"/>
      <c r="J2946" s="28">
        <f t="shared" ref="J2946" si="2621">D2946*J$94</f>
        <v>0</v>
      </c>
      <c r="K2946" s="29"/>
      <c r="L2946" s="29"/>
      <c r="M2946" s="29"/>
      <c r="N2946" s="29"/>
      <c r="O2946" s="29"/>
      <c r="P2946" s="30">
        <f t="shared" si="2616"/>
        <v>0</v>
      </c>
      <c r="Q2946" s="31">
        <f t="shared" ref="Q2946:Q2951" si="2622">IF(C$94&gt;0,P2946/C$94,0)</f>
        <v>0</v>
      </c>
    </row>
    <row r="2947" spans="1:17" x14ac:dyDescent="0.2">
      <c r="A2947" s="10"/>
      <c r="B2947" s="26"/>
      <c r="C2947" s="11">
        <v>2006</v>
      </c>
      <c r="D2947" s="32">
        <f>SPFI_CLB14!$D$29</f>
        <v>0.381023</v>
      </c>
      <c r="E2947" s="32"/>
      <c r="F2947" s="32"/>
      <c r="G2947" s="32"/>
      <c r="H2947" s="32"/>
      <c r="I2947" s="32"/>
      <c r="J2947" s="28">
        <f t="shared" ref="J2947" si="2623">D2947*J$94</f>
        <v>0</v>
      </c>
      <c r="K2947" s="29"/>
      <c r="L2947" s="29"/>
      <c r="M2947" s="29"/>
      <c r="N2947" s="29"/>
      <c r="O2947" s="29"/>
      <c r="P2947" s="30">
        <f t="shared" ref="P2947:P2954" si="2624">SUM(J2947:O2947)</f>
        <v>0</v>
      </c>
      <c r="Q2947" s="31">
        <f t="shared" si="2622"/>
        <v>0</v>
      </c>
    </row>
    <row r="2948" spans="1:17" x14ac:dyDescent="0.2">
      <c r="A2948" s="10"/>
      <c r="B2948" s="26"/>
      <c r="C2948" s="11">
        <v>2007</v>
      </c>
      <c r="D2948" s="32">
        <f>SPFI_CLB14!$D$30</f>
        <v>0.356512</v>
      </c>
      <c r="E2948" s="32"/>
      <c r="F2948" s="32"/>
      <c r="G2948" s="32"/>
      <c r="H2948" s="32"/>
      <c r="I2948" s="32"/>
      <c r="J2948" s="28">
        <f t="shared" ref="J2948" si="2625">D2948*J$94</f>
        <v>0</v>
      </c>
      <c r="K2948" s="29"/>
      <c r="L2948" s="29"/>
      <c r="M2948" s="29"/>
      <c r="N2948" s="29"/>
      <c r="O2948" s="29"/>
      <c r="P2948" s="30">
        <f t="shared" si="2624"/>
        <v>0</v>
      </c>
      <c r="Q2948" s="31">
        <f t="shared" si="2622"/>
        <v>0</v>
      </c>
    </row>
    <row r="2949" spans="1:17" x14ac:dyDescent="0.2">
      <c r="A2949" s="10"/>
      <c r="B2949" s="26"/>
      <c r="C2949" s="11">
        <v>2008</v>
      </c>
      <c r="D2949" s="32">
        <f>SPFI_CLB14!$D$31</f>
        <v>0.25494499999999998</v>
      </c>
      <c r="E2949" s="32"/>
      <c r="F2949" s="32"/>
      <c r="G2949" s="32"/>
      <c r="H2949" s="32"/>
      <c r="I2949" s="32"/>
      <c r="J2949" s="28">
        <f t="shared" ref="J2949" si="2626">D2949*J$94</f>
        <v>0</v>
      </c>
      <c r="K2949" s="29"/>
      <c r="L2949" s="29"/>
      <c r="M2949" s="29"/>
      <c r="N2949" s="29"/>
      <c r="O2949" s="29"/>
      <c r="P2949" s="30">
        <f t="shared" si="2624"/>
        <v>0</v>
      </c>
      <c r="Q2949" s="31">
        <f t="shared" si="2622"/>
        <v>0</v>
      </c>
    </row>
    <row r="2950" spans="1:17" x14ac:dyDescent="0.2">
      <c r="A2950" s="10"/>
      <c r="B2950" s="26"/>
      <c r="C2950" s="11">
        <v>2009</v>
      </c>
      <c r="D2950" s="32">
        <f>SPFI_CLB14!$D$32</f>
        <v>0.52383000000000002</v>
      </c>
      <c r="E2950" s="32"/>
      <c r="F2950" s="32"/>
      <c r="G2950" s="32"/>
      <c r="H2950" s="32"/>
      <c r="I2950" s="32"/>
      <c r="J2950" s="28">
        <f t="shared" ref="J2950" si="2627">D2950*J$94</f>
        <v>0</v>
      </c>
      <c r="K2950" s="29"/>
      <c r="L2950" s="29"/>
      <c r="M2950" s="29"/>
      <c r="N2950" s="29"/>
      <c r="O2950" s="29"/>
      <c r="P2950" s="30">
        <f t="shared" si="2624"/>
        <v>0</v>
      </c>
      <c r="Q2950" s="31">
        <f t="shared" si="2622"/>
        <v>0</v>
      </c>
    </row>
    <row r="2951" spans="1:17" x14ac:dyDescent="0.2">
      <c r="A2951" s="10"/>
      <c r="B2951" s="26"/>
      <c r="C2951" s="11">
        <v>2010</v>
      </c>
      <c r="D2951" s="32">
        <f>SPFI_CLB14!$D$33</f>
        <v>0.31394</v>
      </c>
      <c r="E2951" s="32"/>
      <c r="F2951" s="32"/>
      <c r="G2951" s="32"/>
      <c r="H2951" s="32"/>
      <c r="I2951" s="32"/>
      <c r="J2951" s="28">
        <f t="shared" ref="J2951" si="2628">D2951*J$94</f>
        <v>0</v>
      </c>
      <c r="K2951" s="29"/>
      <c r="L2951" s="29"/>
      <c r="M2951" s="29"/>
      <c r="N2951" s="29"/>
      <c r="O2951" s="29"/>
      <c r="P2951" s="30">
        <f t="shared" si="2624"/>
        <v>0</v>
      </c>
      <c r="Q2951" s="31">
        <f t="shared" si="2622"/>
        <v>0</v>
      </c>
    </row>
    <row r="2952" spans="1:17" x14ac:dyDescent="0.2">
      <c r="A2952" s="10"/>
      <c r="B2952" s="26"/>
      <c r="C2952" s="11">
        <v>2011</v>
      </c>
      <c r="D2952" s="32">
        <f>SPFI_CLB14!$D$34</f>
        <v>0.294348</v>
      </c>
      <c r="E2952" s="32"/>
      <c r="F2952" s="32"/>
      <c r="G2952" s="32"/>
      <c r="H2952" s="32"/>
      <c r="I2952" s="32"/>
      <c r="J2952" s="28">
        <f t="shared" ref="J2952" si="2629">D2952*J$94</f>
        <v>0</v>
      </c>
      <c r="K2952" s="29"/>
      <c r="L2952" s="29"/>
      <c r="M2952" s="29"/>
      <c r="N2952" s="29"/>
      <c r="O2952" s="29"/>
      <c r="P2952" s="30">
        <f t="shared" ref="P2952" si="2630">SUM(J2952:O2952)</f>
        <v>0</v>
      </c>
      <c r="Q2952" s="31">
        <f t="shared" ref="Q2952" si="2631">IF(C$94&gt;0,P2952/C$94,0)</f>
        <v>0</v>
      </c>
    </row>
    <row r="2953" spans="1:17" x14ac:dyDescent="0.2">
      <c r="A2953" s="10"/>
      <c r="B2953" s="26"/>
      <c r="C2953" s="11">
        <v>2012</v>
      </c>
      <c r="D2953" s="32">
        <f>SPFI_CLB14!$D$35</f>
        <v>0.34784100000000001</v>
      </c>
      <c r="E2953" s="32"/>
      <c r="F2953" s="32"/>
      <c r="G2953" s="32"/>
      <c r="H2953" s="32"/>
      <c r="I2953" s="32"/>
      <c r="J2953" s="28">
        <f t="shared" ref="J2953" si="2632">D2953*J$94</f>
        <v>0</v>
      </c>
      <c r="K2953" s="29"/>
      <c r="L2953" s="29"/>
      <c r="M2953" s="29"/>
      <c r="N2953" s="29"/>
      <c r="O2953" s="29"/>
      <c r="P2953" s="30">
        <f t="shared" ref="P2953" si="2633">SUM(J2953:O2953)</f>
        <v>0</v>
      </c>
      <c r="Q2953" s="31">
        <f t="shared" ref="Q2953" si="2634">IF(C$94&gt;0,P2953/C$94,0)</f>
        <v>0</v>
      </c>
    </row>
    <row r="2954" spans="1:17" x14ac:dyDescent="0.2">
      <c r="A2954" s="5" t="s">
        <v>28</v>
      </c>
      <c r="B2954" s="21">
        <v>5</v>
      </c>
      <c r="C2954" s="6">
        <v>1982</v>
      </c>
      <c r="D2954" s="27">
        <f>SPFI_CLB14!$D$5</f>
        <v>0.98153299999999999</v>
      </c>
      <c r="E2954" s="27"/>
      <c r="F2954" s="27"/>
      <c r="G2954" s="27"/>
      <c r="H2954" s="27"/>
      <c r="I2954" s="27"/>
      <c r="J2954" s="33">
        <f t="shared" ref="J2954:J2966" si="2635">D2954*J$95</f>
        <v>0</v>
      </c>
      <c r="K2954" s="27"/>
      <c r="L2954" s="27"/>
      <c r="M2954" s="27"/>
      <c r="N2954" s="27"/>
      <c r="O2954" s="27"/>
      <c r="P2954" s="34">
        <f t="shared" si="2624"/>
        <v>0</v>
      </c>
      <c r="Q2954" s="35">
        <f t="shared" ref="Q2954:Q2970" si="2636">IF(C$95&gt;0,P2954/C$95,0)</f>
        <v>0</v>
      </c>
    </row>
    <row r="2955" spans="1:17" x14ac:dyDescent="0.2">
      <c r="A2955" s="10"/>
      <c r="B2955" s="26"/>
      <c r="C2955" s="11">
        <v>1983</v>
      </c>
      <c r="D2955" s="32">
        <f>SPFI_CLB14!$D$6</f>
        <v>0.93659899999999996</v>
      </c>
      <c r="E2955" s="32"/>
      <c r="F2955" s="32"/>
      <c r="G2955" s="32"/>
      <c r="H2955" s="32"/>
      <c r="I2955" s="32"/>
      <c r="J2955" s="28">
        <f t="shared" si="2635"/>
        <v>0</v>
      </c>
      <c r="K2955" s="29"/>
      <c r="L2955" s="29"/>
      <c r="M2955" s="29"/>
      <c r="N2955" s="29"/>
      <c r="O2955" s="29"/>
      <c r="P2955" s="30">
        <f t="shared" ref="P2955:P2966" si="2637">SUM(J2955:O2955)</f>
        <v>0</v>
      </c>
      <c r="Q2955" s="31">
        <f t="shared" si="2636"/>
        <v>0</v>
      </c>
    </row>
    <row r="2956" spans="1:17" x14ac:dyDescent="0.2">
      <c r="A2956" s="10"/>
      <c r="B2956" s="26"/>
      <c r="C2956" s="11">
        <v>1984</v>
      </c>
      <c r="D2956" s="32">
        <f>SPFI_CLB14!$D$7</f>
        <v>0.92793599999999998</v>
      </c>
      <c r="E2956" s="32"/>
      <c r="F2956" s="32"/>
      <c r="G2956" s="32"/>
      <c r="H2956" s="32"/>
      <c r="I2956" s="32"/>
      <c r="J2956" s="28">
        <f t="shared" si="2635"/>
        <v>0</v>
      </c>
      <c r="K2956" s="29"/>
      <c r="L2956" s="29"/>
      <c r="M2956" s="29"/>
      <c r="N2956" s="29"/>
      <c r="O2956" s="29"/>
      <c r="P2956" s="30">
        <f t="shared" si="2637"/>
        <v>0</v>
      </c>
      <c r="Q2956" s="31">
        <f t="shared" si="2636"/>
        <v>0</v>
      </c>
    </row>
    <row r="2957" spans="1:17" x14ac:dyDescent="0.2">
      <c r="A2957" s="10"/>
      <c r="B2957" s="26"/>
      <c r="C2957" s="11">
        <v>1985</v>
      </c>
      <c r="D2957" s="32">
        <f>SPFI_CLB14!$D$8</f>
        <v>0.90386500000000003</v>
      </c>
      <c r="E2957" s="32"/>
      <c r="F2957" s="32"/>
      <c r="G2957" s="32"/>
      <c r="H2957" s="32"/>
      <c r="I2957" s="32"/>
      <c r="J2957" s="28">
        <f t="shared" si="2635"/>
        <v>0</v>
      </c>
      <c r="K2957" s="29"/>
      <c r="L2957" s="29"/>
      <c r="M2957" s="29"/>
      <c r="N2957" s="29"/>
      <c r="O2957" s="29"/>
      <c r="P2957" s="30">
        <f t="shared" si="2637"/>
        <v>0</v>
      </c>
      <c r="Q2957" s="31">
        <f t="shared" si="2636"/>
        <v>0</v>
      </c>
    </row>
    <row r="2958" spans="1:17" x14ac:dyDescent="0.2">
      <c r="A2958" s="10"/>
      <c r="B2958" s="26"/>
      <c r="C2958" s="11">
        <v>1986</v>
      </c>
      <c r="D2958" s="32">
        <f>SPFI_CLB14!$D$9</f>
        <v>0.73087500000000005</v>
      </c>
      <c r="E2958" s="32"/>
      <c r="F2958" s="32"/>
      <c r="G2958" s="32"/>
      <c r="H2958" s="32"/>
      <c r="I2958" s="32"/>
      <c r="J2958" s="28">
        <f t="shared" si="2635"/>
        <v>0</v>
      </c>
      <c r="K2958" s="29"/>
      <c r="L2958" s="29"/>
      <c r="M2958" s="29"/>
      <c r="N2958" s="29"/>
      <c r="O2958" s="29"/>
      <c r="P2958" s="30">
        <f t="shared" si="2637"/>
        <v>0</v>
      </c>
      <c r="Q2958" s="31">
        <f t="shared" si="2636"/>
        <v>0</v>
      </c>
    </row>
    <row r="2959" spans="1:17" x14ac:dyDescent="0.2">
      <c r="A2959" s="10"/>
      <c r="B2959" s="26"/>
      <c r="C2959" s="11">
        <v>1987</v>
      </c>
      <c r="D2959" s="32">
        <f>SPFI_CLB14!$D$10</f>
        <v>0.71733499999999994</v>
      </c>
      <c r="E2959" s="32"/>
      <c r="F2959" s="32"/>
      <c r="G2959" s="32"/>
      <c r="H2959" s="32"/>
      <c r="I2959" s="32"/>
      <c r="J2959" s="28">
        <f t="shared" si="2635"/>
        <v>0</v>
      </c>
      <c r="K2959" s="29"/>
      <c r="L2959" s="29"/>
      <c r="M2959" s="29"/>
      <c r="N2959" s="29"/>
      <c r="O2959" s="29"/>
      <c r="P2959" s="30">
        <f t="shared" si="2637"/>
        <v>0</v>
      </c>
      <c r="Q2959" s="31">
        <f t="shared" si="2636"/>
        <v>0</v>
      </c>
    </row>
    <row r="2960" spans="1:17" x14ac:dyDescent="0.2">
      <c r="A2960" s="10"/>
      <c r="B2960" s="26"/>
      <c r="C2960" s="11">
        <v>1988</v>
      </c>
      <c r="D2960" s="32">
        <f>SPFI_CLB14!$D$11</f>
        <v>0.64558800000000005</v>
      </c>
      <c r="E2960" s="32"/>
      <c r="F2960" s="32"/>
      <c r="G2960" s="32"/>
      <c r="H2960" s="32"/>
      <c r="I2960" s="32"/>
      <c r="J2960" s="28">
        <f t="shared" si="2635"/>
        <v>0</v>
      </c>
      <c r="K2960" s="29"/>
      <c r="L2960" s="29"/>
      <c r="M2960" s="29"/>
      <c r="N2960" s="29"/>
      <c r="O2960" s="29"/>
      <c r="P2960" s="30">
        <f t="shared" si="2637"/>
        <v>0</v>
      </c>
      <c r="Q2960" s="31">
        <f t="shared" si="2636"/>
        <v>0</v>
      </c>
    </row>
    <row r="2961" spans="1:17" x14ac:dyDescent="0.2">
      <c r="A2961" s="10"/>
      <c r="B2961" s="26"/>
      <c r="C2961" s="11">
        <v>1989</v>
      </c>
      <c r="D2961" s="32">
        <f>SPFI_CLB14!$D$12</f>
        <v>0.65287700000000004</v>
      </c>
      <c r="E2961" s="32"/>
      <c r="F2961" s="32"/>
      <c r="G2961" s="32"/>
      <c r="H2961" s="32"/>
      <c r="I2961" s="32"/>
      <c r="J2961" s="28">
        <f t="shared" si="2635"/>
        <v>0</v>
      </c>
      <c r="K2961" s="29"/>
      <c r="L2961" s="29"/>
      <c r="M2961" s="29"/>
      <c r="N2961" s="29"/>
      <c r="O2961" s="29"/>
      <c r="P2961" s="30">
        <f t="shared" si="2637"/>
        <v>0</v>
      </c>
      <c r="Q2961" s="31">
        <f t="shared" si="2636"/>
        <v>0</v>
      </c>
    </row>
    <row r="2962" spans="1:17" x14ac:dyDescent="0.2">
      <c r="A2962" s="10"/>
      <c r="B2962" s="26"/>
      <c r="C2962" s="11">
        <v>1990</v>
      </c>
      <c r="D2962" s="32">
        <f>SPFI_CLB14!$D$13</f>
        <v>0.56965100000000002</v>
      </c>
      <c r="E2962" s="32"/>
      <c r="F2962" s="32"/>
      <c r="G2962" s="32"/>
      <c r="H2962" s="32"/>
      <c r="I2962" s="32"/>
      <c r="J2962" s="28">
        <f t="shared" si="2635"/>
        <v>0</v>
      </c>
      <c r="K2962" s="29"/>
      <c r="L2962" s="29"/>
      <c r="M2962" s="29"/>
      <c r="N2962" s="29"/>
      <c r="O2962" s="29"/>
      <c r="P2962" s="30">
        <f t="shared" si="2637"/>
        <v>0</v>
      </c>
      <c r="Q2962" s="31">
        <f t="shared" si="2636"/>
        <v>0</v>
      </c>
    </row>
    <row r="2963" spans="1:17" x14ac:dyDescent="0.2">
      <c r="A2963" s="10"/>
      <c r="B2963" s="26"/>
      <c r="C2963" s="11">
        <v>1991</v>
      </c>
      <c r="D2963" s="32">
        <f>SPFI_CLB14!$D$14</f>
        <v>0.62776900000000002</v>
      </c>
      <c r="E2963" s="32"/>
      <c r="F2963" s="32"/>
      <c r="G2963" s="32"/>
      <c r="H2963" s="32"/>
      <c r="I2963" s="32"/>
      <c r="J2963" s="28">
        <f t="shared" si="2635"/>
        <v>0</v>
      </c>
      <c r="K2963" s="29"/>
      <c r="L2963" s="29"/>
      <c r="M2963" s="29"/>
      <c r="N2963" s="29"/>
      <c r="O2963" s="29"/>
      <c r="P2963" s="30">
        <f t="shared" si="2637"/>
        <v>0</v>
      </c>
      <c r="Q2963" s="31">
        <f t="shared" si="2636"/>
        <v>0</v>
      </c>
    </row>
    <row r="2964" spans="1:17" x14ac:dyDescent="0.2">
      <c r="A2964" s="10"/>
      <c r="B2964" s="26"/>
      <c r="C2964" s="11">
        <v>1992</v>
      </c>
      <c r="D2964" s="32">
        <f>SPFI_CLB14!$D$15</f>
        <v>0.43504100000000001</v>
      </c>
      <c r="E2964" s="32"/>
      <c r="F2964" s="32"/>
      <c r="G2964" s="32"/>
      <c r="H2964" s="32"/>
      <c r="I2964" s="32"/>
      <c r="J2964" s="28">
        <f t="shared" si="2635"/>
        <v>0</v>
      </c>
      <c r="K2964" s="29"/>
      <c r="L2964" s="29"/>
      <c r="M2964" s="29"/>
      <c r="N2964" s="29"/>
      <c r="O2964" s="29"/>
      <c r="P2964" s="30">
        <f t="shared" si="2637"/>
        <v>0</v>
      </c>
      <c r="Q2964" s="31">
        <f t="shared" si="2636"/>
        <v>0</v>
      </c>
    </row>
    <row r="2965" spans="1:17" x14ac:dyDescent="0.2">
      <c r="A2965" s="10"/>
      <c r="B2965" s="26"/>
      <c r="C2965" s="11">
        <v>1993</v>
      </c>
      <c r="D2965" s="32">
        <f>SPFI_CLB14!$D$16</f>
        <v>0.499164</v>
      </c>
      <c r="E2965" s="32"/>
      <c r="F2965" s="32"/>
      <c r="G2965" s="32"/>
      <c r="H2965" s="32"/>
      <c r="I2965" s="32"/>
      <c r="J2965" s="28">
        <f t="shared" si="2635"/>
        <v>0</v>
      </c>
      <c r="K2965" s="29"/>
      <c r="L2965" s="29"/>
      <c r="M2965" s="29"/>
      <c r="N2965" s="29"/>
      <c r="O2965" s="29"/>
      <c r="P2965" s="30">
        <f t="shared" si="2637"/>
        <v>0</v>
      </c>
      <c r="Q2965" s="31">
        <f t="shared" si="2636"/>
        <v>0</v>
      </c>
    </row>
    <row r="2966" spans="1:17" x14ac:dyDescent="0.2">
      <c r="A2966" s="10"/>
      <c r="B2966" s="26" t="s">
        <v>48</v>
      </c>
      <c r="C2966" s="11">
        <v>1994</v>
      </c>
      <c r="D2966" s="32">
        <f>SPFI_CLB14!$D$17</f>
        <v>0.59591300000000003</v>
      </c>
      <c r="E2966" s="32"/>
      <c r="F2966" s="32"/>
      <c r="G2966" s="32"/>
      <c r="H2966" s="32"/>
      <c r="I2966" s="32"/>
      <c r="J2966" s="28">
        <f t="shared" si="2635"/>
        <v>0</v>
      </c>
      <c r="K2966" s="29"/>
      <c r="L2966" s="29"/>
      <c r="M2966" s="29"/>
      <c r="N2966" s="29"/>
      <c r="O2966" s="29"/>
      <c r="P2966" s="30">
        <f t="shared" si="2637"/>
        <v>0</v>
      </c>
      <c r="Q2966" s="31">
        <f t="shared" si="2636"/>
        <v>0</v>
      </c>
    </row>
    <row r="2967" spans="1:17" x14ac:dyDescent="0.2">
      <c r="A2967" s="10"/>
      <c r="B2967" s="26"/>
      <c r="C2967" s="11">
        <v>1995</v>
      </c>
      <c r="D2967" s="32">
        <f>SPFI_CLB14!$D$18</f>
        <v>0.25400800000000001</v>
      </c>
      <c r="E2967" s="32"/>
      <c r="F2967" s="32"/>
      <c r="G2967" s="32"/>
      <c r="H2967" s="32"/>
      <c r="I2967" s="32"/>
      <c r="J2967" s="28">
        <f t="shared" ref="J2967" si="2638">D2967*J$95</f>
        <v>0</v>
      </c>
      <c r="K2967" s="29"/>
      <c r="L2967" s="29"/>
      <c r="M2967" s="29"/>
      <c r="N2967" s="29"/>
      <c r="O2967" s="29"/>
      <c r="P2967" s="30">
        <f>SUM(J2967:O2967)</f>
        <v>0</v>
      </c>
      <c r="Q2967" s="31">
        <f t="shared" si="2636"/>
        <v>0</v>
      </c>
    </row>
    <row r="2968" spans="1:17" x14ac:dyDescent="0.2">
      <c r="A2968" s="10"/>
      <c r="B2968" s="26"/>
      <c r="C2968" s="11">
        <v>1996</v>
      </c>
      <c r="D2968" s="32">
        <f>SPFI_CLB14!$D$19</f>
        <v>0</v>
      </c>
      <c r="E2968" s="32"/>
      <c r="F2968" s="32"/>
      <c r="G2968" s="32"/>
      <c r="H2968" s="32"/>
      <c r="I2968" s="32"/>
      <c r="J2968" s="28">
        <f t="shared" ref="J2968" si="2639">D2968*J$95</f>
        <v>0</v>
      </c>
      <c r="K2968" s="29"/>
      <c r="L2968" s="29"/>
      <c r="M2968" s="29"/>
      <c r="N2968" s="29"/>
      <c r="O2968" s="29"/>
      <c r="P2968" s="30">
        <f>SUM(J2968:O2968)</f>
        <v>0</v>
      </c>
      <c r="Q2968" s="31">
        <f t="shared" si="2636"/>
        <v>0</v>
      </c>
    </row>
    <row r="2969" spans="1:17" x14ac:dyDescent="0.2">
      <c r="A2969" s="10"/>
      <c r="B2969" s="26"/>
      <c r="C2969" s="11">
        <v>1997</v>
      </c>
      <c r="D2969" s="32">
        <f>SPFI_CLB14!$D$20</f>
        <v>0.201487</v>
      </c>
      <c r="E2969" s="32"/>
      <c r="F2969" s="32"/>
      <c r="G2969" s="32"/>
      <c r="H2969" s="32"/>
      <c r="I2969" s="32"/>
      <c r="J2969" s="28">
        <f t="shared" ref="J2969" si="2640">D2969*J$95</f>
        <v>0</v>
      </c>
      <c r="K2969" s="29"/>
      <c r="L2969" s="29"/>
      <c r="M2969" s="29"/>
      <c r="N2969" s="29"/>
      <c r="O2969" s="29"/>
      <c r="P2969" s="30">
        <f>SUM(J2969:O2969)</f>
        <v>0</v>
      </c>
      <c r="Q2969" s="31">
        <f t="shared" si="2636"/>
        <v>0</v>
      </c>
    </row>
    <row r="2970" spans="1:17" x14ac:dyDescent="0.2">
      <c r="A2970" s="10"/>
      <c r="B2970" s="26"/>
      <c r="C2970" s="11">
        <v>1998</v>
      </c>
      <c r="D2970" s="32">
        <f>SPFI_CLB14!$D$21</f>
        <v>0.37506400000000001</v>
      </c>
      <c r="E2970" s="32"/>
      <c r="F2970" s="32"/>
      <c r="G2970" s="32"/>
      <c r="H2970" s="32"/>
      <c r="I2970" s="32"/>
      <c r="J2970" s="28">
        <f t="shared" ref="J2970" si="2641">D2970*J$95</f>
        <v>0</v>
      </c>
      <c r="K2970" s="29"/>
      <c r="L2970" s="29"/>
      <c r="M2970" s="29"/>
      <c r="N2970" s="29"/>
      <c r="O2970" s="29"/>
      <c r="P2970" s="30">
        <f>SUM(J2970:O2970)</f>
        <v>0</v>
      </c>
      <c r="Q2970" s="31">
        <f t="shared" si="2636"/>
        <v>0</v>
      </c>
    </row>
    <row r="2971" spans="1:17" x14ac:dyDescent="0.2">
      <c r="A2971" s="10"/>
      <c r="B2971" s="26"/>
      <c r="C2971" s="11">
        <v>1999</v>
      </c>
      <c r="D2971" s="32">
        <f>SPFI_CLB14!$D$22</f>
        <v>0.29823699999999997</v>
      </c>
      <c r="E2971" s="32"/>
      <c r="F2971" s="32"/>
      <c r="G2971" s="32"/>
      <c r="H2971" s="32"/>
      <c r="I2971" s="32"/>
      <c r="J2971" s="28">
        <f t="shared" ref="J2971" si="2642">D2971*J$95</f>
        <v>0</v>
      </c>
      <c r="K2971" s="29"/>
      <c r="L2971" s="29"/>
      <c r="M2971" s="29"/>
      <c r="N2971" s="29"/>
      <c r="O2971" s="29"/>
      <c r="P2971" s="30">
        <f>SUM(J2971:O2971)</f>
        <v>0</v>
      </c>
      <c r="Q2971" s="31">
        <f t="shared" ref="Q2971:Q2976" si="2643">IF(C$95&gt;0,P2971/C$95,0)</f>
        <v>0</v>
      </c>
    </row>
    <row r="2972" spans="1:17" x14ac:dyDescent="0.2">
      <c r="A2972" s="10"/>
      <c r="B2972" s="26"/>
      <c r="C2972" s="11">
        <v>2000</v>
      </c>
      <c r="D2972" s="32">
        <f>SPFI_CLB14!$D$23</f>
        <v>8.4414000000000003E-2</v>
      </c>
      <c r="E2972" s="32"/>
      <c r="F2972" s="32"/>
      <c r="G2972" s="32"/>
      <c r="H2972" s="32"/>
      <c r="I2972" s="32"/>
      <c r="J2972" s="28">
        <f t="shared" ref="J2972" si="2644">D2972*J$95</f>
        <v>0</v>
      </c>
      <c r="K2972" s="29"/>
      <c r="L2972" s="29"/>
      <c r="M2972" s="29"/>
      <c r="N2972" s="29"/>
      <c r="O2972" s="29"/>
      <c r="P2972" s="30">
        <f t="shared" ref="P2972:P2977" si="2645">SUM(J2972:O2972)</f>
        <v>0</v>
      </c>
      <c r="Q2972" s="31">
        <f t="shared" si="2643"/>
        <v>0</v>
      </c>
    </row>
    <row r="2973" spans="1:17" x14ac:dyDescent="0.2">
      <c r="A2973" s="10"/>
      <c r="B2973" s="26"/>
      <c r="C2973" s="11">
        <v>2001</v>
      </c>
      <c r="D2973" s="32">
        <f>SPFI_CLB14!$D$24</f>
        <v>7.8909000000000007E-2</v>
      </c>
      <c r="E2973" s="32"/>
      <c r="F2973" s="32"/>
      <c r="G2973" s="32"/>
      <c r="H2973" s="32"/>
      <c r="I2973" s="32"/>
      <c r="J2973" s="28">
        <f t="shared" ref="J2973" si="2646">D2973*J$95</f>
        <v>0</v>
      </c>
      <c r="K2973" s="29"/>
      <c r="L2973" s="29"/>
      <c r="M2973" s="29"/>
      <c r="N2973" s="29"/>
      <c r="O2973" s="29"/>
      <c r="P2973" s="30">
        <f t="shared" si="2645"/>
        <v>0</v>
      </c>
      <c r="Q2973" s="31">
        <f t="shared" si="2643"/>
        <v>0</v>
      </c>
    </row>
    <row r="2974" spans="1:17" x14ac:dyDescent="0.2">
      <c r="A2974" s="10"/>
      <c r="B2974" s="26"/>
      <c r="C2974" s="11">
        <v>2002</v>
      </c>
      <c r="D2974" s="32">
        <f>SPFI_CLB14!$D$25</f>
        <v>0.29974699999999999</v>
      </c>
      <c r="E2974" s="32"/>
      <c r="F2974" s="32"/>
      <c r="G2974" s="32"/>
      <c r="H2974" s="32"/>
      <c r="I2974" s="32"/>
      <c r="J2974" s="28">
        <f t="shared" ref="J2974" si="2647">D2974*J$95</f>
        <v>0</v>
      </c>
      <c r="K2974" s="29"/>
      <c r="L2974" s="29"/>
      <c r="M2974" s="29"/>
      <c r="N2974" s="29"/>
      <c r="O2974" s="29"/>
      <c r="P2974" s="30">
        <f t="shared" si="2645"/>
        <v>0</v>
      </c>
      <c r="Q2974" s="31">
        <f t="shared" si="2643"/>
        <v>0</v>
      </c>
    </row>
    <row r="2975" spans="1:17" x14ac:dyDescent="0.2">
      <c r="A2975" s="10"/>
      <c r="B2975" s="26"/>
      <c r="C2975" s="11">
        <v>2003</v>
      </c>
      <c r="D2975" s="32">
        <f>SPFI_CLB14!$D$26</f>
        <v>0.20691100000000001</v>
      </c>
      <c r="E2975" s="32"/>
      <c r="F2975" s="32"/>
      <c r="G2975" s="32"/>
      <c r="H2975" s="32"/>
      <c r="I2975" s="32"/>
      <c r="J2975" s="28">
        <f t="shared" ref="J2975" si="2648">D2975*J$95</f>
        <v>0</v>
      </c>
      <c r="K2975" s="29"/>
      <c r="L2975" s="29"/>
      <c r="M2975" s="29"/>
      <c r="N2975" s="29"/>
      <c r="O2975" s="29"/>
      <c r="P2975" s="30">
        <f t="shared" si="2645"/>
        <v>0</v>
      </c>
      <c r="Q2975" s="31">
        <f t="shared" si="2643"/>
        <v>0</v>
      </c>
    </row>
    <row r="2976" spans="1:17" x14ac:dyDescent="0.2">
      <c r="A2976" s="10"/>
      <c r="B2976" s="26"/>
      <c r="C2976" s="11">
        <v>2004</v>
      </c>
      <c r="D2976" s="32">
        <f>SPFI_CLB14!$D$27</f>
        <v>0.269237</v>
      </c>
      <c r="E2976" s="32"/>
      <c r="F2976" s="32"/>
      <c r="G2976" s="32"/>
      <c r="H2976" s="32"/>
      <c r="I2976" s="32"/>
      <c r="J2976" s="28">
        <f t="shared" ref="J2976" si="2649">D2976*J$95</f>
        <v>0</v>
      </c>
      <c r="K2976" s="29"/>
      <c r="L2976" s="29"/>
      <c r="M2976" s="29"/>
      <c r="N2976" s="29"/>
      <c r="O2976" s="29"/>
      <c r="P2976" s="30">
        <f t="shared" si="2645"/>
        <v>0</v>
      </c>
      <c r="Q2976" s="31">
        <f t="shared" si="2643"/>
        <v>0</v>
      </c>
    </row>
    <row r="2977" spans="1:17" x14ac:dyDescent="0.2">
      <c r="A2977" s="10"/>
      <c r="B2977" s="26"/>
      <c r="C2977" s="11">
        <v>2005</v>
      </c>
      <c r="D2977" s="32">
        <f>SPFI_CLB14!$D$28</f>
        <v>0.37848700000000002</v>
      </c>
      <c r="E2977" s="32"/>
      <c r="F2977" s="32"/>
      <c r="G2977" s="32"/>
      <c r="H2977" s="32"/>
      <c r="I2977" s="32"/>
      <c r="J2977" s="28">
        <f t="shared" ref="J2977" si="2650">D2977*J$95</f>
        <v>0</v>
      </c>
      <c r="K2977" s="29"/>
      <c r="L2977" s="29"/>
      <c r="M2977" s="29"/>
      <c r="N2977" s="29"/>
      <c r="O2977" s="29"/>
      <c r="P2977" s="30">
        <f t="shared" si="2645"/>
        <v>0</v>
      </c>
      <c r="Q2977" s="31">
        <f t="shared" ref="Q2977:Q2982" si="2651">IF(C$95&gt;0,P2977/C$95,0)</f>
        <v>0</v>
      </c>
    </row>
    <row r="2978" spans="1:17" x14ac:dyDescent="0.2">
      <c r="A2978" s="10"/>
      <c r="B2978" s="26"/>
      <c r="C2978" s="11">
        <v>2006</v>
      </c>
      <c r="D2978" s="32">
        <f>SPFI_CLB14!$D$29</f>
        <v>0.381023</v>
      </c>
      <c r="E2978" s="32"/>
      <c r="F2978" s="32"/>
      <c r="G2978" s="32"/>
      <c r="H2978" s="32"/>
      <c r="I2978" s="32"/>
      <c r="J2978" s="28">
        <f t="shared" ref="J2978" si="2652">D2978*J$95</f>
        <v>0</v>
      </c>
      <c r="K2978" s="29"/>
      <c r="L2978" s="29"/>
      <c r="M2978" s="29"/>
      <c r="N2978" s="29"/>
      <c r="O2978" s="29"/>
      <c r="P2978" s="30">
        <f t="shared" ref="P2978:P2985" si="2653">SUM(J2978:O2978)</f>
        <v>0</v>
      </c>
      <c r="Q2978" s="31">
        <f t="shared" si="2651"/>
        <v>0</v>
      </c>
    </row>
    <row r="2979" spans="1:17" x14ac:dyDescent="0.2">
      <c r="A2979" s="10"/>
      <c r="B2979" s="26"/>
      <c r="C2979" s="11">
        <v>2007</v>
      </c>
      <c r="D2979" s="32">
        <f>SPFI_CLB14!$D$30</f>
        <v>0.356512</v>
      </c>
      <c r="E2979" s="32"/>
      <c r="F2979" s="32"/>
      <c r="G2979" s="32"/>
      <c r="H2979" s="32"/>
      <c r="I2979" s="32"/>
      <c r="J2979" s="28">
        <f t="shared" ref="J2979" si="2654">D2979*J$95</f>
        <v>0</v>
      </c>
      <c r="K2979" s="29"/>
      <c r="L2979" s="29"/>
      <c r="M2979" s="29"/>
      <c r="N2979" s="29"/>
      <c r="O2979" s="29"/>
      <c r="P2979" s="30">
        <f t="shared" si="2653"/>
        <v>0</v>
      </c>
      <c r="Q2979" s="31">
        <f t="shared" si="2651"/>
        <v>0</v>
      </c>
    </row>
    <row r="2980" spans="1:17" x14ac:dyDescent="0.2">
      <c r="A2980" s="10"/>
      <c r="B2980" s="26"/>
      <c r="C2980" s="11">
        <v>2008</v>
      </c>
      <c r="D2980" s="32">
        <f>SPFI_CLB14!$D$31</f>
        <v>0.25494499999999998</v>
      </c>
      <c r="E2980" s="32"/>
      <c r="F2980" s="32"/>
      <c r="G2980" s="32"/>
      <c r="H2980" s="32"/>
      <c r="I2980" s="32"/>
      <c r="J2980" s="28">
        <f t="shared" ref="J2980" si="2655">D2980*J$95</f>
        <v>0</v>
      </c>
      <c r="K2980" s="29"/>
      <c r="L2980" s="29"/>
      <c r="M2980" s="29"/>
      <c r="N2980" s="29"/>
      <c r="O2980" s="29"/>
      <c r="P2980" s="30">
        <f t="shared" si="2653"/>
        <v>0</v>
      </c>
      <c r="Q2980" s="31">
        <f t="shared" si="2651"/>
        <v>0</v>
      </c>
    </row>
    <row r="2981" spans="1:17" x14ac:dyDescent="0.2">
      <c r="A2981" s="10"/>
      <c r="B2981" s="26"/>
      <c r="C2981" s="11">
        <v>2009</v>
      </c>
      <c r="D2981" s="32">
        <f>SPFI_CLB14!$D$32</f>
        <v>0.52383000000000002</v>
      </c>
      <c r="E2981" s="32"/>
      <c r="F2981" s="32"/>
      <c r="G2981" s="32"/>
      <c r="H2981" s="32"/>
      <c r="I2981" s="32"/>
      <c r="J2981" s="28">
        <f t="shared" ref="J2981" si="2656">D2981*J$95</f>
        <v>0</v>
      </c>
      <c r="K2981" s="29"/>
      <c r="L2981" s="29"/>
      <c r="M2981" s="29"/>
      <c r="N2981" s="29"/>
      <c r="O2981" s="29"/>
      <c r="P2981" s="30">
        <f t="shared" si="2653"/>
        <v>0</v>
      </c>
      <c r="Q2981" s="31">
        <f t="shared" si="2651"/>
        <v>0</v>
      </c>
    </row>
    <row r="2982" spans="1:17" x14ac:dyDescent="0.2">
      <c r="A2982" s="10"/>
      <c r="B2982" s="26"/>
      <c r="C2982" s="11">
        <v>2010</v>
      </c>
      <c r="D2982" s="32">
        <f>SPFI_CLB14!$D$33</f>
        <v>0.31394</v>
      </c>
      <c r="E2982" s="32"/>
      <c r="F2982" s="32"/>
      <c r="G2982" s="32"/>
      <c r="H2982" s="32"/>
      <c r="I2982" s="32"/>
      <c r="J2982" s="28">
        <f t="shared" ref="J2982" si="2657">D2982*J$95</f>
        <v>0</v>
      </c>
      <c r="K2982" s="29"/>
      <c r="L2982" s="29"/>
      <c r="M2982" s="29"/>
      <c r="N2982" s="29"/>
      <c r="O2982" s="29"/>
      <c r="P2982" s="30">
        <f t="shared" si="2653"/>
        <v>0</v>
      </c>
      <c r="Q2982" s="31">
        <f t="shared" si="2651"/>
        <v>0</v>
      </c>
    </row>
    <row r="2983" spans="1:17" x14ac:dyDescent="0.2">
      <c r="A2983" s="10"/>
      <c r="B2983" s="26"/>
      <c r="C2983" s="11">
        <v>2011</v>
      </c>
      <c r="D2983" s="32">
        <f>SPFI_CLB14!$D$34</f>
        <v>0.294348</v>
      </c>
      <c r="E2983" s="32"/>
      <c r="F2983" s="32"/>
      <c r="G2983" s="32"/>
      <c r="H2983" s="32"/>
      <c r="I2983" s="32"/>
      <c r="J2983" s="28">
        <f t="shared" ref="J2983" si="2658">D2983*J$95</f>
        <v>0</v>
      </c>
      <c r="K2983" s="29"/>
      <c r="L2983" s="29"/>
      <c r="M2983" s="29"/>
      <c r="N2983" s="29"/>
      <c r="O2983" s="29"/>
      <c r="P2983" s="30">
        <f t="shared" ref="P2983" si="2659">SUM(J2983:O2983)</f>
        <v>0</v>
      </c>
      <c r="Q2983" s="31">
        <f t="shared" ref="Q2983" si="2660">IF(C$95&gt;0,P2983/C$95,0)</f>
        <v>0</v>
      </c>
    </row>
    <row r="2984" spans="1:17" x14ac:dyDescent="0.2">
      <c r="A2984" s="10"/>
      <c r="B2984" s="26"/>
      <c r="C2984" s="11">
        <v>2012</v>
      </c>
      <c r="D2984" s="32">
        <f>SPFI_CLB14!$D$35</f>
        <v>0.34784100000000001</v>
      </c>
      <c r="E2984" s="32"/>
      <c r="F2984" s="32"/>
      <c r="G2984" s="32"/>
      <c r="H2984" s="32"/>
      <c r="I2984" s="32"/>
      <c r="J2984" s="28">
        <f t="shared" ref="J2984" si="2661">D2984*J$95</f>
        <v>0</v>
      </c>
      <c r="K2984" s="29"/>
      <c r="L2984" s="29"/>
      <c r="M2984" s="29"/>
      <c r="N2984" s="29"/>
      <c r="O2984" s="29"/>
      <c r="P2984" s="30">
        <f t="shared" ref="P2984" si="2662">SUM(J2984:O2984)</f>
        <v>0</v>
      </c>
      <c r="Q2984" s="31">
        <f t="shared" ref="Q2984" si="2663">IF(C$95&gt;0,P2984/C$95,0)</f>
        <v>0</v>
      </c>
    </row>
    <row r="2985" spans="1:17" x14ac:dyDescent="0.2">
      <c r="A2985" s="5" t="s">
        <v>29</v>
      </c>
      <c r="B2985" s="21">
        <v>2</v>
      </c>
      <c r="C2985" s="6">
        <v>1982</v>
      </c>
      <c r="D2985" s="27">
        <f>SPFI_CLB14!$D$5</f>
        <v>0.98153299999999999</v>
      </c>
      <c r="E2985" s="27"/>
      <c r="F2985" s="27"/>
      <c r="G2985" s="27"/>
      <c r="H2985" s="27"/>
      <c r="I2985" s="27"/>
      <c r="J2985" s="33">
        <f t="shared" ref="J2985:J2997" si="2664">D2985*J$96</f>
        <v>0</v>
      </c>
      <c r="K2985" s="27"/>
      <c r="L2985" s="27"/>
      <c r="M2985" s="27"/>
      <c r="N2985" s="27"/>
      <c r="O2985" s="27"/>
      <c r="P2985" s="34">
        <f t="shared" si="2653"/>
        <v>0</v>
      </c>
      <c r="Q2985" s="35">
        <f t="shared" ref="Q2985:Q3001" si="2665">IF(C$96&gt;0,P2985/C$96,0)</f>
        <v>0</v>
      </c>
    </row>
    <row r="2986" spans="1:17" x14ac:dyDescent="0.2">
      <c r="A2986" s="10"/>
      <c r="B2986" s="26"/>
      <c r="C2986" s="11">
        <v>1983</v>
      </c>
      <c r="D2986" s="32">
        <f>SPFI_CLB14!$D$6</f>
        <v>0.93659899999999996</v>
      </c>
      <c r="E2986" s="32"/>
      <c r="F2986" s="32"/>
      <c r="G2986" s="32"/>
      <c r="H2986" s="32"/>
      <c r="I2986" s="32"/>
      <c r="J2986" s="28">
        <f t="shared" si="2664"/>
        <v>0</v>
      </c>
      <c r="K2986" s="29"/>
      <c r="L2986" s="29"/>
      <c r="M2986" s="29"/>
      <c r="N2986" s="29"/>
      <c r="O2986" s="29"/>
      <c r="P2986" s="30">
        <f t="shared" ref="P2986:P2997" si="2666">SUM(J2986:O2986)</f>
        <v>0</v>
      </c>
      <c r="Q2986" s="31">
        <f t="shared" si="2665"/>
        <v>0</v>
      </c>
    </row>
    <row r="2987" spans="1:17" x14ac:dyDescent="0.2">
      <c r="A2987" s="10"/>
      <c r="B2987" s="26"/>
      <c r="C2987" s="11">
        <v>1984</v>
      </c>
      <c r="D2987" s="32">
        <f>SPFI_CLB14!$D$7</f>
        <v>0.92793599999999998</v>
      </c>
      <c r="E2987" s="32"/>
      <c r="F2987" s="32"/>
      <c r="G2987" s="32"/>
      <c r="H2987" s="32"/>
      <c r="I2987" s="32"/>
      <c r="J2987" s="28">
        <f t="shared" si="2664"/>
        <v>0</v>
      </c>
      <c r="K2987" s="29"/>
      <c r="L2987" s="29"/>
      <c r="M2987" s="29"/>
      <c r="N2987" s="29"/>
      <c r="O2987" s="29"/>
      <c r="P2987" s="30">
        <f t="shared" si="2666"/>
        <v>0</v>
      </c>
      <c r="Q2987" s="31">
        <f t="shared" si="2665"/>
        <v>0</v>
      </c>
    </row>
    <row r="2988" spans="1:17" x14ac:dyDescent="0.2">
      <c r="A2988" s="10"/>
      <c r="B2988" s="26"/>
      <c r="C2988" s="11">
        <v>1985</v>
      </c>
      <c r="D2988" s="32">
        <f>SPFI_CLB14!$D$8</f>
        <v>0.90386500000000003</v>
      </c>
      <c r="E2988" s="32"/>
      <c r="F2988" s="32"/>
      <c r="G2988" s="32"/>
      <c r="H2988" s="32"/>
      <c r="I2988" s="32"/>
      <c r="J2988" s="28">
        <f t="shared" si="2664"/>
        <v>0</v>
      </c>
      <c r="K2988" s="29"/>
      <c r="L2988" s="29"/>
      <c r="M2988" s="29"/>
      <c r="N2988" s="29"/>
      <c r="O2988" s="29"/>
      <c r="P2988" s="30">
        <f t="shared" si="2666"/>
        <v>0</v>
      </c>
      <c r="Q2988" s="31">
        <f t="shared" si="2665"/>
        <v>0</v>
      </c>
    </row>
    <row r="2989" spans="1:17" x14ac:dyDescent="0.2">
      <c r="A2989" s="10"/>
      <c r="B2989" s="26"/>
      <c r="C2989" s="11">
        <v>1986</v>
      </c>
      <c r="D2989" s="32">
        <f>SPFI_CLB14!$D$9</f>
        <v>0.73087500000000005</v>
      </c>
      <c r="E2989" s="32"/>
      <c r="F2989" s="32"/>
      <c r="G2989" s="32"/>
      <c r="H2989" s="32"/>
      <c r="I2989" s="32"/>
      <c r="J2989" s="28">
        <f t="shared" si="2664"/>
        <v>0</v>
      </c>
      <c r="K2989" s="29"/>
      <c r="L2989" s="29"/>
      <c r="M2989" s="29"/>
      <c r="N2989" s="29"/>
      <c r="O2989" s="29"/>
      <c r="P2989" s="30">
        <f t="shared" si="2666"/>
        <v>0</v>
      </c>
      <c r="Q2989" s="31">
        <f t="shared" si="2665"/>
        <v>0</v>
      </c>
    </row>
    <row r="2990" spans="1:17" x14ac:dyDescent="0.2">
      <c r="A2990" s="10"/>
      <c r="B2990" s="26"/>
      <c r="C2990" s="11">
        <v>1987</v>
      </c>
      <c r="D2990" s="32">
        <f>SPFI_CLB14!$D$10</f>
        <v>0.71733499999999994</v>
      </c>
      <c r="E2990" s="32"/>
      <c r="F2990" s="32"/>
      <c r="G2990" s="32"/>
      <c r="H2990" s="32"/>
      <c r="I2990" s="32"/>
      <c r="J2990" s="28">
        <f t="shared" si="2664"/>
        <v>0</v>
      </c>
      <c r="K2990" s="29"/>
      <c r="L2990" s="29"/>
      <c r="M2990" s="29"/>
      <c r="N2990" s="29"/>
      <c r="O2990" s="29"/>
      <c r="P2990" s="30">
        <f t="shared" si="2666"/>
        <v>0</v>
      </c>
      <c r="Q2990" s="31">
        <f t="shared" si="2665"/>
        <v>0</v>
      </c>
    </row>
    <row r="2991" spans="1:17" x14ac:dyDescent="0.2">
      <c r="A2991" s="10"/>
      <c r="B2991" s="26"/>
      <c r="C2991" s="11">
        <v>1988</v>
      </c>
      <c r="D2991" s="32">
        <f>SPFI_CLB14!$D$11</f>
        <v>0.64558800000000005</v>
      </c>
      <c r="E2991" s="32"/>
      <c r="F2991" s="32"/>
      <c r="G2991" s="32"/>
      <c r="H2991" s="32"/>
      <c r="I2991" s="32"/>
      <c r="J2991" s="28">
        <f t="shared" si="2664"/>
        <v>0</v>
      </c>
      <c r="K2991" s="29"/>
      <c r="L2991" s="29"/>
      <c r="M2991" s="29"/>
      <c r="N2991" s="29"/>
      <c r="O2991" s="29"/>
      <c r="P2991" s="30">
        <f t="shared" si="2666"/>
        <v>0</v>
      </c>
      <c r="Q2991" s="31">
        <f t="shared" si="2665"/>
        <v>0</v>
      </c>
    </row>
    <row r="2992" spans="1:17" x14ac:dyDescent="0.2">
      <c r="A2992" s="10"/>
      <c r="B2992" s="26"/>
      <c r="C2992" s="11">
        <v>1989</v>
      </c>
      <c r="D2992" s="32">
        <f>SPFI_CLB14!$D$12</f>
        <v>0.65287700000000004</v>
      </c>
      <c r="E2992" s="32"/>
      <c r="F2992" s="32"/>
      <c r="G2992" s="32"/>
      <c r="H2992" s="32"/>
      <c r="I2992" s="32"/>
      <c r="J2992" s="28">
        <f t="shared" si="2664"/>
        <v>0</v>
      </c>
      <c r="K2992" s="29"/>
      <c r="L2992" s="29"/>
      <c r="M2992" s="29"/>
      <c r="N2992" s="29"/>
      <c r="O2992" s="29"/>
      <c r="P2992" s="30">
        <f t="shared" si="2666"/>
        <v>0</v>
      </c>
      <c r="Q2992" s="31">
        <f t="shared" si="2665"/>
        <v>0</v>
      </c>
    </row>
    <row r="2993" spans="1:17" x14ac:dyDescent="0.2">
      <c r="A2993" s="10"/>
      <c r="B2993" s="26"/>
      <c r="C2993" s="11">
        <v>1990</v>
      </c>
      <c r="D2993" s="32">
        <f>SPFI_CLB14!$D$13</f>
        <v>0.56965100000000002</v>
      </c>
      <c r="E2993" s="32"/>
      <c r="F2993" s="32"/>
      <c r="G2993" s="32"/>
      <c r="H2993" s="32"/>
      <c r="I2993" s="32"/>
      <c r="J2993" s="28">
        <f t="shared" si="2664"/>
        <v>0</v>
      </c>
      <c r="K2993" s="29"/>
      <c r="L2993" s="29"/>
      <c r="M2993" s="29"/>
      <c r="N2993" s="29"/>
      <c r="O2993" s="29"/>
      <c r="P2993" s="30">
        <f t="shared" si="2666"/>
        <v>0</v>
      </c>
      <c r="Q2993" s="31">
        <f t="shared" si="2665"/>
        <v>0</v>
      </c>
    </row>
    <row r="2994" spans="1:17" x14ac:dyDescent="0.2">
      <c r="A2994" s="10"/>
      <c r="B2994" s="26"/>
      <c r="C2994" s="11">
        <v>1991</v>
      </c>
      <c r="D2994" s="32">
        <f>SPFI_CLB14!$D$14</f>
        <v>0.62776900000000002</v>
      </c>
      <c r="E2994" s="32"/>
      <c r="F2994" s="32"/>
      <c r="G2994" s="32"/>
      <c r="H2994" s="32"/>
      <c r="I2994" s="32"/>
      <c r="J2994" s="28">
        <f t="shared" si="2664"/>
        <v>0</v>
      </c>
      <c r="K2994" s="29"/>
      <c r="L2994" s="29"/>
      <c r="M2994" s="29"/>
      <c r="N2994" s="29"/>
      <c r="O2994" s="29"/>
      <c r="P2994" s="30">
        <f t="shared" si="2666"/>
        <v>0</v>
      </c>
      <c r="Q2994" s="31">
        <f t="shared" si="2665"/>
        <v>0</v>
      </c>
    </row>
    <row r="2995" spans="1:17" x14ac:dyDescent="0.2">
      <c r="A2995" s="10"/>
      <c r="B2995" s="26"/>
      <c r="C2995" s="11">
        <v>1992</v>
      </c>
      <c r="D2995" s="32">
        <f>SPFI_CLB14!$D$15</f>
        <v>0.43504100000000001</v>
      </c>
      <c r="E2995" s="32"/>
      <c r="F2995" s="32"/>
      <c r="G2995" s="32"/>
      <c r="H2995" s="32"/>
      <c r="I2995" s="32"/>
      <c r="J2995" s="28">
        <f t="shared" si="2664"/>
        <v>0</v>
      </c>
      <c r="K2995" s="29"/>
      <c r="L2995" s="29"/>
      <c r="M2995" s="29"/>
      <c r="N2995" s="29"/>
      <c r="O2995" s="29"/>
      <c r="P2995" s="30">
        <f t="shared" si="2666"/>
        <v>0</v>
      </c>
      <c r="Q2995" s="31">
        <f t="shared" si="2665"/>
        <v>0</v>
      </c>
    </row>
    <row r="2996" spans="1:17" x14ac:dyDescent="0.2">
      <c r="A2996" s="10"/>
      <c r="B2996" s="26"/>
      <c r="C2996" s="11">
        <v>1993</v>
      </c>
      <c r="D2996" s="32">
        <f>SPFI_CLB14!$D$16</f>
        <v>0.499164</v>
      </c>
      <c r="E2996" s="32"/>
      <c r="F2996" s="32"/>
      <c r="G2996" s="32"/>
      <c r="H2996" s="32"/>
      <c r="I2996" s="32"/>
      <c r="J2996" s="28">
        <f t="shared" si="2664"/>
        <v>0</v>
      </c>
      <c r="K2996" s="29"/>
      <c r="L2996" s="29"/>
      <c r="M2996" s="29"/>
      <c r="N2996" s="29"/>
      <c r="O2996" s="29"/>
      <c r="P2996" s="30">
        <f t="shared" si="2666"/>
        <v>0</v>
      </c>
      <c r="Q2996" s="31">
        <f t="shared" si="2665"/>
        <v>0</v>
      </c>
    </row>
    <row r="2997" spans="1:17" x14ac:dyDescent="0.2">
      <c r="A2997" s="10"/>
      <c r="B2997" s="26"/>
      <c r="C2997" s="11">
        <v>1994</v>
      </c>
      <c r="D2997" s="32">
        <f>SPFI_CLB14!$D$17</f>
        <v>0.59591300000000003</v>
      </c>
      <c r="E2997" s="32"/>
      <c r="F2997" s="32"/>
      <c r="G2997" s="32"/>
      <c r="H2997" s="32"/>
      <c r="I2997" s="32"/>
      <c r="J2997" s="28">
        <f t="shared" si="2664"/>
        <v>0</v>
      </c>
      <c r="K2997" s="29"/>
      <c r="L2997" s="29"/>
      <c r="M2997" s="29"/>
      <c r="N2997" s="29"/>
      <c r="O2997" s="29"/>
      <c r="P2997" s="30">
        <f t="shared" si="2666"/>
        <v>0</v>
      </c>
      <c r="Q2997" s="31">
        <f t="shared" si="2665"/>
        <v>0</v>
      </c>
    </row>
    <row r="2998" spans="1:17" x14ac:dyDescent="0.2">
      <c r="A2998" s="10"/>
      <c r="B2998" s="26"/>
      <c r="C2998" s="11">
        <v>1995</v>
      </c>
      <c r="D2998" s="32">
        <f>SPFI_CLB14!$D$18</f>
        <v>0.25400800000000001</v>
      </c>
      <c r="E2998" s="32"/>
      <c r="F2998" s="32"/>
      <c r="G2998" s="32"/>
      <c r="H2998" s="32"/>
      <c r="I2998" s="32"/>
      <c r="J2998" s="28">
        <f t="shared" ref="J2998" si="2667">D2998*J$96</f>
        <v>0</v>
      </c>
      <c r="K2998" s="29"/>
      <c r="L2998" s="29"/>
      <c r="M2998" s="29"/>
      <c r="N2998" s="29"/>
      <c r="O2998" s="29"/>
      <c r="P2998" s="30">
        <f>SUM(J2998:O2998)</f>
        <v>0</v>
      </c>
      <c r="Q2998" s="31">
        <f t="shared" si="2665"/>
        <v>0</v>
      </c>
    </row>
    <row r="2999" spans="1:17" x14ac:dyDescent="0.2">
      <c r="A2999" s="10"/>
      <c r="B2999" s="26"/>
      <c r="C2999" s="11">
        <v>1996</v>
      </c>
      <c r="D2999" s="32">
        <f>SPFI_CLB14!$D$19</f>
        <v>0</v>
      </c>
      <c r="E2999" s="32"/>
      <c r="F2999" s="32"/>
      <c r="G2999" s="32"/>
      <c r="H2999" s="32"/>
      <c r="I2999" s="32"/>
      <c r="J2999" s="28">
        <f t="shared" ref="J2999" si="2668">D2999*J$96</f>
        <v>0</v>
      </c>
      <c r="K2999" s="29"/>
      <c r="L2999" s="29"/>
      <c r="M2999" s="29"/>
      <c r="N2999" s="29"/>
      <c r="O2999" s="29"/>
      <c r="P2999" s="30">
        <f>SUM(J2999:O2999)</f>
        <v>0</v>
      </c>
      <c r="Q2999" s="31">
        <f t="shared" si="2665"/>
        <v>0</v>
      </c>
    </row>
    <row r="3000" spans="1:17" x14ac:dyDescent="0.2">
      <c r="A3000" s="10"/>
      <c r="B3000" s="26"/>
      <c r="C3000" s="11">
        <v>1997</v>
      </c>
      <c r="D3000" s="32">
        <f>SPFI_CLB14!$D$20</f>
        <v>0.201487</v>
      </c>
      <c r="E3000" s="32"/>
      <c r="F3000" s="32"/>
      <c r="G3000" s="32"/>
      <c r="H3000" s="32"/>
      <c r="I3000" s="32"/>
      <c r="J3000" s="28">
        <f t="shared" ref="J3000" si="2669">D3000*J$96</f>
        <v>0</v>
      </c>
      <c r="K3000" s="29"/>
      <c r="L3000" s="29"/>
      <c r="M3000" s="29"/>
      <c r="N3000" s="29"/>
      <c r="O3000" s="29"/>
      <c r="P3000" s="30">
        <f>SUM(J3000:O3000)</f>
        <v>0</v>
      </c>
      <c r="Q3000" s="31">
        <f t="shared" si="2665"/>
        <v>0</v>
      </c>
    </row>
    <row r="3001" spans="1:17" x14ac:dyDescent="0.2">
      <c r="A3001" s="10"/>
      <c r="B3001" s="26"/>
      <c r="C3001" s="11">
        <v>1998</v>
      </c>
      <c r="D3001" s="32">
        <f>SPFI_CLB14!$D$21</f>
        <v>0.37506400000000001</v>
      </c>
      <c r="E3001" s="32"/>
      <c r="F3001" s="32"/>
      <c r="G3001" s="32"/>
      <c r="H3001" s="32"/>
      <c r="I3001" s="32"/>
      <c r="J3001" s="28">
        <f t="shared" ref="J3001" si="2670">D3001*J$96</f>
        <v>0</v>
      </c>
      <c r="K3001" s="29"/>
      <c r="L3001" s="29"/>
      <c r="M3001" s="29"/>
      <c r="N3001" s="29"/>
      <c r="O3001" s="29"/>
      <c r="P3001" s="30">
        <f>SUM(J3001:O3001)</f>
        <v>0</v>
      </c>
      <c r="Q3001" s="31">
        <f t="shared" si="2665"/>
        <v>0</v>
      </c>
    </row>
    <row r="3002" spans="1:17" x14ac:dyDescent="0.2">
      <c r="A3002" s="10"/>
      <c r="B3002" s="26"/>
      <c r="C3002" s="11">
        <v>1999</v>
      </c>
      <c r="D3002" s="32">
        <f>SPFI_CLB14!$D$22</f>
        <v>0.29823699999999997</v>
      </c>
      <c r="E3002" s="32"/>
      <c r="F3002" s="32"/>
      <c r="G3002" s="32"/>
      <c r="H3002" s="32"/>
      <c r="I3002" s="32"/>
      <c r="J3002" s="28">
        <f t="shared" ref="J3002" si="2671">D3002*J$96</f>
        <v>0</v>
      </c>
      <c r="K3002" s="29"/>
      <c r="L3002" s="29"/>
      <c r="M3002" s="29"/>
      <c r="N3002" s="29"/>
      <c r="O3002" s="29"/>
      <c r="P3002" s="30">
        <f>SUM(J3002:O3002)</f>
        <v>0</v>
      </c>
      <c r="Q3002" s="31">
        <f t="shared" ref="Q3002:Q3007" si="2672">IF(C$96&gt;0,P3002/C$96,0)</f>
        <v>0</v>
      </c>
    </row>
    <row r="3003" spans="1:17" x14ac:dyDescent="0.2">
      <c r="A3003" s="10"/>
      <c r="B3003" s="26"/>
      <c r="C3003" s="11">
        <v>2000</v>
      </c>
      <c r="D3003" s="32">
        <f>SPFI_CLB14!$D$23</f>
        <v>8.4414000000000003E-2</v>
      </c>
      <c r="E3003" s="32"/>
      <c r="F3003" s="32"/>
      <c r="G3003" s="32"/>
      <c r="H3003" s="32"/>
      <c r="I3003" s="32"/>
      <c r="J3003" s="28">
        <f t="shared" ref="J3003" si="2673">D3003*J$96</f>
        <v>0</v>
      </c>
      <c r="K3003" s="29"/>
      <c r="L3003" s="29"/>
      <c r="M3003" s="29"/>
      <c r="N3003" s="29"/>
      <c r="O3003" s="29"/>
      <c r="P3003" s="30">
        <f t="shared" ref="P3003:P3008" si="2674">SUM(J3003:O3003)</f>
        <v>0</v>
      </c>
      <c r="Q3003" s="31">
        <f t="shared" si="2672"/>
        <v>0</v>
      </c>
    </row>
    <row r="3004" spans="1:17" x14ac:dyDescent="0.2">
      <c r="A3004" s="10"/>
      <c r="B3004" s="26"/>
      <c r="C3004" s="11">
        <v>2001</v>
      </c>
      <c r="D3004" s="32">
        <f>SPFI_CLB14!$D$24</f>
        <v>7.8909000000000007E-2</v>
      </c>
      <c r="E3004" s="32"/>
      <c r="F3004" s="32"/>
      <c r="G3004" s="32"/>
      <c r="H3004" s="32"/>
      <c r="I3004" s="32"/>
      <c r="J3004" s="28">
        <f t="shared" ref="J3004" si="2675">D3004*J$96</f>
        <v>0</v>
      </c>
      <c r="K3004" s="29"/>
      <c r="L3004" s="29"/>
      <c r="M3004" s="29"/>
      <c r="N3004" s="29"/>
      <c r="O3004" s="29"/>
      <c r="P3004" s="30">
        <f t="shared" si="2674"/>
        <v>0</v>
      </c>
      <c r="Q3004" s="31">
        <f t="shared" si="2672"/>
        <v>0</v>
      </c>
    </row>
    <row r="3005" spans="1:17" x14ac:dyDescent="0.2">
      <c r="A3005" s="10"/>
      <c r="B3005" s="26"/>
      <c r="C3005" s="11">
        <v>2002</v>
      </c>
      <c r="D3005" s="32">
        <f>SPFI_CLB14!$D$25</f>
        <v>0.29974699999999999</v>
      </c>
      <c r="E3005" s="32"/>
      <c r="F3005" s="32"/>
      <c r="G3005" s="32"/>
      <c r="H3005" s="32"/>
      <c r="I3005" s="32"/>
      <c r="J3005" s="28">
        <f t="shared" ref="J3005" si="2676">D3005*J$96</f>
        <v>0</v>
      </c>
      <c r="K3005" s="29"/>
      <c r="L3005" s="29"/>
      <c r="M3005" s="29"/>
      <c r="N3005" s="29"/>
      <c r="O3005" s="29"/>
      <c r="P3005" s="30">
        <f t="shared" si="2674"/>
        <v>0</v>
      </c>
      <c r="Q3005" s="31">
        <f t="shared" si="2672"/>
        <v>0</v>
      </c>
    </row>
    <row r="3006" spans="1:17" x14ac:dyDescent="0.2">
      <c r="A3006" s="10"/>
      <c r="B3006" s="26"/>
      <c r="C3006" s="11">
        <v>2003</v>
      </c>
      <c r="D3006" s="32">
        <f>SPFI_CLB14!$D$26</f>
        <v>0.20691100000000001</v>
      </c>
      <c r="E3006" s="32"/>
      <c r="F3006" s="32"/>
      <c r="G3006" s="32"/>
      <c r="H3006" s="32"/>
      <c r="I3006" s="32"/>
      <c r="J3006" s="28">
        <f t="shared" ref="J3006" si="2677">D3006*J$96</f>
        <v>0</v>
      </c>
      <c r="K3006" s="29"/>
      <c r="L3006" s="29"/>
      <c r="M3006" s="29"/>
      <c r="N3006" s="29"/>
      <c r="O3006" s="29"/>
      <c r="P3006" s="30">
        <f t="shared" si="2674"/>
        <v>0</v>
      </c>
      <c r="Q3006" s="31">
        <f t="shared" si="2672"/>
        <v>0</v>
      </c>
    </row>
    <row r="3007" spans="1:17" x14ac:dyDescent="0.2">
      <c r="A3007" s="10"/>
      <c r="B3007" s="26"/>
      <c r="C3007" s="11">
        <v>2004</v>
      </c>
      <c r="D3007" s="32">
        <f>SPFI_CLB14!$D$27</f>
        <v>0.269237</v>
      </c>
      <c r="E3007" s="32"/>
      <c r="F3007" s="32"/>
      <c r="G3007" s="32"/>
      <c r="H3007" s="32"/>
      <c r="I3007" s="32"/>
      <c r="J3007" s="28">
        <f t="shared" ref="J3007" si="2678">D3007*J$96</f>
        <v>0</v>
      </c>
      <c r="K3007" s="29"/>
      <c r="L3007" s="29"/>
      <c r="M3007" s="29"/>
      <c r="N3007" s="29"/>
      <c r="O3007" s="29"/>
      <c r="P3007" s="30">
        <f t="shared" si="2674"/>
        <v>0</v>
      </c>
      <c r="Q3007" s="31">
        <f t="shared" si="2672"/>
        <v>0</v>
      </c>
    </row>
    <row r="3008" spans="1:17" x14ac:dyDescent="0.2">
      <c r="A3008" s="10"/>
      <c r="B3008" s="26"/>
      <c r="C3008" s="11">
        <v>2005</v>
      </c>
      <c r="D3008" s="32">
        <f>SPFI_CLB14!$D$28</f>
        <v>0.37848700000000002</v>
      </c>
      <c r="E3008" s="32"/>
      <c r="F3008" s="32"/>
      <c r="G3008" s="32"/>
      <c r="H3008" s="32"/>
      <c r="I3008" s="32"/>
      <c r="J3008" s="28">
        <f t="shared" ref="J3008" si="2679">D3008*J$96</f>
        <v>0</v>
      </c>
      <c r="K3008" s="29"/>
      <c r="L3008" s="29"/>
      <c r="M3008" s="29"/>
      <c r="N3008" s="29"/>
      <c r="O3008" s="29"/>
      <c r="P3008" s="30">
        <f t="shared" si="2674"/>
        <v>0</v>
      </c>
      <c r="Q3008" s="31">
        <f t="shared" ref="Q3008:Q3013" si="2680">IF(C$96&gt;0,P3008/C$96,0)</f>
        <v>0</v>
      </c>
    </row>
    <row r="3009" spans="1:17" x14ac:dyDescent="0.2">
      <c r="A3009" s="10"/>
      <c r="B3009" s="26"/>
      <c r="C3009" s="11">
        <v>2006</v>
      </c>
      <c r="D3009" s="32">
        <f>SPFI_CLB14!$D$29</f>
        <v>0.381023</v>
      </c>
      <c r="E3009" s="32"/>
      <c r="F3009" s="32"/>
      <c r="G3009" s="32"/>
      <c r="H3009" s="32"/>
      <c r="I3009" s="32"/>
      <c r="J3009" s="28">
        <f t="shared" ref="J3009" si="2681">D3009*J$96</f>
        <v>0</v>
      </c>
      <c r="K3009" s="29"/>
      <c r="L3009" s="29"/>
      <c r="M3009" s="29"/>
      <c r="N3009" s="29"/>
      <c r="O3009" s="29"/>
      <c r="P3009" s="30">
        <f t="shared" ref="P3009:P3016" si="2682">SUM(J3009:O3009)</f>
        <v>0</v>
      </c>
      <c r="Q3009" s="31">
        <f t="shared" si="2680"/>
        <v>0</v>
      </c>
    </row>
    <row r="3010" spans="1:17" x14ac:dyDescent="0.2">
      <c r="A3010" s="10"/>
      <c r="B3010" s="26"/>
      <c r="C3010" s="11">
        <v>2007</v>
      </c>
      <c r="D3010" s="32">
        <f>SPFI_CLB14!$D$30</f>
        <v>0.356512</v>
      </c>
      <c r="E3010" s="32"/>
      <c r="F3010" s="32"/>
      <c r="G3010" s="32"/>
      <c r="H3010" s="32"/>
      <c r="I3010" s="32"/>
      <c r="J3010" s="28">
        <f t="shared" ref="J3010" si="2683">D3010*J$96</f>
        <v>0</v>
      </c>
      <c r="K3010" s="29"/>
      <c r="L3010" s="29"/>
      <c r="M3010" s="29"/>
      <c r="N3010" s="29"/>
      <c r="O3010" s="29"/>
      <c r="P3010" s="30">
        <f t="shared" si="2682"/>
        <v>0</v>
      </c>
      <c r="Q3010" s="31">
        <f t="shared" si="2680"/>
        <v>0</v>
      </c>
    </row>
    <row r="3011" spans="1:17" x14ac:dyDescent="0.2">
      <c r="A3011" s="10"/>
      <c r="B3011" s="26"/>
      <c r="C3011" s="11">
        <v>2008</v>
      </c>
      <c r="D3011" s="32">
        <f>SPFI_CLB14!$D$31</f>
        <v>0.25494499999999998</v>
      </c>
      <c r="E3011" s="32"/>
      <c r="F3011" s="32"/>
      <c r="G3011" s="32"/>
      <c r="H3011" s="32"/>
      <c r="I3011" s="32"/>
      <c r="J3011" s="28">
        <f t="shared" ref="J3011" si="2684">D3011*J$96</f>
        <v>0</v>
      </c>
      <c r="K3011" s="29"/>
      <c r="L3011" s="29"/>
      <c r="M3011" s="29"/>
      <c r="N3011" s="29"/>
      <c r="O3011" s="29"/>
      <c r="P3011" s="30">
        <f t="shared" si="2682"/>
        <v>0</v>
      </c>
      <c r="Q3011" s="31">
        <f t="shared" si="2680"/>
        <v>0</v>
      </c>
    </row>
    <row r="3012" spans="1:17" x14ac:dyDescent="0.2">
      <c r="A3012" s="10"/>
      <c r="B3012" s="26"/>
      <c r="C3012" s="11">
        <v>2009</v>
      </c>
      <c r="D3012" s="32">
        <f>SPFI_CLB14!$D$32</f>
        <v>0.52383000000000002</v>
      </c>
      <c r="E3012" s="32"/>
      <c r="F3012" s="32"/>
      <c r="G3012" s="32"/>
      <c r="H3012" s="32"/>
      <c r="I3012" s="32"/>
      <c r="J3012" s="28">
        <f t="shared" ref="J3012" si="2685">D3012*J$96</f>
        <v>0</v>
      </c>
      <c r="K3012" s="29"/>
      <c r="L3012" s="29"/>
      <c r="M3012" s="29"/>
      <c r="N3012" s="29"/>
      <c r="O3012" s="29"/>
      <c r="P3012" s="30">
        <f t="shared" si="2682"/>
        <v>0</v>
      </c>
      <c r="Q3012" s="31">
        <f t="shared" si="2680"/>
        <v>0</v>
      </c>
    </row>
    <row r="3013" spans="1:17" x14ac:dyDescent="0.2">
      <c r="A3013" s="10"/>
      <c r="B3013" s="26"/>
      <c r="C3013" s="11">
        <v>2010</v>
      </c>
      <c r="D3013" s="32">
        <f>SPFI_CLB14!$D$33</f>
        <v>0.31394</v>
      </c>
      <c r="E3013" s="32"/>
      <c r="F3013" s="32"/>
      <c r="G3013" s="32"/>
      <c r="H3013" s="32"/>
      <c r="I3013" s="32"/>
      <c r="J3013" s="28">
        <f t="shared" ref="J3013" si="2686">D3013*J$96</f>
        <v>0</v>
      </c>
      <c r="K3013" s="29"/>
      <c r="L3013" s="29"/>
      <c r="M3013" s="29"/>
      <c r="N3013" s="29"/>
      <c r="O3013" s="29"/>
      <c r="P3013" s="30">
        <f t="shared" si="2682"/>
        <v>0</v>
      </c>
      <c r="Q3013" s="31">
        <f t="shared" si="2680"/>
        <v>0</v>
      </c>
    </row>
    <row r="3014" spans="1:17" x14ac:dyDescent="0.2">
      <c r="A3014" s="10"/>
      <c r="B3014" s="26"/>
      <c r="C3014" s="11">
        <v>2011</v>
      </c>
      <c r="D3014" s="32">
        <f>SPFI_CLB14!$D$34</f>
        <v>0.294348</v>
      </c>
      <c r="E3014" s="32"/>
      <c r="F3014" s="32"/>
      <c r="G3014" s="32"/>
      <c r="H3014" s="32"/>
      <c r="I3014" s="32"/>
      <c r="J3014" s="28">
        <f t="shared" ref="J3014" si="2687">D3014*J$96</f>
        <v>0</v>
      </c>
      <c r="K3014" s="29"/>
      <c r="L3014" s="29"/>
      <c r="M3014" s="29"/>
      <c r="N3014" s="29"/>
      <c r="O3014" s="29"/>
      <c r="P3014" s="30">
        <f t="shared" ref="P3014" si="2688">SUM(J3014:O3014)</f>
        <v>0</v>
      </c>
      <c r="Q3014" s="31">
        <f t="shared" ref="Q3014" si="2689">IF(C$96&gt;0,P3014/C$96,0)</f>
        <v>0</v>
      </c>
    </row>
    <row r="3015" spans="1:17" x14ac:dyDescent="0.2">
      <c r="A3015" s="10"/>
      <c r="B3015" s="26"/>
      <c r="C3015" s="11">
        <v>2012</v>
      </c>
      <c r="D3015" s="32">
        <f>SPFI_CLB14!$D$35</f>
        <v>0.34784100000000001</v>
      </c>
      <c r="E3015" s="32"/>
      <c r="F3015" s="32"/>
      <c r="G3015" s="32"/>
      <c r="H3015" s="32"/>
      <c r="I3015" s="32"/>
      <c r="J3015" s="28">
        <f t="shared" ref="J3015" si="2690">D3015*J$96</f>
        <v>0</v>
      </c>
      <c r="K3015" s="29"/>
      <c r="L3015" s="29"/>
      <c r="M3015" s="29"/>
      <c r="N3015" s="29"/>
      <c r="O3015" s="29"/>
      <c r="P3015" s="30">
        <f t="shared" ref="P3015" si="2691">SUM(J3015:O3015)</f>
        <v>0</v>
      </c>
      <c r="Q3015" s="31">
        <f t="shared" ref="Q3015" si="2692">IF(C$96&gt;0,P3015/C$96,0)</f>
        <v>0</v>
      </c>
    </row>
    <row r="3016" spans="1:17" x14ac:dyDescent="0.2">
      <c r="A3016" s="5" t="s">
        <v>29</v>
      </c>
      <c r="B3016" s="21">
        <v>3</v>
      </c>
      <c r="C3016" s="6">
        <v>1982</v>
      </c>
      <c r="D3016" s="27">
        <f>SPFI_CLB14!$D$5</f>
        <v>0.98153299999999999</v>
      </c>
      <c r="E3016" s="27"/>
      <c r="F3016" s="27"/>
      <c r="G3016" s="27"/>
      <c r="H3016" s="27"/>
      <c r="I3016" s="27"/>
      <c r="J3016" s="33">
        <f t="shared" ref="J3016:J3028" si="2693">D3016*J$97</f>
        <v>0</v>
      </c>
      <c r="K3016" s="27"/>
      <c r="L3016" s="27"/>
      <c r="M3016" s="27"/>
      <c r="N3016" s="27"/>
      <c r="O3016" s="27"/>
      <c r="P3016" s="34">
        <f t="shared" si="2682"/>
        <v>0</v>
      </c>
      <c r="Q3016" s="35">
        <f t="shared" ref="Q3016:Q3032" si="2694">IF(C$97&gt;0,P3016/C$97,0)</f>
        <v>0</v>
      </c>
    </row>
    <row r="3017" spans="1:17" x14ac:dyDescent="0.2">
      <c r="A3017" s="10"/>
      <c r="B3017" s="26"/>
      <c r="C3017" s="11">
        <v>1983</v>
      </c>
      <c r="D3017" s="32">
        <f>SPFI_CLB14!$D$6</f>
        <v>0.93659899999999996</v>
      </c>
      <c r="E3017" s="32"/>
      <c r="F3017" s="32"/>
      <c r="G3017" s="32"/>
      <c r="H3017" s="32"/>
      <c r="I3017" s="32"/>
      <c r="J3017" s="28">
        <f t="shared" si="2693"/>
        <v>0</v>
      </c>
      <c r="K3017" s="29"/>
      <c r="L3017" s="29"/>
      <c r="M3017" s="29"/>
      <c r="N3017" s="29"/>
      <c r="O3017" s="29"/>
      <c r="P3017" s="30">
        <f t="shared" ref="P3017:P3028" si="2695">SUM(J3017:O3017)</f>
        <v>0</v>
      </c>
      <c r="Q3017" s="31">
        <f t="shared" si="2694"/>
        <v>0</v>
      </c>
    </row>
    <row r="3018" spans="1:17" x14ac:dyDescent="0.2">
      <c r="A3018" s="10"/>
      <c r="B3018" s="26"/>
      <c r="C3018" s="11">
        <v>1984</v>
      </c>
      <c r="D3018" s="32">
        <f>SPFI_CLB14!$D$7</f>
        <v>0.92793599999999998</v>
      </c>
      <c r="E3018" s="32"/>
      <c r="F3018" s="32"/>
      <c r="G3018" s="32"/>
      <c r="H3018" s="32"/>
      <c r="I3018" s="32"/>
      <c r="J3018" s="28">
        <f t="shared" si="2693"/>
        <v>0</v>
      </c>
      <c r="K3018" s="29"/>
      <c r="L3018" s="29"/>
      <c r="M3018" s="29"/>
      <c r="N3018" s="29"/>
      <c r="O3018" s="29"/>
      <c r="P3018" s="30">
        <f t="shared" si="2695"/>
        <v>0</v>
      </c>
      <c r="Q3018" s="31">
        <f t="shared" si="2694"/>
        <v>0</v>
      </c>
    </row>
    <row r="3019" spans="1:17" x14ac:dyDescent="0.2">
      <c r="A3019" s="10"/>
      <c r="B3019" s="26"/>
      <c r="C3019" s="11">
        <v>1985</v>
      </c>
      <c r="D3019" s="32">
        <f>SPFI_CLB14!$D$8</f>
        <v>0.90386500000000003</v>
      </c>
      <c r="E3019" s="32"/>
      <c r="F3019" s="32"/>
      <c r="G3019" s="32"/>
      <c r="H3019" s="32"/>
      <c r="I3019" s="32"/>
      <c r="J3019" s="28">
        <f t="shared" si="2693"/>
        <v>0</v>
      </c>
      <c r="K3019" s="29"/>
      <c r="L3019" s="29"/>
      <c r="M3019" s="29"/>
      <c r="N3019" s="29"/>
      <c r="O3019" s="29"/>
      <c r="P3019" s="30">
        <f t="shared" si="2695"/>
        <v>0</v>
      </c>
      <c r="Q3019" s="31">
        <f t="shared" si="2694"/>
        <v>0</v>
      </c>
    </row>
    <row r="3020" spans="1:17" x14ac:dyDescent="0.2">
      <c r="A3020" s="10"/>
      <c r="B3020" s="26"/>
      <c r="C3020" s="11">
        <v>1986</v>
      </c>
      <c r="D3020" s="32">
        <f>SPFI_CLB14!$D$9</f>
        <v>0.73087500000000005</v>
      </c>
      <c r="E3020" s="32"/>
      <c r="F3020" s="32"/>
      <c r="G3020" s="32"/>
      <c r="H3020" s="32"/>
      <c r="I3020" s="32"/>
      <c r="J3020" s="28">
        <f t="shared" si="2693"/>
        <v>0</v>
      </c>
      <c r="K3020" s="29"/>
      <c r="L3020" s="29"/>
      <c r="M3020" s="29"/>
      <c r="N3020" s="29"/>
      <c r="O3020" s="29"/>
      <c r="P3020" s="30">
        <f t="shared" si="2695"/>
        <v>0</v>
      </c>
      <c r="Q3020" s="31">
        <f t="shared" si="2694"/>
        <v>0</v>
      </c>
    </row>
    <row r="3021" spans="1:17" x14ac:dyDescent="0.2">
      <c r="A3021" s="10"/>
      <c r="B3021" s="26"/>
      <c r="C3021" s="11">
        <v>1987</v>
      </c>
      <c r="D3021" s="32">
        <f>SPFI_CLB14!$D$10</f>
        <v>0.71733499999999994</v>
      </c>
      <c r="E3021" s="32"/>
      <c r="F3021" s="32"/>
      <c r="G3021" s="32"/>
      <c r="H3021" s="32"/>
      <c r="I3021" s="32"/>
      <c r="J3021" s="28">
        <f t="shared" si="2693"/>
        <v>0</v>
      </c>
      <c r="K3021" s="29"/>
      <c r="L3021" s="29"/>
      <c r="M3021" s="29"/>
      <c r="N3021" s="29"/>
      <c r="O3021" s="29"/>
      <c r="P3021" s="30">
        <f t="shared" si="2695"/>
        <v>0</v>
      </c>
      <c r="Q3021" s="31">
        <f t="shared" si="2694"/>
        <v>0</v>
      </c>
    </row>
    <row r="3022" spans="1:17" x14ac:dyDescent="0.2">
      <c r="A3022" s="10"/>
      <c r="B3022" s="26"/>
      <c r="C3022" s="11">
        <v>1988</v>
      </c>
      <c r="D3022" s="32">
        <f>SPFI_CLB14!$D$11</f>
        <v>0.64558800000000005</v>
      </c>
      <c r="E3022" s="32"/>
      <c r="F3022" s="32"/>
      <c r="G3022" s="32"/>
      <c r="H3022" s="32"/>
      <c r="I3022" s="32"/>
      <c r="J3022" s="28">
        <f t="shared" si="2693"/>
        <v>0</v>
      </c>
      <c r="K3022" s="29"/>
      <c r="L3022" s="29"/>
      <c r="M3022" s="29"/>
      <c r="N3022" s="29"/>
      <c r="O3022" s="29"/>
      <c r="P3022" s="30">
        <f t="shared" si="2695"/>
        <v>0</v>
      </c>
      <c r="Q3022" s="31">
        <f t="shared" si="2694"/>
        <v>0</v>
      </c>
    </row>
    <row r="3023" spans="1:17" x14ac:dyDescent="0.2">
      <c r="A3023" s="10"/>
      <c r="B3023" s="26"/>
      <c r="C3023" s="11">
        <v>1989</v>
      </c>
      <c r="D3023" s="32">
        <f>SPFI_CLB14!$D$12</f>
        <v>0.65287700000000004</v>
      </c>
      <c r="E3023" s="32"/>
      <c r="F3023" s="32"/>
      <c r="G3023" s="32"/>
      <c r="H3023" s="32"/>
      <c r="I3023" s="32"/>
      <c r="J3023" s="28">
        <f t="shared" si="2693"/>
        <v>0</v>
      </c>
      <c r="K3023" s="29"/>
      <c r="L3023" s="29"/>
      <c r="M3023" s="29"/>
      <c r="N3023" s="29"/>
      <c r="O3023" s="29"/>
      <c r="P3023" s="30">
        <f t="shared" si="2695"/>
        <v>0</v>
      </c>
      <c r="Q3023" s="31">
        <f t="shared" si="2694"/>
        <v>0</v>
      </c>
    </row>
    <row r="3024" spans="1:17" x14ac:dyDescent="0.2">
      <c r="A3024" s="10"/>
      <c r="B3024" s="26"/>
      <c r="C3024" s="11">
        <v>1990</v>
      </c>
      <c r="D3024" s="32">
        <f>SPFI_CLB14!$D$13</f>
        <v>0.56965100000000002</v>
      </c>
      <c r="E3024" s="32"/>
      <c r="F3024" s="32"/>
      <c r="G3024" s="32"/>
      <c r="H3024" s="32"/>
      <c r="I3024" s="32"/>
      <c r="J3024" s="28">
        <f t="shared" si="2693"/>
        <v>0</v>
      </c>
      <c r="K3024" s="29"/>
      <c r="L3024" s="29"/>
      <c r="M3024" s="29"/>
      <c r="N3024" s="29"/>
      <c r="O3024" s="29"/>
      <c r="P3024" s="30">
        <f t="shared" si="2695"/>
        <v>0</v>
      </c>
      <c r="Q3024" s="31">
        <f t="shared" si="2694"/>
        <v>0</v>
      </c>
    </row>
    <row r="3025" spans="1:17" x14ac:dyDescent="0.2">
      <c r="A3025" s="10"/>
      <c r="B3025" s="26"/>
      <c r="C3025" s="11">
        <v>1991</v>
      </c>
      <c r="D3025" s="32">
        <f>SPFI_CLB14!$D$14</f>
        <v>0.62776900000000002</v>
      </c>
      <c r="E3025" s="32"/>
      <c r="F3025" s="32"/>
      <c r="G3025" s="32"/>
      <c r="H3025" s="32"/>
      <c r="I3025" s="32"/>
      <c r="J3025" s="28">
        <f t="shared" si="2693"/>
        <v>0</v>
      </c>
      <c r="K3025" s="29"/>
      <c r="L3025" s="29"/>
      <c r="M3025" s="29"/>
      <c r="N3025" s="29"/>
      <c r="O3025" s="29"/>
      <c r="P3025" s="30">
        <f t="shared" si="2695"/>
        <v>0</v>
      </c>
      <c r="Q3025" s="31">
        <f t="shared" si="2694"/>
        <v>0</v>
      </c>
    </row>
    <row r="3026" spans="1:17" x14ac:dyDescent="0.2">
      <c r="A3026" s="10"/>
      <c r="B3026" s="26"/>
      <c r="C3026" s="11">
        <v>1992</v>
      </c>
      <c r="D3026" s="32">
        <f>SPFI_CLB14!$D$15</f>
        <v>0.43504100000000001</v>
      </c>
      <c r="E3026" s="32"/>
      <c r="F3026" s="32"/>
      <c r="G3026" s="32"/>
      <c r="H3026" s="32"/>
      <c r="I3026" s="32"/>
      <c r="J3026" s="28">
        <f t="shared" si="2693"/>
        <v>0</v>
      </c>
      <c r="K3026" s="29"/>
      <c r="L3026" s="29"/>
      <c r="M3026" s="29"/>
      <c r="N3026" s="29"/>
      <c r="O3026" s="29"/>
      <c r="P3026" s="30">
        <f t="shared" si="2695"/>
        <v>0</v>
      </c>
      <c r="Q3026" s="31">
        <f t="shared" si="2694"/>
        <v>0</v>
      </c>
    </row>
    <row r="3027" spans="1:17" x14ac:dyDescent="0.2">
      <c r="A3027" s="10"/>
      <c r="B3027" s="26"/>
      <c r="C3027" s="11">
        <v>1993</v>
      </c>
      <c r="D3027" s="32">
        <f>SPFI_CLB14!$D$16</f>
        <v>0.499164</v>
      </c>
      <c r="E3027" s="32"/>
      <c r="F3027" s="32"/>
      <c r="G3027" s="32"/>
      <c r="H3027" s="32"/>
      <c r="I3027" s="32"/>
      <c r="J3027" s="28">
        <f t="shared" si="2693"/>
        <v>0</v>
      </c>
      <c r="K3027" s="29"/>
      <c r="L3027" s="29"/>
      <c r="M3027" s="29"/>
      <c r="N3027" s="29"/>
      <c r="O3027" s="29"/>
      <c r="P3027" s="30">
        <f t="shared" si="2695"/>
        <v>0</v>
      </c>
      <c r="Q3027" s="31">
        <f t="shared" si="2694"/>
        <v>0</v>
      </c>
    </row>
    <row r="3028" spans="1:17" x14ac:dyDescent="0.2">
      <c r="A3028" s="10"/>
      <c r="B3028" s="26"/>
      <c r="C3028" s="11">
        <v>1994</v>
      </c>
      <c r="D3028" s="32">
        <f>SPFI_CLB14!$D$17</f>
        <v>0.59591300000000003</v>
      </c>
      <c r="E3028" s="32"/>
      <c r="F3028" s="32"/>
      <c r="G3028" s="32"/>
      <c r="H3028" s="32"/>
      <c r="I3028" s="32"/>
      <c r="J3028" s="28">
        <f t="shared" si="2693"/>
        <v>0</v>
      </c>
      <c r="K3028" s="29"/>
      <c r="L3028" s="29"/>
      <c r="M3028" s="29"/>
      <c r="N3028" s="29"/>
      <c r="O3028" s="29"/>
      <c r="P3028" s="30">
        <f t="shared" si="2695"/>
        <v>0</v>
      </c>
      <c r="Q3028" s="31">
        <f t="shared" si="2694"/>
        <v>0</v>
      </c>
    </row>
    <row r="3029" spans="1:17" x14ac:dyDescent="0.2">
      <c r="A3029" s="10"/>
      <c r="B3029" s="26"/>
      <c r="C3029" s="11">
        <v>1995</v>
      </c>
      <c r="D3029" s="32">
        <f>SPFI_CLB14!$D$18</f>
        <v>0.25400800000000001</v>
      </c>
      <c r="E3029" s="32"/>
      <c r="F3029" s="32"/>
      <c r="G3029" s="32"/>
      <c r="H3029" s="32"/>
      <c r="I3029" s="32"/>
      <c r="J3029" s="28">
        <f t="shared" ref="J3029" si="2696">D3029*J$97</f>
        <v>0</v>
      </c>
      <c r="K3029" s="29"/>
      <c r="L3029" s="29"/>
      <c r="M3029" s="29"/>
      <c r="N3029" s="29"/>
      <c r="O3029" s="29"/>
      <c r="P3029" s="30">
        <f>SUM(J3029:O3029)</f>
        <v>0</v>
      </c>
      <c r="Q3029" s="31">
        <f t="shared" si="2694"/>
        <v>0</v>
      </c>
    </row>
    <row r="3030" spans="1:17" x14ac:dyDescent="0.2">
      <c r="A3030" s="10"/>
      <c r="B3030" s="26"/>
      <c r="C3030" s="11">
        <v>1996</v>
      </c>
      <c r="D3030" s="32">
        <f>SPFI_CLB14!$D$19</f>
        <v>0</v>
      </c>
      <c r="E3030" s="32"/>
      <c r="F3030" s="32"/>
      <c r="G3030" s="32"/>
      <c r="H3030" s="32"/>
      <c r="I3030" s="32"/>
      <c r="J3030" s="28">
        <f t="shared" ref="J3030" si="2697">D3030*J$97</f>
        <v>0</v>
      </c>
      <c r="K3030" s="29"/>
      <c r="L3030" s="29"/>
      <c r="M3030" s="29"/>
      <c r="N3030" s="29"/>
      <c r="O3030" s="29"/>
      <c r="P3030" s="30">
        <f>SUM(J3030:O3030)</f>
        <v>0</v>
      </c>
      <c r="Q3030" s="31">
        <f t="shared" si="2694"/>
        <v>0</v>
      </c>
    </row>
    <row r="3031" spans="1:17" x14ac:dyDescent="0.2">
      <c r="A3031" s="10"/>
      <c r="B3031" s="26"/>
      <c r="C3031" s="11">
        <v>1997</v>
      </c>
      <c r="D3031" s="32">
        <f>SPFI_CLB14!$D$20</f>
        <v>0.201487</v>
      </c>
      <c r="E3031" s="32"/>
      <c r="F3031" s="32"/>
      <c r="G3031" s="32"/>
      <c r="H3031" s="32"/>
      <c r="I3031" s="32"/>
      <c r="J3031" s="28">
        <f t="shared" ref="J3031" si="2698">D3031*J$97</f>
        <v>0</v>
      </c>
      <c r="K3031" s="29"/>
      <c r="L3031" s="29"/>
      <c r="M3031" s="29"/>
      <c r="N3031" s="29"/>
      <c r="O3031" s="29"/>
      <c r="P3031" s="30">
        <f>SUM(J3031:O3031)</f>
        <v>0</v>
      </c>
      <c r="Q3031" s="31">
        <f t="shared" si="2694"/>
        <v>0</v>
      </c>
    </row>
    <row r="3032" spans="1:17" x14ac:dyDescent="0.2">
      <c r="A3032" s="10"/>
      <c r="B3032" s="26"/>
      <c r="C3032" s="11">
        <v>1998</v>
      </c>
      <c r="D3032" s="32">
        <f>SPFI_CLB14!$D$21</f>
        <v>0.37506400000000001</v>
      </c>
      <c r="E3032" s="32"/>
      <c r="F3032" s="32"/>
      <c r="G3032" s="32"/>
      <c r="H3032" s="32"/>
      <c r="I3032" s="32"/>
      <c r="J3032" s="28">
        <f t="shared" ref="J3032" si="2699">D3032*J$97</f>
        <v>0</v>
      </c>
      <c r="K3032" s="29"/>
      <c r="L3032" s="29"/>
      <c r="M3032" s="29"/>
      <c r="N3032" s="29"/>
      <c r="O3032" s="29"/>
      <c r="P3032" s="30">
        <f>SUM(J3032:O3032)</f>
        <v>0</v>
      </c>
      <c r="Q3032" s="31">
        <f t="shared" si="2694"/>
        <v>0</v>
      </c>
    </row>
    <row r="3033" spans="1:17" x14ac:dyDescent="0.2">
      <c r="A3033" s="10"/>
      <c r="B3033" s="26"/>
      <c r="C3033" s="11">
        <v>1999</v>
      </c>
      <c r="D3033" s="32">
        <f>SPFI_CLB14!$D$22</f>
        <v>0.29823699999999997</v>
      </c>
      <c r="E3033" s="32"/>
      <c r="F3033" s="32"/>
      <c r="G3033" s="32"/>
      <c r="H3033" s="32"/>
      <c r="I3033" s="32"/>
      <c r="J3033" s="28">
        <f t="shared" ref="J3033" si="2700">D3033*J$97</f>
        <v>0</v>
      </c>
      <c r="K3033" s="29"/>
      <c r="L3033" s="29"/>
      <c r="M3033" s="29"/>
      <c r="N3033" s="29"/>
      <c r="O3033" s="29"/>
      <c r="P3033" s="30">
        <f>SUM(J3033:O3033)</f>
        <v>0</v>
      </c>
      <c r="Q3033" s="31">
        <f t="shared" ref="Q3033:Q3038" si="2701">IF(C$97&gt;0,P3033/C$97,0)</f>
        <v>0</v>
      </c>
    </row>
    <row r="3034" spans="1:17" x14ac:dyDescent="0.2">
      <c r="A3034" s="10"/>
      <c r="B3034" s="26"/>
      <c r="C3034" s="11">
        <v>2000</v>
      </c>
      <c r="D3034" s="32">
        <f>SPFI_CLB14!$D$23</f>
        <v>8.4414000000000003E-2</v>
      </c>
      <c r="E3034" s="32"/>
      <c r="F3034" s="32"/>
      <c r="G3034" s="32"/>
      <c r="H3034" s="32"/>
      <c r="I3034" s="32"/>
      <c r="J3034" s="28">
        <f t="shared" ref="J3034" si="2702">D3034*J$97</f>
        <v>0</v>
      </c>
      <c r="K3034" s="29"/>
      <c r="L3034" s="29"/>
      <c r="M3034" s="29"/>
      <c r="N3034" s="29"/>
      <c r="O3034" s="29"/>
      <c r="P3034" s="30">
        <f t="shared" ref="P3034:P3039" si="2703">SUM(J3034:O3034)</f>
        <v>0</v>
      </c>
      <c r="Q3034" s="31">
        <f t="shared" si="2701"/>
        <v>0</v>
      </c>
    </row>
    <row r="3035" spans="1:17" x14ac:dyDescent="0.2">
      <c r="A3035" s="10"/>
      <c r="B3035" s="26"/>
      <c r="C3035" s="11">
        <v>2001</v>
      </c>
      <c r="D3035" s="32">
        <f>SPFI_CLB14!$D$24</f>
        <v>7.8909000000000007E-2</v>
      </c>
      <c r="E3035" s="32"/>
      <c r="F3035" s="32"/>
      <c r="G3035" s="32"/>
      <c r="H3035" s="32"/>
      <c r="I3035" s="32"/>
      <c r="J3035" s="28">
        <f t="shared" ref="J3035" si="2704">D3035*J$97</f>
        <v>0</v>
      </c>
      <c r="K3035" s="29"/>
      <c r="L3035" s="29"/>
      <c r="M3035" s="29"/>
      <c r="N3035" s="29"/>
      <c r="O3035" s="29"/>
      <c r="P3035" s="30">
        <f t="shared" si="2703"/>
        <v>0</v>
      </c>
      <c r="Q3035" s="31">
        <f t="shared" si="2701"/>
        <v>0</v>
      </c>
    </row>
    <row r="3036" spans="1:17" x14ac:dyDescent="0.2">
      <c r="A3036" s="10"/>
      <c r="B3036" s="26"/>
      <c r="C3036" s="11">
        <v>2002</v>
      </c>
      <c r="D3036" s="32">
        <f>SPFI_CLB14!$D$25</f>
        <v>0.29974699999999999</v>
      </c>
      <c r="E3036" s="32"/>
      <c r="F3036" s="32"/>
      <c r="G3036" s="32"/>
      <c r="H3036" s="32"/>
      <c r="I3036" s="32"/>
      <c r="J3036" s="28">
        <f t="shared" ref="J3036" si="2705">D3036*J$97</f>
        <v>0</v>
      </c>
      <c r="K3036" s="29"/>
      <c r="L3036" s="29"/>
      <c r="M3036" s="29"/>
      <c r="N3036" s="29"/>
      <c r="O3036" s="29"/>
      <c r="P3036" s="30">
        <f t="shared" si="2703"/>
        <v>0</v>
      </c>
      <c r="Q3036" s="31">
        <f t="shared" si="2701"/>
        <v>0</v>
      </c>
    </row>
    <row r="3037" spans="1:17" x14ac:dyDescent="0.2">
      <c r="A3037" s="10"/>
      <c r="B3037" s="26"/>
      <c r="C3037" s="11">
        <v>2003</v>
      </c>
      <c r="D3037" s="32">
        <f>SPFI_CLB14!$D$26</f>
        <v>0.20691100000000001</v>
      </c>
      <c r="E3037" s="32"/>
      <c r="F3037" s="32"/>
      <c r="G3037" s="32"/>
      <c r="H3037" s="32"/>
      <c r="I3037" s="32"/>
      <c r="J3037" s="28">
        <f t="shared" ref="J3037" si="2706">D3037*J$97</f>
        <v>0</v>
      </c>
      <c r="K3037" s="29"/>
      <c r="L3037" s="29"/>
      <c r="M3037" s="29"/>
      <c r="N3037" s="29"/>
      <c r="O3037" s="29"/>
      <c r="P3037" s="30">
        <f t="shared" si="2703"/>
        <v>0</v>
      </c>
      <c r="Q3037" s="31">
        <f t="shared" si="2701"/>
        <v>0</v>
      </c>
    </row>
    <row r="3038" spans="1:17" x14ac:dyDescent="0.2">
      <c r="A3038" s="10"/>
      <c r="B3038" s="26"/>
      <c r="C3038" s="11">
        <v>2004</v>
      </c>
      <c r="D3038" s="32">
        <f>SPFI_CLB14!$D$27</f>
        <v>0.269237</v>
      </c>
      <c r="E3038" s="32"/>
      <c r="F3038" s="32"/>
      <c r="G3038" s="32"/>
      <c r="H3038" s="32"/>
      <c r="I3038" s="32"/>
      <c r="J3038" s="28">
        <f t="shared" ref="J3038" si="2707">D3038*J$97</f>
        <v>0</v>
      </c>
      <c r="K3038" s="29"/>
      <c r="L3038" s="29"/>
      <c r="M3038" s="29"/>
      <c r="N3038" s="29"/>
      <c r="O3038" s="29"/>
      <c r="P3038" s="30">
        <f t="shared" si="2703"/>
        <v>0</v>
      </c>
      <c r="Q3038" s="31">
        <f t="shared" si="2701"/>
        <v>0</v>
      </c>
    </row>
    <row r="3039" spans="1:17" x14ac:dyDescent="0.2">
      <c r="A3039" s="10"/>
      <c r="B3039" s="26"/>
      <c r="C3039" s="11">
        <v>2005</v>
      </c>
      <c r="D3039" s="32">
        <f>SPFI_CLB14!$D$28</f>
        <v>0.37848700000000002</v>
      </c>
      <c r="E3039" s="32"/>
      <c r="F3039" s="32"/>
      <c r="G3039" s="32"/>
      <c r="H3039" s="32"/>
      <c r="I3039" s="32"/>
      <c r="J3039" s="28">
        <f t="shared" ref="J3039" si="2708">D3039*J$97</f>
        <v>0</v>
      </c>
      <c r="K3039" s="29"/>
      <c r="L3039" s="29"/>
      <c r="M3039" s="29"/>
      <c r="N3039" s="29"/>
      <c r="O3039" s="29"/>
      <c r="P3039" s="30">
        <f t="shared" si="2703"/>
        <v>0</v>
      </c>
      <c r="Q3039" s="31">
        <f t="shared" ref="Q3039:Q3044" si="2709">IF(C$97&gt;0,P3039/C$97,0)</f>
        <v>0</v>
      </c>
    </row>
    <row r="3040" spans="1:17" x14ac:dyDescent="0.2">
      <c r="A3040" s="10"/>
      <c r="B3040" s="26"/>
      <c r="C3040" s="11">
        <v>2006</v>
      </c>
      <c r="D3040" s="32">
        <f>SPFI_CLB14!$D$29</f>
        <v>0.381023</v>
      </c>
      <c r="E3040" s="32"/>
      <c r="F3040" s="32"/>
      <c r="G3040" s="32"/>
      <c r="H3040" s="32"/>
      <c r="I3040" s="32"/>
      <c r="J3040" s="28">
        <f t="shared" ref="J3040" si="2710">D3040*J$97</f>
        <v>0</v>
      </c>
      <c r="K3040" s="29"/>
      <c r="L3040" s="29"/>
      <c r="M3040" s="29"/>
      <c r="N3040" s="29"/>
      <c r="O3040" s="29"/>
      <c r="P3040" s="30">
        <f t="shared" ref="P3040:P3047" si="2711">SUM(J3040:O3040)</f>
        <v>0</v>
      </c>
      <c r="Q3040" s="31">
        <f t="shared" si="2709"/>
        <v>0</v>
      </c>
    </row>
    <row r="3041" spans="1:17" x14ac:dyDescent="0.2">
      <c r="A3041" s="10"/>
      <c r="B3041" s="26"/>
      <c r="C3041" s="11">
        <v>2007</v>
      </c>
      <c r="D3041" s="32">
        <f>SPFI_CLB14!$D$30</f>
        <v>0.356512</v>
      </c>
      <c r="E3041" s="32"/>
      <c r="F3041" s="32"/>
      <c r="G3041" s="32"/>
      <c r="H3041" s="32"/>
      <c r="I3041" s="32"/>
      <c r="J3041" s="28">
        <f t="shared" ref="J3041" si="2712">D3041*J$97</f>
        <v>0</v>
      </c>
      <c r="K3041" s="29"/>
      <c r="L3041" s="29"/>
      <c r="M3041" s="29"/>
      <c r="N3041" s="29"/>
      <c r="O3041" s="29"/>
      <c r="P3041" s="30">
        <f t="shared" si="2711"/>
        <v>0</v>
      </c>
      <c r="Q3041" s="31">
        <f t="shared" si="2709"/>
        <v>0</v>
      </c>
    </row>
    <row r="3042" spans="1:17" x14ac:dyDescent="0.2">
      <c r="A3042" s="10"/>
      <c r="B3042" s="26"/>
      <c r="C3042" s="11">
        <v>2008</v>
      </c>
      <c r="D3042" s="32">
        <f>SPFI_CLB14!$D$31</f>
        <v>0.25494499999999998</v>
      </c>
      <c r="E3042" s="32"/>
      <c r="F3042" s="32"/>
      <c r="G3042" s="32"/>
      <c r="H3042" s="32"/>
      <c r="I3042" s="32"/>
      <c r="J3042" s="28">
        <f t="shared" ref="J3042" si="2713">D3042*J$97</f>
        <v>0</v>
      </c>
      <c r="K3042" s="29"/>
      <c r="L3042" s="29"/>
      <c r="M3042" s="29"/>
      <c r="N3042" s="29"/>
      <c r="O3042" s="29"/>
      <c r="P3042" s="30">
        <f t="shared" si="2711"/>
        <v>0</v>
      </c>
      <c r="Q3042" s="31">
        <f t="shared" si="2709"/>
        <v>0</v>
      </c>
    </row>
    <row r="3043" spans="1:17" x14ac:dyDescent="0.2">
      <c r="A3043" s="10"/>
      <c r="B3043" s="26"/>
      <c r="C3043" s="11">
        <v>2009</v>
      </c>
      <c r="D3043" s="32">
        <f>SPFI_CLB14!$D$32</f>
        <v>0.52383000000000002</v>
      </c>
      <c r="E3043" s="32"/>
      <c r="F3043" s="32"/>
      <c r="G3043" s="32"/>
      <c r="H3043" s="32"/>
      <c r="I3043" s="32"/>
      <c r="J3043" s="28">
        <f t="shared" ref="J3043" si="2714">D3043*J$97</f>
        <v>0</v>
      </c>
      <c r="K3043" s="29"/>
      <c r="L3043" s="29"/>
      <c r="M3043" s="29"/>
      <c r="N3043" s="29"/>
      <c r="O3043" s="29"/>
      <c r="P3043" s="30">
        <f t="shared" si="2711"/>
        <v>0</v>
      </c>
      <c r="Q3043" s="31">
        <f t="shared" si="2709"/>
        <v>0</v>
      </c>
    </row>
    <row r="3044" spans="1:17" x14ac:dyDescent="0.2">
      <c r="A3044" s="10"/>
      <c r="B3044" s="26"/>
      <c r="C3044" s="11">
        <v>2010</v>
      </c>
      <c r="D3044" s="32">
        <f>SPFI_CLB14!$D$33</f>
        <v>0.31394</v>
      </c>
      <c r="E3044" s="32"/>
      <c r="F3044" s="32"/>
      <c r="G3044" s="32"/>
      <c r="H3044" s="32"/>
      <c r="I3044" s="32"/>
      <c r="J3044" s="28">
        <f t="shared" ref="J3044" si="2715">D3044*J$97</f>
        <v>0</v>
      </c>
      <c r="K3044" s="29"/>
      <c r="L3044" s="29"/>
      <c r="M3044" s="29"/>
      <c r="N3044" s="29"/>
      <c r="O3044" s="29"/>
      <c r="P3044" s="30">
        <f t="shared" si="2711"/>
        <v>0</v>
      </c>
      <c r="Q3044" s="31">
        <f t="shared" si="2709"/>
        <v>0</v>
      </c>
    </row>
    <row r="3045" spans="1:17" x14ac:dyDescent="0.2">
      <c r="A3045" s="10"/>
      <c r="B3045" s="26"/>
      <c r="C3045" s="11">
        <v>2011</v>
      </c>
      <c r="D3045" s="32">
        <f>SPFI_CLB14!$D$34</f>
        <v>0.294348</v>
      </c>
      <c r="E3045" s="32"/>
      <c r="F3045" s="32"/>
      <c r="G3045" s="32"/>
      <c r="H3045" s="32"/>
      <c r="I3045" s="32"/>
      <c r="J3045" s="28">
        <f t="shared" ref="J3045" si="2716">D3045*J$97</f>
        <v>0</v>
      </c>
      <c r="K3045" s="29"/>
      <c r="L3045" s="29"/>
      <c r="M3045" s="29"/>
      <c r="N3045" s="29"/>
      <c r="O3045" s="29"/>
      <c r="P3045" s="30">
        <f t="shared" ref="P3045" si="2717">SUM(J3045:O3045)</f>
        <v>0</v>
      </c>
      <c r="Q3045" s="31">
        <f t="shared" ref="Q3045" si="2718">IF(C$97&gt;0,P3045/C$97,0)</f>
        <v>0</v>
      </c>
    </row>
    <row r="3046" spans="1:17" x14ac:dyDescent="0.2">
      <c r="A3046" s="10"/>
      <c r="B3046" s="26"/>
      <c r="C3046" s="11">
        <v>2012</v>
      </c>
      <c r="D3046" s="32">
        <f>SPFI_CLB14!$D$35</f>
        <v>0.34784100000000001</v>
      </c>
      <c r="E3046" s="32"/>
      <c r="F3046" s="32"/>
      <c r="G3046" s="32"/>
      <c r="H3046" s="32"/>
      <c r="I3046" s="32"/>
      <c r="J3046" s="28">
        <f t="shared" ref="J3046" si="2719">D3046*J$97</f>
        <v>0</v>
      </c>
      <c r="K3046" s="29"/>
      <c r="L3046" s="29"/>
      <c r="M3046" s="29"/>
      <c r="N3046" s="29"/>
      <c r="O3046" s="29"/>
      <c r="P3046" s="30">
        <f t="shared" ref="P3046" si="2720">SUM(J3046:O3046)</f>
        <v>0</v>
      </c>
      <c r="Q3046" s="31">
        <f t="shared" ref="Q3046" si="2721">IF(C$97&gt;0,P3046/C$97,0)</f>
        <v>0</v>
      </c>
    </row>
    <row r="3047" spans="1:17" x14ac:dyDescent="0.2">
      <c r="A3047" s="5" t="s">
        <v>29</v>
      </c>
      <c r="B3047" s="21">
        <v>4</v>
      </c>
      <c r="C3047" s="6">
        <v>1982</v>
      </c>
      <c r="D3047" s="27">
        <f>SPFI_CLB14!$D$5</f>
        <v>0.98153299999999999</v>
      </c>
      <c r="E3047" s="27"/>
      <c r="F3047" s="27"/>
      <c r="G3047" s="27"/>
      <c r="H3047" s="27"/>
      <c r="I3047" s="27"/>
      <c r="J3047" s="33">
        <f t="shared" ref="J3047:J3059" si="2722">D3047*J$98</f>
        <v>0</v>
      </c>
      <c r="K3047" s="27"/>
      <c r="L3047" s="27"/>
      <c r="M3047" s="27"/>
      <c r="N3047" s="27"/>
      <c r="O3047" s="27"/>
      <c r="P3047" s="34">
        <f t="shared" si="2711"/>
        <v>0</v>
      </c>
      <c r="Q3047" s="35">
        <f t="shared" ref="Q3047:Q3063" si="2723">IF(C$98&gt;0,P3047/C$98,0)</f>
        <v>0</v>
      </c>
    </row>
    <row r="3048" spans="1:17" x14ac:dyDescent="0.2">
      <c r="A3048" s="10"/>
      <c r="B3048" s="26"/>
      <c r="C3048" s="11">
        <v>1983</v>
      </c>
      <c r="D3048" s="32">
        <f>SPFI_CLB14!$D$6</f>
        <v>0.93659899999999996</v>
      </c>
      <c r="E3048" s="32"/>
      <c r="F3048" s="32"/>
      <c r="G3048" s="32"/>
      <c r="H3048" s="32"/>
      <c r="I3048" s="32"/>
      <c r="J3048" s="28">
        <f t="shared" si="2722"/>
        <v>0</v>
      </c>
      <c r="K3048" s="29"/>
      <c r="L3048" s="29"/>
      <c r="M3048" s="29"/>
      <c r="N3048" s="29"/>
      <c r="O3048" s="29"/>
      <c r="P3048" s="30">
        <f t="shared" ref="P3048:P3059" si="2724">SUM(J3048:O3048)</f>
        <v>0</v>
      </c>
      <c r="Q3048" s="31">
        <f t="shared" si="2723"/>
        <v>0</v>
      </c>
    </row>
    <row r="3049" spans="1:17" x14ac:dyDescent="0.2">
      <c r="A3049" s="10"/>
      <c r="B3049" s="26"/>
      <c r="C3049" s="11">
        <v>1984</v>
      </c>
      <c r="D3049" s="32">
        <f>SPFI_CLB14!$D$7</f>
        <v>0.92793599999999998</v>
      </c>
      <c r="E3049" s="32"/>
      <c r="F3049" s="32"/>
      <c r="G3049" s="32"/>
      <c r="H3049" s="32"/>
      <c r="I3049" s="32"/>
      <c r="J3049" s="28">
        <f t="shared" si="2722"/>
        <v>0</v>
      </c>
      <c r="K3049" s="29"/>
      <c r="L3049" s="29"/>
      <c r="M3049" s="29"/>
      <c r="N3049" s="29"/>
      <c r="O3049" s="29"/>
      <c r="P3049" s="30">
        <f t="shared" si="2724"/>
        <v>0</v>
      </c>
      <c r="Q3049" s="31">
        <f t="shared" si="2723"/>
        <v>0</v>
      </c>
    </row>
    <row r="3050" spans="1:17" x14ac:dyDescent="0.2">
      <c r="A3050" s="10"/>
      <c r="B3050" s="26"/>
      <c r="C3050" s="11">
        <v>1985</v>
      </c>
      <c r="D3050" s="32">
        <f>SPFI_CLB14!$D$8</f>
        <v>0.90386500000000003</v>
      </c>
      <c r="E3050" s="32"/>
      <c r="F3050" s="32"/>
      <c r="G3050" s="32"/>
      <c r="H3050" s="32"/>
      <c r="I3050" s="32"/>
      <c r="J3050" s="28">
        <f t="shared" si="2722"/>
        <v>0</v>
      </c>
      <c r="K3050" s="29"/>
      <c r="L3050" s="29"/>
      <c r="M3050" s="29"/>
      <c r="N3050" s="29"/>
      <c r="O3050" s="29"/>
      <c r="P3050" s="30">
        <f t="shared" si="2724"/>
        <v>0</v>
      </c>
      <c r="Q3050" s="31">
        <f t="shared" si="2723"/>
        <v>0</v>
      </c>
    </row>
    <row r="3051" spans="1:17" x14ac:dyDescent="0.2">
      <c r="A3051" s="10"/>
      <c r="B3051" s="26"/>
      <c r="C3051" s="11">
        <v>1986</v>
      </c>
      <c r="D3051" s="32">
        <f>SPFI_CLB14!$D$9</f>
        <v>0.73087500000000005</v>
      </c>
      <c r="E3051" s="32"/>
      <c r="F3051" s="32"/>
      <c r="G3051" s="32"/>
      <c r="H3051" s="32"/>
      <c r="I3051" s="32"/>
      <c r="J3051" s="28">
        <f t="shared" si="2722"/>
        <v>0</v>
      </c>
      <c r="K3051" s="29"/>
      <c r="L3051" s="29"/>
      <c r="M3051" s="29"/>
      <c r="N3051" s="29"/>
      <c r="O3051" s="29"/>
      <c r="P3051" s="30">
        <f t="shared" si="2724"/>
        <v>0</v>
      </c>
      <c r="Q3051" s="31">
        <f t="shared" si="2723"/>
        <v>0</v>
      </c>
    </row>
    <row r="3052" spans="1:17" x14ac:dyDescent="0.2">
      <c r="A3052" s="10"/>
      <c r="B3052" s="26"/>
      <c r="C3052" s="11">
        <v>1987</v>
      </c>
      <c r="D3052" s="32">
        <f>SPFI_CLB14!$D$10</f>
        <v>0.71733499999999994</v>
      </c>
      <c r="E3052" s="32"/>
      <c r="F3052" s="32"/>
      <c r="G3052" s="32"/>
      <c r="H3052" s="32"/>
      <c r="I3052" s="32"/>
      <c r="J3052" s="28">
        <f t="shared" si="2722"/>
        <v>0</v>
      </c>
      <c r="K3052" s="29"/>
      <c r="L3052" s="29"/>
      <c r="M3052" s="29"/>
      <c r="N3052" s="29"/>
      <c r="O3052" s="29"/>
      <c r="P3052" s="30">
        <f t="shared" si="2724"/>
        <v>0</v>
      </c>
      <c r="Q3052" s="31">
        <f t="shared" si="2723"/>
        <v>0</v>
      </c>
    </row>
    <row r="3053" spans="1:17" x14ac:dyDescent="0.2">
      <c r="A3053" s="10"/>
      <c r="B3053" s="26"/>
      <c r="C3053" s="11">
        <v>1988</v>
      </c>
      <c r="D3053" s="32">
        <f>SPFI_CLB14!$D$11</f>
        <v>0.64558800000000005</v>
      </c>
      <c r="E3053" s="32"/>
      <c r="F3053" s="32"/>
      <c r="G3053" s="32"/>
      <c r="H3053" s="32"/>
      <c r="I3053" s="32"/>
      <c r="J3053" s="28">
        <f t="shared" si="2722"/>
        <v>0</v>
      </c>
      <c r="K3053" s="29"/>
      <c r="L3053" s="29"/>
      <c r="M3053" s="29"/>
      <c r="N3053" s="29"/>
      <c r="O3053" s="29"/>
      <c r="P3053" s="30">
        <f t="shared" si="2724"/>
        <v>0</v>
      </c>
      <c r="Q3053" s="31">
        <f t="shared" si="2723"/>
        <v>0</v>
      </c>
    </row>
    <row r="3054" spans="1:17" x14ac:dyDescent="0.2">
      <c r="A3054" s="10"/>
      <c r="B3054" s="26"/>
      <c r="C3054" s="11">
        <v>1989</v>
      </c>
      <c r="D3054" s="32">
        <f>SPFI_CLB14!$D$12</f>
        <v>0.65287700000000004</v>
      </c>
      <c r="E3054" s="32"/>
      <c r="F3054" s="32"/>
      <c r="G3054" s="32"/>
      <c r="H3054" s="32"/>
      <c r="I3054" s="32"/>
      <c r="J3054" s="28">
        <f t="shared" si="2722"/>
        <v>0</v>
      </c>
      <c r="K3054" s="29"/>
      <c r="L3054" s="29"/>
      <c r="M3054" s="29"/>
      <c r="N3054" s="29"/>
      <c r="O3054" s="29"/>
      <c r="P3054" s="30">
        <f t="shared" si="2724"/>
        <v>0</v>
      </c>
      <c r="Q3054" s="31">
        <f t="shared" si="2723"/>
        <v>0</v>
      </c>
    </row>
    <row r="3055" spans="1:17" x14ac:dyDescent="0.2">
      <c r="A3055" s="10"/>
      <c r="B3055" s="26"/>
      <c r="C3055" s="11">
        <v>1990</v>
      </c>
      <c r="D3055" s="32">
        <f>SPFI_CLB14!$D$13</f>
        <v>0.56965100000000002</v>
      </c>
      <c r="E3055" s="32"/>
      <c r="F3055" s="32"/>
      <c r="G3055" s="32"/>
      <c r="H3055" s="32"/>
      <c r="I3055" s="32"/>
      <c r="J3055" s="28">
        <f t="shared" si="2722"/>
        <v>0</v>
      </c>
      <c r="K3055" s="29"/>
      <c r="L3055" s="29"/>
      <c r="M3055" s="29"/>
      <c r="N3055" s="29"/>
      <c r="O3055" s="29"/>
      <c r="P3055" s="30">
        <f t="shared" si="2724"/>
        <v>0</v>
      </c>
      <c r="Q3055" s="31">
        <f t="shared" si="2723"/>
        <v>0</v>
      </c>
    </row>
    <row r="3056" spans="1:17" x14ac:dyDescent="0.2">
      <c r="A3056" s="10"/>
      <c r="B3056" s="26"/>
      <c r="C3056" s="11">
        <v>1991</v>
      </c>
      <c r="D3056" s="32">
        <f>SPFI_CLB14!$D$14</f>
        <v>0.62776900000000002</v>
      </c>
      <c r="E3056" s="32"/>
      <c r="F3056" s="32"/>
      <c r="G3056" s="32"/>
      <c r="H3056" s="32"/>
      <c r="I3056" s="32"/>
      <c r="J3056" s="28">
        <f t="shared" si="2722"/>
        <v>0</v>
      </c>
      <c r="K3056" s="29"/>
      <c r="L3056" s="29"/>
      <c r="M3056" s="29"/>
      <c r="N3056" s="29"/>
      <c r="O3056" s="29"/>
      <c r="P3056" s="30">
        <f t="shared" si="2724"/>
        <v>0</v>
      </c>
      <c r="Q3056" s="31">
        <f t="shared" si="2723"/>
        <v>0</v>
      </c>
    </row>
    <row r="3057" spans="1:17" x14ac:dyDescent="0.2">
      <c r="A3057" s="10"/>
      <c r="B3057" s="26"/>
      <c r="C3057" s="11">
        <v>1992</v>
      </c>
      <c r="D3057" s="32">
        <f>SPFI_CLB14!$D$15</f>
        <v>0.43504100000000001</v>
      </c>
      <c r="E3057" s="32"/>
      <c r="F3057" s="32"/>
      <c r="G3057" s="32"/>
      <c r="H3057" s="32"/>
      <c r="I3057" s="32"/>
      <c r="J3057" s="28">
        <f t="shared" si="2722"/>
        <v>0</v>
      </c>
      <c r="K3057" s="29"/>
      <c r="L3057" s="29"/>
      <c r="M3057" s="29"/>
      <c r="N3057" s="29"/>
      <c r="O3057" s="29"/>
      <c r="P3057" s="30">
        <f t="shared" si="2724"/>
        <v>0</v>
      </c>
      <c r="Q3057" s="31">
        <f t="shared" si="2723"/>
        <v>0</v>
      </c>
    </row>
    <row r="3058" spans="1:17" x14ac:dyDescent="0.2">
      <c r="A3058" s="10"/>
      <c r="B3058" s="26"/>
      <c r="C3058" s="11">
        <v>1993</v>
      </c>
      <c r="D3058" s="32">
        <f>SPFI_CLB14!$D$16</f>
        <v>0.499164</v>
      </c>
      <c r="E3058" s="32"/>
      <c r="F3058" s="32"/>
      <c r="G3058" s="32"/>
      <c r="H3058" s="32"/>
      <c r="I3058" s="32"/>
      <c r="J3058" s="28">
        <f t="shared" si="2722"/>
        <v>0</v>
      </c>
      <c r="K3058" s="29"/>
      <c r="L3058" s="29"/>
      <c r="M3058" s="29"/>
      <c r="N3058" s="29"/>
      <c r="O3058" s="29"/>
      <c r="P3058" s="30">
        <f t="shared" si="2724"/>
        <v>0</v>
      </c>
      <c r="Q3058" s="31">
        <f t="shared" si="2723"/>
        <v>0</v>
      </c>
    </row>
    <row r="3059" spans="1:17" x14ac:dyDescent="0.2">
      <c r="A3059" s="10"/>
      <c r="B3059" s="26"/>
      <c r="C3059" s="11">
        <v>1994</v>
      </c>
      <c r="D3059" s="32">
        <f>SPFI_CLB14!$D$17</f>
        <v>0.59591300000000003</v>
      </c>
      <c r="E3059" s="32"/>
      <c r="F3059" s="32"/>
      <c r="G3059" s="32"/>
      <c r="H3059" s="32"/>
      <c r="I3059" s="32"/>
      <c r="J3059" s="28">
        <f t="shared" si="2722"/>
        <v>0</v>
      </c>
      <c r="K3059" s="29"/>
      <c r="L3059" s="29"/>
      <c r="M3059" s="29"/>
      <c r="N3059" s="29"/>
      <c r="O3059" s="29"/>
      <c r="P3059" s="30">
        <f t="shared" si="2724"/>
        <v>0</v>
      </c>
      <c r="Q3059" s="31">
        <f t="shared" si="2723"/>
        <v>0</v>
      </c>
    </row>
    <row r="3060" spans="1:17" x14ac:dyDescent="0.2">
      <c r="A3060" s="10"/>
      <c r="B3060" s="26"/>
      <c r="C3060" s="11">
        <v>1995</v>
      </c>
      <c r="D3060" s="32">
        <f>SPFI_CLB14!$D$18</f>
        <v>0.25400800000000001</v>
      </c>
      <c r="E3060" s="32"/>
      <c r="F3060" s="32"/>
      <c r="G3060" s="32"/>
      <c r="H3060" s="32"/>
      <c r="I3060" s="32"/>
      <c r="J3060" s="28">
        <f t="shared" ref="J3060" si="2725">D3060*J$98</f>
        <v>0</v>
      </c>
      <c r="K3060" s="29"/>
      <c r="L3060" s="29"/>
      <c r="M3060" s="29"/>
      <c r="N3060" s="29"/>
      <c r="O3060" s="29"/>
      <c r="P3060" s="30">
        <f>SUM(J3060:O3060)</f>
        <v>0</v>
      </c>
      <c r="Q3060" s="31">
        <f t="shared" si="2723"/>
        <v>0</v>
      </c>
    </row>
    <row r="3061" spans="1:17" x14ac:dyDescent="0.2">
      <c r="A3061" s="10"/>
      <c r="B3061" s="26"/>
      <c r="C3061" s="11">
        <v>1996</v>
      </c>
      <c r="D3061" s="32">
        <f>SPFI_CLB14!$D$19</f>
        <v>0</v>
      </c>
      <c r="E3061" s="32"/>
      <c r="F3061" s="32"/>
      <c r="G3061" s="32"/>
      <c r="H3061" s="32"/>
      <c r="I3061" s="32"/>
      <c r="J3061" s="28">
        <f t="shared" ref="J3061" si="2726">D3061*J$98</f>
        <v>0</v>
      </c>
      <c r="K3061" s="29"/>
      <c r="L3061" s="29"/>
      <c r="M3061" s="29"/>
      <c r="N3061" s="29"/>
      <c r="O3061" s="29"/>
      <c r="P3061" s="30">
        <f>SUM(J3061:O3061)</f>
        <v>0</v>
      </c>
      <c r="Q3061" s="31">
        <f t="shared" si="2723"/>
        <v>0</v>
      </c>
    </row>
    <row r="3062" spans="1:17" x14ac:dyDescent="0.2">
      <c r="A3062" s="10"/>
      <c r="B3062" s="26"/>
      <c r="C3062" s="11">
        <v>1997</v>
      </c>
      <c r="D3062" s="32">
        <f>SPFI_CLB14!$D$20</f>
        <v>0.201487</v>
      </c>
      <c r="E3062" s="32"/>
      <c r="F3062" s="32"/>
      <c r="G3062" s="32"/>
      <c r="H3062" s="32"/>
      <c r="I3062" s="32"/>
      <c r="J3062" s="28">
        <f t="shared" ref="J3062" si="2727">D3062*J$98</f>
        <v>0</v>
      </c>
      <c r="K3062" s="29"/>
      <c r="L3062" s="29"/>
      <c r="M3062" s="29"/>
      <c r="N3062" s="29"/>
      <c r="O3062" s="29"/>
      <c r="P3062" s="30">
        <f>SUM(J3062:O3062)</f>
        <v>0</v>
      </c>
      <c r="Q3062" s="31">
        <f t="shared" si="2723"/>
        <v>0</v>
      </c>
    </row>
    <row r="3063" spans="1:17" x14ac:dyDescent="0.2">
      <c r="A3063" s="10"/>
      <c r="B3063" s="26"/>
      <c r="C3063" s="11">
        <v>1998</v>
      </c>
      <c r="D3063" s="32">
        <f>SPFI_CLB14!$D$21</f>
        <v>0.37506400000000001</v>
      </c>
      <c r="E3063" s="32"/>
      <c r="F3063" s="32"/>
      <c r="G3063" s="32"/>
      <c r="H3063" s="32"/>
      <c r="I3063" s="32"/>
      <c r="J3063" s="28">
        <f t="shared" ref="J3063" si="2728">D3063*J$98</f>
        <v>0</v>
      </c>
      <c r="K3063" s="29"/>
      <c r="L3063" s="29"/>
      <c r="M3063" s="29"/>
      <c r="N3063" s="29"/>
      <c r="O3063" s="29"/>
      <c r="P3063" s="30">
        <f>SUM(J3063:O3063)</f>
        <v>0</v>
      </c>
      <c r="Q3063" s="31">
        <f t="shared" si="2723"/>
        <v>0</v>
      </c>
    </row>
    <row r="3064" spans="1:17" x14ac:dyDescent="0.2">
      <c r="A3064" s="10"/>
      <c r="B3064" s="26"/>
      <c r="C3064" s="11">
        <v>1999</v>
      </c>
      <c r="D3064" s="32">
        <f>SPFI_CLB14!$D$22</f>
        <v>0.29823699999999997</v>
      </c>
      <c r="E3064" s="32"/>
      <c r="F3064" s="32"/>
      <c r="G3064" s="32"/>
      <c r="H3064" s="32"/>
      <c r="I3064" s="32"/>
      <c r="J3064" s="28">
        <f t="shared" ref="J3064" si="2729">D3064*J$98</f>
        <v>0</v>
      </c>
      <c r="K3064" s="29"/>
      <c r="L3064" s="29"/>
      <c r="M3064" s="29"/>
      <c r="N3064" s="29"/>
      <c r="O3064" s="29"/>
      <c r="P3064" s="30">
        <f>SUM(J3064:O3064)</f>
        <v>0</v>
      </c>
      <c r="Q3064" s="31">
        <f t="shared" ref="Q3064:Q3069" si="2730">IF(C$98&gt;0,P3064/C$98,0)</f>
        <v>0</v>
      </c>
    </row>
    <row r="3065" spans="1:17" x14ac:dyDescent="0.2">
      <c r="A3065" s="10"/>
      <c r="B3065" s="26"/>
      <c r="C3065" s="11">
        <v>2000</v>
      </c>
      <c r="D3065" s="32">
        <f>SPFI_CLB14!$D$23</f>
        <v>8.4414000000000003E-2</v>
      </c>
      <c r="E3065" s="32"/>
      <c r="F3065" s="32"/>
      <c r="G3065" s="32"/>
      <c r="H3065" s="32"/>
      <c r="I3065" s="32"/>
      <c r="J3065" s="28">
        <f t="shared" ref="J3065" si="2731">D3065*J$98</f>
        <v>0</v>
      </c>
      <c r="K3065" s="29"/>
      <c r="L3065" s="29"/>
      <c r="M3065" s="29"/>
      <c r="N3065" s="29"/>
      <c r="O3065" s="29"/>
      <c r="P3065" s="30">
        <f t="shared" ref="P3065:P3070" si="2732">SUM(J3065:O3065)</f>
        <v>0</v>
      </c>
      <c r="Q3065" s="31">
        <f t="shared" si="2730"/>
        <v>0</v>
      </c>
    </row>
    <row r="3066" spans="1:17" x14ac:dyDescent="0.2">
      <c r="A3066" s="10"/>
      <c r="B3066" s="26"/>
      <c r="C3066" s="11">
        <v>2001</v>
      </c>
      <c r="D3066" s="32">
        <f>SPFI_CLB14!$D$24</f>
        <v>7.8909000000000007E-2</v>
      </c>
      <c r="E3066" s="32"/>
      <c r="F3066" s="32"/>
      <c r="G3066" s="32"/>
      <c r="H3066" s="32"/>
      <c r="I3066" s="32"/>
      <c r="J3066" s="28">
        <f t="shared" ref="J3066" si="2733">D3066*J$98</f>
        <v>0</v>
      </c>
      <c r="K3066" s="29"/>
      <c r="L3066" s="29"/>
      <c r="M3066" s="29"/>
      <c r="N3066" s="29"/>
      <c r="O3066" s="29"/>
      <c r="P3066" s="30">
        <f t="shared" si="2732"/>
        <v>0</v>
      </c>
      <c r="Q3066" s="31">
        <f t="shared" si="2730"/>
        <v>0</v>
      </c>
    </row>
    <row r="3067" spans="1:17" x14ac:dyDescent="0.2">
      <c r="A3067" s="10"/>
      <c r="B3067" s="26"/>
      <c r="C3067" s="11">
        <v>2002</v>
      </c>
      <c r="D3067" s="32">
        <f>SPFI_CLB14!$D$25</f>
        <v>0.29974699999999999</v>
      </c>
      <c r="E3067" s="32"/>
      <c r="F3067" s="32"/>
      <c r="G3067" s="32"/>
      <c r="H3067" s="32"/>
      <c r="I3067" s="32"/>
      <c r="J3067" s="28">
        <f t="shared" ref="J3067" si="2734">D3067*J$98</f>
        <v>0</v>
      </c>
      <c r="K3067" s="29"/>
      <c r="L3067" s="29"/>
      <c r="M3067" s="29"/>
      <c r="N3067" s="29"/>
      <c r="O3067" s="29"/>
      <c r="P3067" s="30">
        <f t="shared" si="2732"/>
        <v>0</v>
      </c>
      <c r="Q3067" s="31">
        <f t="shared" si="2730"/>
        <v>0</v>
      </c>
    </row>
    <row r="3068" spans="1:17" x14ac:dyDescent="0.2">
      <c r="A3068" s="10"/>
      <c r="B3068" s="26"/>
      <c r="C3068" s="11">
        <v>2003</v>
      </c>
      <c r="D3068" s="32">
        <f>SPFI_CLB14!$D$26</f>
        <v>0.20691100000000001</v>
      </c>
      <c r="E3068" s="32"/>
      <c r="F3068" s="32"/>
      <c r="G3068" s="32"/>
      <c r="H3068" s="32"/>
      <c r="I3068" s="32"/>
      <c r="J3068" s="28">
        <f t="shared" ref="J3068" si="2735">D3068*J$98</f>
        <v>0</v>
      </c>
      <c r="K3068" s="29"/>
      <c r="L3068" s="29"/>
      <c r="M3068" s="29"/>
      <c r="N3068" s="29"/>
      <c r="O3068" s="29"/>
      <c r="P3068" s="30">
        <f t="shared" si="2732"/>
        <v>0</v>
      </c>
      <c r="Q3068" s="31">
        <f t="shared" si="2730"/>
        <v>0</v>
      </c>
    </row>
    <row r="3069" spans="1:17" x14ac:dyDescent="0.2">
      <c r="A3069" s="10"/>
      <c r="B3069" s="26"/>
      <c r="C3069" s="11">
        <v>2004</v>
      </c>
      <c r="D3069" s="32">
        <f>SPFI_CLB14!$D$27</f>
        <v>0.269237</v>
      </c>
      <c r="E3069" s="32"/>
      <c r="F3069" s="32"/>
      <c r="G3069" s="32"/>
      <c r="H3069" s="32"/>
      <c r="I3069" s="32"/>
      <c r="J3069" s="28">
        <f t="shared" ref="J3069" si="2736">D3069*J$98</f>
        <v>0</v>
      </c>
      <c r="K3069" s="29"/>
      <c r="L3069" s="29"/>
      <c r="M3069" s="29"/>
      <c r="N3069" s="29"/>
      <c r="O3069" s="29"/>
      <c r="P3069" s="30">
        <f t="shared" si="2732"/>
        <v>0</v>
      </c>
      <c r="Q3069" s="31">
        <f t="shared" si="2730"/>
        <v>0</v>
      </c>
    </row>
    <row r="3070" spans="1:17" x14ac:dyDescent="0.2">
      <c r="A3070" s="10"/>
      <c r="B3070" s="26"/>
      <c r="C3070" s="11">
        <v>2005</v>
      </c>
      <c r="D3070" s="32">
        <f>SPFI_CLB14!$D$28</f>
        <v>0.37848700000000002</v>
      </c>
      <c r="E3070" s="32"/>
      <c r="F3070" s="32"/>
      <c r="G3070" s="32"/>
      <c r="H3070" s="32"/>
      <c r="I3070" s="32"/>
      <c r="J3070" s="28">
        <f t="shared" ref="J3070" si="2737">D3070*J$98</f>
        <v>0</v>
      </c>
      <c r="K3070" s="29"/>
      <c r="L3070" s="29"/>
      <c r="M3070" s="29"/>
      <c r="N3070" s="29"/>
      <c r="O3070" s="29"/>
      <c r="P3070" s="30">
        <f t="shared" si="2732"/>
        <v>0</v>
      </c>
      <c r="Q3070" s="31">
        <f t="shared" ref="Q3070:Q3075" si="2738">IF(C$98&gt;0,P3070/C$98,0)</f>
        <v>0</v>
      </c>
    </row>
    <row r="3071" spans="1:17" x14ac:dyDescent="0.2">
      <c r="A3071" s="10"/>
      <c r="B3071" s="26"/>
      <c r="C3071" s="11">
        <v>2006</v>
      </c>
      <c r="D3071" s="32">
        <f>SPFI_CLB14!$D$29</f>
        <v>0.381023</v>
      </c>
      <c r="E3071" s="32"/>
      <c r="F3071" s="32"/>
      <c r="G3071" s="32"/>
      <c r="H3071" s="32"/>
      <c r="I3071" s="32"/>
      <c r="J3071" s="28">
        <f t="shared" ref="J3071" si="2739">D3071*J$98</f>
        <v>0</v>
      </c>
      <c r="K3071" s="29"/>
      <c r="L3071" s="29"/>
      <c r="M3071" s="29"/>
      <c r="N3071" s="29"/>
      <c r="O3071" s="29"/>
      <c r="P3071" s="30">
        <f t="shared" ref="P3071:P3078" si="2740">SUM(J3071:O3071)</f>
        <v>0</v>
      </c>
      <c r="Q3071" s="31">
        <f t="shared" si="2738"/>
        <v>0</v>
      </c>
    </row>
    <row r="3072" spans="1:17" x14ac:dyDescent="0.2">
      <c r="A3072" s="10"/>
      <c r="B3072" s="26"/>
      <c r="C3072" s="11">
        <v>2007</v>
      </c>
      <c r="D3072" s="32">
        <f>SPFI_CLB14!$D$30</f>
        <v>0.356512</v>
      </c>
      <c r="E3072" s="32"/>
      <c r="F3072" s="32"/>
      <c r="G3072" s="32"/>
      <c r="H3072" s="32"/>
      <c r="I3072" s="32"/>
      <c r="J3072" s="28">
        <f t="shared" ref="J3072" si="2741">D3072*J$98</f>
        <v>0</v>
      </c>
      <c r="K3072" s="29"/>
      <c r="L3072" s="29"/>
      <c r="M3072" s="29"/>
      <c r="N3072" s="29"/>
      <c r="O3072" s="29"/>
      <c r="P3072" s="30">
        <f t="shared" si="2740"/>
        <v>0</v>
      </c>
      <c r="Q3072" s="31">
        <f t="shared" si="2738"/>
        <v>0</v>
      </c>
    </row>
    <row r="3073" spans="1:17" x14ac:dyDescent="0.2">
      <c r="A3073" s="10"/>
      <c r="B3073" s="26"/>
      <c r="C3073" s="11">
        <v>2008</v>
      </c>
      <c r="D3073" s="32">
        <f>SPFI_CLB14!$D$31</f>
        <v>0.25494499999999998</v>
      </c>
      <c r="E3073" s="32"/>
      <c r="F3073" s="32"/>
      <c r="G3073" s="32"/>
      <c r="H3073" s="32"/>
      <c r="I3073" s="32"/>
      <c r="J3073" s="28">
        <f t="shared" ref="J3073" si="2742">D3073*J$98</f>
        <v>0</v>
      </c>
      <c r="K3073" s="29"/>
      <c r="L3073" s="29"/>
      <c r="M3073" s="29"/>
      <c r="N3073" s="29"/>
      <c r="O3073" s="29"/>
      <c r="P3073" s="30">
        <f t="shared" si="2740"/>
        <v>0</v>
      </c>
      <c r="Q3073" s="31">
        <f t="shared" si="2738"/>
        <v>0</v>
      </c>
    </row>
    <row r="3074" spans="1:17" x14ac:dyDescent="0.2">
      <c r="A3074" s="10"/>
      <c r="B3074" s="26"/>
      <c r="C3074" s="11">
        <v>2009</v>
      </c>
      <c r="D3074" s="32">
        <f>SPFI_CLB14!$D$32</f>
        <v>0.52383000000000002</v>
      </c>
      <c r="E3074" s="32"/>
      <c r="F3074" s="32"/>
      <c r="G3074" s="32"/>
      <c r="H3074" s="32"/>
      <c r="I3074" s="32"/>
      <c r="J3074" s="28">
        <f t="shared" ref="J3074" si="2743">D3074*J$98</f>
        <v>0</v>
      </c>
      <c r="K3074" s="29"/>
      <c r="L3074" s="29"/>
      <c r="M3074" s="29"/>
      <c r="N3074" s="29"/>
      <c r="O3074" s="29"/>
      <c r="P3074" s="30">
        <f t="shared" si="2740"/>
        <v>0</v>
      </c>
      <c r="Q3074" s="31">
        <f t="shared" si="2738"/>
        <v>0</v>
      </c>
    </row>
    <row r="3075" spans="1:17" x14ac:dyDescent="0.2">
      <c r="A3075" s="10"/>
      <c r="B3075" s="26"/>
      <c r="C3075" s="11">
        <v>2010</v>
      </c>
      <c r="D3075" s="32">
        <f>SPFI_CLB14!$D$33</f>
        <v>0.31394</v>
      </c>
      <c r="E3075" s="32"/>
      <c r="F3075" s="32"/>
      <c r="G3075" s="32"/>
      <c r="H3075" s="32"/>
      <c r="I3075" s="32"/>
      <c r="J3075" s="28">
        <f t="shared" ref="J3075" si="2744">D3075*J$98</f>
        <v>0</v>
      </c>
      <c r="K3075" s="29"/>
      <c r="L3075" s="29"/>
      <c r="M3075" s="29"/>
      <c r="N3075" s="29"/>
      <c r="O3075" s="29"/>
      <c r="P3075" s="30">
        <f t="shared" si="2740"/>
        <v>0</v>
      </c>
      <c r="Q3075" s="31">
        <f t="shared" si="2738"/>
        <v>0</v>
      </c>
    </row>
    <row r="3076" spans="1:17" x14ac:dyDescent="0.2">
      <c r="A3076" s="10"/>
      <c r="B3076" s="26"/>
      <c r="C3076" s="11">
        <v>2011</v>
      </c>
      <c r="D3076" s="32">
        <f>SPFI_CLB14!$D$34</f>
        <v>0.294348</v>
      </c>
      <c r="E3076" s="32"/>
      <c r="F3076" s="32"/>
      <c r="G3076" s="32"/>
      <c r="H3076" s="32"/>
      <c r="I3076" s="32"/>
      <c r="J3076" s="28">
        <f t="shared" ref="J3076" si="2745">D3076*J$98</f>
        <v>0</v>
      </c>
      <c r="K3076" s="29"/>
      <c r="L3076" s="29"/>
      <c r="M3076" s="29"/>
      <c r="N3076" s="29"/>
      <c r="O3076" s="29"/>
      <c r="P3076" s="30">
        <f t="shared" ref="P3076" si="2746">SUM(J3076:O3076)</f>
        <v>0</v>
      </c>
      <c r="Q3076" s="31">
        <f t="shared" ref="Q3076" si="2747">IF(C$98&gt;0,P3076/C$98,0)</f>
        <v>0</v>
      </c>
    </row>
    <row r="3077" spans="1:17" x14ac:dyDescent="0.2">
      <c r="A3077" s="10"/>
      <c r="B3077" s="26"/>
      <c r="C3077" s="11">
        <v>2012</v>
      </c>
      <c r="D3077" s="32">
        <f>SPFI_CLB14!$D$35</f>
        <v>0.34784100000000001</v>
      </c>
      <c r="E3077" s="32"/>
      <c r="F3077" s="32"/>
      <c r="G3077" s="32"/>
      <c r="H3077" s="32"/>
      <c r="I3077" s="32"/>
      <c r="J3077" s="28">
        <f t="shared" ref="J3077" si="2748">D3077*J$98</f>
        <v>0</v>
      </c>
      <c r="K3077" s="29"/>
      <c r="L3077" s="29"/>
      <c r="M3077" s="29"/>
      <c r="N3077" s="29"/>
      <c r="O3077" s="29"/>
      <c r="P3077" s="30">
        <f t="shared" ref="P3077" si="2749">SUM(J3077:O3077)</f>
        <v>0</v>
      </c>
      <c r="Q3077" s="31">
        <f t="shared" ref="Q3077" si="2750">IF(C$98&gt;0,P3077/C$98,0)</f>
        <v>0</v>
      </c>
    </row>
    <row r="3078" spans="1:17" x14ac:dyDescent="0.2">
      <c r="A3078" s="5" t="s">
        <v>29</v>
      </c>
      <c r="B3078" s="21">
        <v>5</v>
      </c>
      <c r="C3078" s="6">
        <v>1982</v>
      </c>
      <c r="D3078" s="27">
        <f>SPFI_CLB14!$D$5</f>
        <v>0.98153299999999999</v>
      </c>
      <c r="E3078" s="27"/>
      <c r="F3078" s="27"/>
      <c r="G3078" s="27"/>
      <c r="H3078" s="27"/>
      <c r="I3078" s="27"/>
      <c r="J3078" s="33">
        <f t="shared" ref="J3078:J3090" si="2751">D3078*J$99</f>
        <v>0</v>
      </c>
      <c r="K3078" s="27"/>
      <c r="L3078" s="27"/>
      <c r="M3078" s="27"/>
      <c r="N3078" s="27"/>
      <c r="O3078" s="27"/>
      <c r="P3078" s="34">
        <f t="shared" si="2740"/>
        <v>0</v>
      </c>
      <c r="Q3078" s="35">
        <f t="shared" ref="Q3078:Q3094" si="2752">IF(C$99&gt;0,P3078/C$99,0)</f>
        <v>0</v>
      </c>
    </row>
    <row r="3079" spans="1:17" x14ac:dyDescent="0.2">
      <c r="A3079" s="10"/>
      <c r="B3079" s="26"/>
      <c r="C3079" s="11">
        <v>1983</v>
      </c>
      <c r="D3079" s="32">
        <f>SPFI_CLB14!$D$6</f>
        <v>0.93659899999999996</v>
      </c>
      <c r="E3079" s="32"/>
      <c r="F3079" s="32"/>
      <c r="G3079" s="32"/>
      <c r="H3079" s="32"/>
      <c r="I3079" s="32"/>
      <c r="J3079" s="28">
        <f t="shared" si="2751"/>
        <v>0</v>
      </c>
      <c r="K3079" s="29"/>
      <c r="L3079" s="29"/>
      <c r="M3079" s="29"/>
      <c r="N3079" s="29"/>
      <c r="O3079" s="29"/>
      <c r="P3079" s="30">
        <f t="shared" ref="P3079:P3090" si="2753">SUM(J3079:O3079)</f>
        <v>0</v>
      </c>
      <c r="Q3079" s="31">
        <f t="shared" si="2752"/>
        <v>0</v>
      </c>
    </row>
    <row r="3080" spans="1:17" x14ac:dyDescent="0.2">
      <c r="A3080" s="10"/>
      <c r="B3080" s="26"/>
      <c r="C3080" s="11">
        <v>1984</v>
      </c>
      <c r="D3080" s="32">
        <f>SPFI_CLB14!$D$7</f>
        <v>0.92793599999999998</v>
      </c>
      <c r="E3080" s="32"/>
      <c r="F3080" s="32"/>
      <c r="G3080" s="32"/>
      <c r="H3080" s="32"/>
      <c r="I3080" s="32"/>
      <c r="J3080" s="28">
        <f t="shared" si="2751"/>
        <v>0</v>
      </c>
      <c r="K3080" s="29"/>
      <c r="L3080" s="29"/>
      <c r="M3080" s="29"/>
      <c r="N3080" s="29"/>
      <c r="O3080" s="29"/>
      <c r="P3080" s="30">
        <f t="shared" si="2753"/>
        <v>0</v>
      </c>
      <c r="Q3080" s="31">
        <f t="shared" si="2752"/>
        <v>0</v>
      </c>
    </row>
    <row r="3081" spans="1:17" x14ac:dyDescent="0.2">
      <c r="A3081" s="10"/>
      <c r="B3081" s="26"/>
      <c r="C3081" s="11">
        <v>1985</v>
      </c>
      <c r="D3081" s="32">
        <f>SPFI_CLB14!$D$8</f>
        <v>0.90386500000000003</v>
      </c>
      <c r="E3081" s="32"/>
      <c r="F3081" s="32"/>
      <c r="G3081" s="32"/>
      <c r="H3081" s="32"/>
      <c r="I3081" s="32"/>
      <c r="J3081" s="28">
        <f t="shared" si="2751"/>
        <v>0</v>
      </c>
      <c r="K3081" s="29"/>
      <c r="L3081" s="29"/>
      <c r="M3081" s="29"/>
      <c r="N3081" s="29"/>
      <c r="O3081" s="29"/>
      <c r="P3081" s="30">
        <f t="shared" si="2753"/>
        <v>0</v>
      </c>
      <c r="Q3081" s="31">
        <f t="shared" si="2752"/>
        <v>0</v>
      </c>
    </row>
    <row r="3082" spans="1:17" x14ac:dyDescent="0.2">
      <c r="A3082" s="10"/>
      <c r="B3082" s="26"/>
      <c r="C3082" s="11">
        <v>1986</v>
      </c>
      <c r="D3082" s="32">
        <f>SPFI_CLB14!$D$9</f>
        <v>0.73087500000000005</v>
      </c>
      <c r="E3082" s="32"/>
      <c r="F3082" s="32"/>
      <c r="G3082" s="32"/>
      <c r="H3082" s="32"/>
      <c r="I3082" s="32"/>
      <c r="J3082" s="28">
        <f t="shared" si="2751"/>
        <v>0</v>
      </c>
      <c r="K3082" s="29"/>
      <c r="L3082" s="29"/>
      <c r="M3082" s="29"/>
      <c r="N3082" s="29"/>
      <c r="O3082" s="29"/>
      <c r="P3082" s="30">
        <f t="shared" si="2753"/>
        <v>0</v>
      </c>
      <c r="Q3082" s="31">
        <f t="shared" si="2752"/>
        <v>0</v>
      </c>
    </row>
    <row r="3083" spans="1:17" x14ac:dyDescent="0.2">
      <c r="A3083" s="10"/>
      <c r="B3083" s="26"/>
      <c r="C3083" s="11">
        <v>1987</v>
      </c>
      <c r="D3083" s="32">
        <f>SPFI_CLB14!$D$10</f>
        <v>0.71733499999999994</v>
      </c>
      <c r="E3083" s="32"/>
      <c r="F3083" s="32"/>
      <c r="G3083" s="32"/>
      <c r="H3083" s="32"/>
      <c r="I3083" s="32"/>
      <c r="J3083" s="28">
        <f t="shared" si="2751"/>
        <v>0</v>
      </c>
      <c r="K3083" s="29"/>
      <c r="L3083" s="29"/>
      <c r="M3083" s="29"/>
      <c r="N3083" s="29"/>
      <c r="O3083" s="29"/>
      <c r="P3083" s="30">
        <f t="shared" si="2753"/>
        <v>0</v>
      </c>
      <c r="Q3083" s="31">
        <f t="shared" si="2752"/>
        <v>0</v>
      </c>
    </row>
    <row r="3084" spans="1:17" x14ac:dyDescent="0.2">
      <c r="A3084" s="10"/>
      <c r="B3084" s="26"/>
      <c r="C3084" s="11">
        <v>1988</v>
      </c>
      <c r="D3084" s="32">
        <f>SPFI_CLB14!$D$11</f>
        <v>0.64558800000000005</v>
      </c>
      <c r="E3084" s="32"/>
      <c r="F3084" s="32"/>
      <c r="G3084" s="32"/>
      <c r="H3084" s="32"/>
      <c r="I3084" s="32"/>
      <c r="J3084" s="28">
        <f t="shared" si="2751"/>
        <v>0</v>
      </c>
      <c r="K3084" s="29"/>
      <c r="L3084" s="29"/>
      <c r="M3084" s="29"/>
      <c r="N3084" s="29"/>
      <c r="O3084" s="29"/>
      <c r="P3084" s="30">
        <f t="shared" si="2753"/>
        <v>0</v>
      </c>
      <c r="Q3084" s="31">
        <f t="shared" si="2752"/>
        <v>0</v>
      </c>
    </row>
    <row r="3085" spans="1:17" x14ac:dyDescent="0.2">
      <c r="A3085" s="10"/>
      <c r="B3085" s="26"/>
      <c r="C3085" s="11">
        <v>1989</v>
      </c>
      <c r="D3085" s="32">
        <f>SPFI_CLB14!$D$12</f>
        <v>0.65287700000000004</v>
      </c>
      <c r="E3085" s="32"/>
      <c r="F3085" s="32"/>
      <c r="G3085" s="32"/>
      <c r="H3085" s="32"/>
      <c r="I3085" s="32"/>
      <c r="J3085" s="28">
        <f t="shared" si="2751"/>
        <v>0</v>
      </c>
      <c r="K3085" s="29"/>
      <c r="L3085" s="29"/>
      <c r="M3085" s="29"/>
      <c r="N3085" s="29"/>
      <c r="O3085" s="29"/>
      <c r="P3085" s="30">
        <f t="shared" si="2753"/>
        <v>0</v>
      </c>
      <c r="Q3085" s="31">
        <f t="shared" si="2752"/>
        <v>0</v>
      </c>
    </row>
    <row r="3086" spans="1:17" x14ac:dyDescent="0.2">
      <c r="A3086" s="10"/>
      <c r="B3086" s="26"/>
      <c r="C3086" s="11">
        <v>1990</v>
      </c>
      <c r="D3086" s="32">
        <f>SPFI_CLB14!$D$13</f>
        <v>0.56965100000000002</v>
      </c>
      <c r="E3086" s="32"/>
      <c r="F3086" s="32"/>
      <c r="G3086" s="32"/>
      <c r="H3086" s="32"/>
      <c r="I3086" s="32"/>
      <c r="J3086" s="28">
        <f t="shared" si="2751"/>
        <v>0</v>
      </c>
      <c r="K3086" s="29"/>
      <c r="L3086" s="29"/>
      <c r="M3086" s="29"/>
      <c r="N3086" s="29"/>
      <c r="O3086" s="29"/>
      <c r="P3086" s="30">
        <f t="shared" si="2753"/>
        <v>0</v>
      </c>
      <c r="Q3086" s="31">
        <f t="shared" si="2752"/>
        <v>0</v>
      </c>
    </row>
    <row r="3087" spans="1:17" x14ac:dyDescent="0.2">
      <c r="A3087" s="10"/>
      <c r="B3087" s="26"/>
      <c r="C3087" s="11">
        <v>1991</v>
      </c>
      <c r="D3087" s="32">
        <f>SPFI_CLB14!$D$14</f>
        <v>0.62776900000000002</v>
      </c>
      <c r="E3087" s="32"/>
      <c r="F3087" s="32"/>
      <c r="G3087" s="32"/>
      <c r="H3087" s="32"/>
      <c r="I3087" s="32"/>
      <c r="J3087" s="28">
        <f t="shared" si="2751"/>
        <v>0</v>
      </c>
      <c r="K3087" s="29"/>
      <c r="L3087" s="29"/>
      <c r="M3087" s="29"/>
      <c r="N3087" s="29"/>
      <c r="O3087" s="29"/>
      <c r="P3087" s="30">
        <f t="shared" si="2753"/>
        <v>0</v>
      </c>
      <c r="Q3087" s="31">
        <f t="shared" si="2752"/>
        <v>0</v>
      </c>
    </row>
    <row r="3088" spans="1:17" x14ac:dyDescent="0.2">
      <c r="A3088" s="10"/>
      <c r="B3088" s="26"/>
      <c r="C3088" s="11">
        <v>1992</v>
      </c>
      <c r="D3088" s="32">
        <f>SPFI_CLB14!$D$15</f>
        <v>0.43504100000000001</v>
      </c>
      <c r="E3088" s="32"/>
      <c r="F3088" s="32"/>
      <c r="G3088" s="32"/>
      <c r="H3088" s="32"/>
      <c r="I3088" s="32"/>
      <c r="J3088" s="28">
        <f t="shared" si="2751"/>
        <v>0</v>
      </c>
      <c r="K3088" s="29"/>
      <c r="L3088" s="29"/>
      <c r="M3088" s="29"/>
      <c r="N3088" s="29"/>
      <c r="O3088" s="29"/>
      <c r="P3088" s="30">
        <f t="shared" si="2753"/>
        <v>0</v>
      </c>
      <c r="Q3088" s="31">
        <f t="shared" si="2752"/>
        <v>0</v>
      </c>
    </row>
    <row r="3089" spans="1:17" x14ac:dyDescent="0.2">
      <c r="A3089" s="10"/>
      <c r="B3089" s="26"/>
      <c r="C3089" s="11">
        <v>1993</v>
      </c>
      <c r="D3089" s="32">
        <f>SPFI_CLB14!$D$16</f>
        <v>0.499164</v>
      </c>
      <c r="E3089" s="32"/>
      <c r="F3089" s="32"/>
      <c r="G3089" s="32"/>
      <c r="H3089" s="32"/>
      <c r="I3089" s="32"/>
      <c r="J3089" s="28">
        <f t="shared" si="2751"/>
        <v>0</v>
      </c>
      <c r="K3089" s="29"/>
      <c r="L3089" s="29"/>
      <c r="M3089" s="29"/>
      <c r="N3089" s="29"/>
      <c r="O3089" s="29"/>
      <c r="P3089" s="30">
        <f t="shared" si="2753"/>
        <v>0</v>
      </c>
      <c r="Q3089" s="31">
        <f t="shared" si="2752"/>
        <v>0</v>
      </c>
    </row>
    <row r="3090" spans="1:17" x14ac:dyDescent="0.2">
      <c r="A3090" s="10"/>
      <c r="B3090" s="26" t="s">
        <v>48</v>
      </c>
      <c r="C3090" s="11">
        <v>1994</v>
      </c>
      <c r="D3090" s="32">
        <f>SPFI_CLB14!$D$17</f>
        <v>0.59591300000000003</v>
      </c>
      <c r="E3090" s="32"/>
      <c r="F3090" s="32"/>
      <c r="G3090" s="32"/>
      <c r="H3090" s="32"/>
      <c r="I3090" s="32"/>
      <c r="J3090" s="28">
        <f t="shared" si="2751"/>
        <v>0</v>
      </c>
      <c r="K3090" s="29"/>
      <c r="L3090" s="29"/>
      <c r="M3090" s="29"/>
      <c r="N3090" s="29"/>
      <c r="O3090" s="29"/>
      <c r="P3090" s="30">
        <f t="shared" si="2753"/>
        <v>0</v>
      </c>
      <c r="Q3090" s="31">
        <f t="shared" si="2752"/>
        <v>0</v>
      </c>
    </row>
    <row r="3091" spans="1:17" x14ac:dyDescent="0.2">
      <c r="A3091" s="10"/>
      <c r="B3091" s="26"/>
      <c r="C3091" s="11">
        <v>1995</v>
      </c>
      <c r="D3091" s="32">
        <f>SPFI_CLB14!$D$18</f>
        <v>0.25400800000000001</v>
      </c>
      <c r="E3091" s="32"/>
      <c r="F3091" s="32"/>
      <c r="G3091" s="32"/>
      <c r="H3091" s="32"/>
      <c r="I3091" s="32"/>
      <c r="J3091" s="28">
        <f t="shared" ref="J3091" si="2754">D3091*J$99</f>
        <v>0</v>
      </c>
      <c r="K3091" s="29"/>
      <c r="L3091" s="29"/>
      <c r="M3091" s="29"/>
      <c r="N3091" s="29"/>
      <c r="O3091" s="29"/>
      <c r="P3091" s="30">
        <f>SUM(J3091:O3091)</f>
        <v>0</v>
      </c>
      <c r="Q3091" s="31">
        <f t="shared" si="2752"/>
        <v>0</v>
      </c>
    </row>
    <row r="3092" spans="1:17" x14ac:dyDescent="0.2">
      <c r="A3092" s="10"/>
      <c r="B3092" s="26"/>
      <c r="C3092" s="11">
        <v>1996</v>
      </c>
      <c r="D3092" s="32">
        <f>SPFI_CLB14!$D$19</f>
        <v>0</v>
      </c>
      <c r="E3092" s="32"/>
      <c r="F3092" s="32"/>
      <c r="G3092" s="32"/>
      <c r="H3092" s="32"/>
      <c r="I3092" s="32"/>
      <c r="J3092" s="28">
        <f t="shared" ref="J3092" si="2755">D3092*J$99</f>
        <v>0</v>
      </c>
      <c r="K3092" s="29"/>
      <c r="L3092" s="29"/>
      <c r="M3092" s="29"/>
      <c r="N3092" s="29"/>
      <c r="O3092" s="29"/>
      <c r="P3092" s="30">
        <f>SUM(J3092:O3092)</f>
        <v>0</v>
      </c>
      <c r="Q3092" s="31">
        <f t="shared" si="2752"/>
        <v>0</v>
      </c>
    </row>
    <row r="3093" spans="1:17" x14ac:dyDescent="0.2">
      <c r="A3093" s="10"/>
      <c r="B3093" s="26"/>
      <c r="C3093" s="11">
        <v>1997</v>
      </c>
      <c r="D3093" s="32">
        <f>SPFI_CLB14!$D$20</f>
        <v>0.201487</v>
      </c>
      <c r="E3093" s="32"/>
      <c r="F3093" s="32"/>
      <c r="G3093" s="32"/>
      <c r="H3093" s="32"/>
      <c r="I3093" s="32"/>
      <c r="J3093" s="28">
        <f t="shared" ref="J3093" si="2756">D3093*J$99</f>
        <v>0</v>
      </c>
      <c r="K3093" s="29"/>
      <c r="L3093" s="29"/>
      <c r="M3093" s="29"/>
      <c r="N3093" s="29"/>
      <c r="O3093" s="29"/>
      <c r="P3093" s="30">
        <f>SUM(J3093:O3093)</f>
        <v>0</v>
      </c>
      <c r="Q3093" s="31">
        <f t="shared" si="2752"/>
        <v>0</v>
      </c>
    </row>
    <row r="3094" spans="1:17" x14ac:dyDescent="0.2">
      <c r="A3094" s="10"/>
      <c r="B3094" s="26"/>
      <c r="C3094" s="11">
        <v>1998</v>
      </c>
      <c r="D3094" s="32">
        <f>SPFI_CLB14!$D$21</f>
        <v>0.37506400000000001</v>
      </c>
      <c r="E3094" s="32"/>
      <c r="F3094" s="32"/>
      <c r="G3094" s="32"/>
      <c r="H3094" s="32"/>
      <c r="I3094" s="32"/>
      <c r="J3094" s="28">
        <f t="shared" ref="J3094" si="2757">D3094*J$99</f>
        <v>0</v>
      </c>
      <c r="K3094" s="29"/>
      <c r="L3094" s="29"/>
      <c r="M3094" s="29"/>
      <c r="N3094" s="29"/>
      <c r="O3094" s="29"/>
      <c r="P3094" s="30">
        <f>SUM(J3094:O3094)</f>
        <v>0</v>
      </c>
      <c r="Q3094" s="31">
        <f t="shared" si="2752"/>
        <v>0</v>
      </c>
    </row>
    <row r="3095" spans="1:17" x14ac:dyDescent="0.2">
      <c r="A3095" s="10"/>
      <c r="B3095" s="26"/>
      <c r="C3095" s="11">
        <v>1999</v>
      </c>
      <c r="D3095" s="32">
        <f>SPFI_CLB14!$D$22</f>
        <v>0.29823699999999997</v>
      </c>
      <c r="E3095" s="32"/>
      <c r="F3095" s="32"/>
      <c r="G3095" s="32"/>
      <c r="H3095" s="32"/>
      <c r="I3095" s="32"/>
      <c r="J3095" s="28">
        <f t="shared" ref="J3095" si="2758">D3095*J$99</f>
        <v>0</v>
      </c>
      <c r="K3095" s="29"/>
      <c r="L3095" s="29"/>
      <c r="M3095" s="29"/>
      <c r="N3095" s="29"/>
      <c r="O3095" s="29"/>
      <c r="P3095" s="30">
        <f>SUM(J3095:O3095)</f>
        <v>0</v>
      </c>
      <c r="Q3095" s="31">
        <f t="shared" ref="Q3095:Q3100" si="2759">IF(C$99&gt;0,P3095/C$99,0)</f>
        <v>0</v>
      </c>
    </row>
    <row r="3096" spans="1:17" x14ac:dyDescent="0.2">
      <c r="A3096" s="10"/>
      <c r="B3096" s="26"/>
      <c r="C3096" s="11">
        <v>2000</v>
      </c>
      <c r="D3096" s="32">
        <f>SPFI_CLB14!$D$23</f>
        <v>8.4414000000000003E-2</v>
      </c>
      <c r="E3096" s="32"/>
      <c r="F3096" s="32"/>
      <c r="G3096" s="32"/>
      <c r="H3096" s="32"/>
      <c r="I3096" s="32"/>
      <c r="J3096" s="28">
        <f t="shared" ref="J3096" si="2760">D3096*J$99</f>
        <v>0</v>
      </c>
      <c r="K3096" s="29"/>
      <c r="L3096" s="29"/>
      <c r="M3096" s="29"/>
      <c r="N3096" s="29"/>
      <c r="O3096" s="29"/>
      <c r="P3096" s="30">
        <f t="shared" ref="P3096:P3101" si="2761">SUM(J3096:O3096)</f>
        <v>0</v>
      </c>
      <c r="Q3096" s="31">
        <f t="shared" si="2759"/>
        <v>0</v>
      </c>
    </row>
    <row r="3097" spans="1:17" x14ac:dyDescent="0.2">
      <c r="A3097" s="10"/>
      <c r="B3097" s="26"/>
      <c r="C3097" s="11">
        <v>2001</v>
      </c>
      <c r="D3097" s="32">
        <f>SPFI_CLB14!$D$24</f>
        <v>7.8909000000000007E-2</v>
      </c>
      <c r="E3097" s="32"/>
      <c r="F3097" s="32"/>
      <c r="G3097" s="32"/>
      <c r="H3097" s="32"/>
      <c r="I3097" s="32"/>
      <c r="J3097" s="28">
        <f t="shared" ref="J3097" si="2762">D3097*J$99</f>
        <v>0</v>
      </c>
      <c r="K3097" s="29"/>
      <c r="L3097" s="29"/>
      <c r="M3097" s="29"/>
      <c r="N3097" s="29"/>
      <c r="O3097" s="29"/>
      <c r="P3097" s="30">
        <f t="shared" si="2761"/>
        <v>0</v>
      </c>
      <c r="Q3097" s="31">
        <f t="shared" si="2759"/>
        <v>0</v>
      </c>
    </row>
    <row r="3098" spans="1:17" x14ac:dyDescent="0.2">
      <c r="A3098" s="10"/>
      <c r="B3098" s="26"/>
      <c r="C3098" s="11">
        <v>2002</v>
      </c>
      <c r="D3098" s="32">
        <f>SPFI_CLB14!$D$25</f>
        <v>0.29974699999999999</v>
      </c>
      <c r="E3098" s="32"/>
      <c r="F3098" s="32"/>
      <c r="G3098" s="32"/>
      <c r="H3098" s="32"/>
      <c r="I3098" s="32"/>
      <c r="J3098" s="28">
        <f t="shared" ref="J3098" si="2763">D3098*J$99</f>
        <v>0</v>
      </c>
      <c r="K3098" s="29"/>
      <c r="L3098" s="29"/>
      <c r="M3098" s="29"/>
      <c r="N3098" s="29"/>
      <c r="O3098" s="29"/>
      <c r="P3098" s="30">
        <f t="shared" si="2761"/>
        <v>0</v>
      </c>
      <c r="Q3098" s="31">
        <f t="shared" si="2759"/>
        <v>0</v>
      </c>
    </row>
    <row r="3099" spans="1:17" x14ac:dyDescent="0.2">
      <c r="A3099" s="10"/>
      <c r="B3099" s="26"/>
      <c r="C3099" s="11">
        <v>2003</v>
      </c>
      <c r="D3099" s="32">
        <f>SPFI_CLB14!$D$26</f>
        <v>0.20691100000000001</v>
      </c>
      <c r="E3099" s="32"/>
      <c r="F3099" s="32"/>
      <c r="G3099" s="32"/>
      <c r="H3099" s="32"/>
      <c r="I3099" s="32"/>
      <c r="J3099" s="28">
        <f t="shared" ref="J3099" si="2764">D3099*J$99</f>
        <v>0</v>
      </c>
      <c r="K3099" s="29"/>
      <c r="L3099" s="29"/>
      <c r="M3099" s="29"/>
      <c r="N3099" s="29"/>
      <c r="O3099" s="29"/>
      <c r="P3099" s="30">
        <f t="shared" si="2761"/>
        <v>0</v>
      </c>
      <c r="Q3099" s="31">
        <f t="shared" si="2759"/>
        <v>0</v>
      </c>
    </row>
    <row r="3100" spans="1:17" x14ac:dyDescent="0.2">
      <c r="A3100" s="10"/>
      <c r="B3100" s="26"/>
      <c r="C3100" s="11">
        <v>2004</v>
      </c>
      <c r="D3100" s="32">
        <f>SPFI_CLB14!$D$27</f>
        <v>0.269237</v>
      </c>
      <c r="E3100" s="32"/>
      <c r="F3100" s="32"/>
      <c r="G3100" s="32"/>
      <c r="H3100" s="32"/>
      <c r="I3100" s="32"/>
      <c r="J3100" s="28">
        <f t="shared" ref="J3100" si="2765">D3100*J$99</f>
        <v>0</v>
      </c>
      <c r="K3100" s="29"/>
      <c r="L3100" s="29"/>
      <c r="M3100" s="29"/>
      <c r="N3100" s="29"/>
      <c r="O3100" s="29"/>
      <c r="P3100" s="30">
        <f t="shared" si="2761"/>
        <v>0</v>
      </c>
      <c r="Q3100" s="31">
        <f t="shared" si="2759"/>
        <v>0</v>
      </c>
    </row>
    <row r="3101" spans="1:17" x14ac:dyDescent="0.2">
      <c r="A3101" s="10"/>
      <c r="B3101" s="26"/>
      <c r="C3101" s="11">
        <v>2005</v>
      </c>
      <c r="D3101" s="32">
        <f>SPFI_CLB14!$D$28</f>
        <v>0.37848700000000002</v>
      </c>
      <c r="E3101" s="32"/>
      <c r="F3101" s="32"/>
      <c r="G3101" s="32"/>
      <c r="H3101" s="32"/>
      <c r="I3101" s="32"/>
      <c r="J3101" s="28">
        <f t="shared" ref="J3101" si="2766">D3101*J$99</f>
        <v>0</v>
      </c>
      <c r="K3101" s="29"/>
      <c r="L3101" s="29"/>
      <c r="M3101" s="29"/>
      <c r="N3101" s="29"/>
      <c r="O3101" s="29"/>
      <c r="P3101" s="30">
        <f t="shared" si="2761"/>
        <v>0</v>
      </c>
      <c r="Q3101" s="31">
        <f t="shared" ref="Q3101:Q3106" si="2767">IF(C$99&gt;0,P3101/C$99,0)</f>
        <v>0</v>
      </c>
    </row>
    <row r="3102" spans="1:17" x14ac:dyDescent="0.2">
      <c r="A3102" s="10"/>
      <c r="B3102" s="26"/>
      <c r="C3102" s="11">
        <v>2006</v>
      </c>
      <c r="D3102" s="32">
        <f>SPFI_CLB14!$D$29</f>
        <v>0.381023</v>
      </c>
      <c r="E3102" s="32"/>
      <c r="F3102" s="32"/>
      <c r="G3102" s="32"/>
      <c r="H3102" s="32"/>
      <c r="I3102" s="32"/>
      <c r="J3102" s="28">
        <f t="shared" ref="J3102" si="2768">D3102*J$99</f>
        <v>0</v>
      </c>
      <c r="K3102" s="29"/>
      <c r="L3102" s="29"/>
      <c r="M3102" s="29"/>
      <c r="N3102" s="29"/>
      <c r="O3102" s="29"/>
      <c r="P3102" s="30">
        <f t="shared" ref="P3102:P3109" si="2769">SUM(J3102:O3102)</f>
        <v>0</v>
      </c>
      <c r="Q3102" s="31">
        <f t="shared" si="2767"/>
        <v>0</v>
      </c>
    </row>
    <row r="3103" spans="1:17" x14ac:dyDescent="0.2">
      <c r="A3103" s="10"/>
      <c r="B3103" s="26"/>
      <c r="C3103" s="11">
        <v>2007</v>
      </c>
      <c r="D3103" s="32">
        <f>SPFI_CLB14!$D$30</f>
        <v>0.356512</v>
      </c>
      <c r="E3103" s="32"/>
      <c r="F3103" s="32"/>
      <c r="G3103" s="32"/>
      <c r="H3103" s="32"/>
      <c r="I3103" s="32"/>
      <c r="J3103" s="28">
        <f t="shared" ref="J3103" si="2770">D3103*J$99</f>
        <v>0</v>
      </c>
      <c r="K3103" s="29"/>
      <c r="L3103" s="29"/>
      <c r="M3103" s="29"/>
      <c r="N3103" s="29"/>
      <c r="O3103" s="29"/>
      <c r="P3103" s="30">
        <f t="shared" si="2769"/>
        <v>0</v>
      </c>
      <c r="Q3103" s="31">
        <f t="shared" si="2767"/>
        <v>0</v>
      </c>
    </row>
    <row r="3104" spans="1:17" x14ac:dyDescent="0.2">
      <c r="A3104" s="10"/>
      <c r="B3104" s="26"/>
      <c r="C3104" s="11">
        <v>2008</v>
      </c>
      <c r="D3104" s="32">
        <f>SPFI_CLB14!$D$31</f>
        <v>0.25494499999999998</v>
      </c>
      <c r="E3104" s="32"/>
      <c r="F3104" s="32"/>
      <c r="G3104" s="32"/>
      <c r="H3104" s="32"/>
      <c r="I3104" s="32"/>
      <c r="J3104" s="28">
        <f t="shared" ref="J3104" si="2771">D3104*J$99</f>
        <v>0</v>
      </c>
      <c r="K3104" s="29"/>
      <c r="L3104" s="29"/>
      <c r="M3104" s="29"/>
      <c r="N3104" s="29"/>
      <c r="O3104" s="29"/>
      <c r="P3104" s="30">
        <f t="shared" si="2769"/>
        <v>0</v>
      </c>
      <c r="Q3104" s="31">
        <f t="shared" si="2767"/>
        <v>0</v>
      </c>
    </row>
    <row r="3105" spans="1:17" x14ac:dyDescent="0.2">
      <c r="A3105" s="10"/>
      <c r="B3105" s="26"/>
      <c r="C3105" s="11">
        <v>2009</v>
      </c>
      <c r="D3105" s="32">
        <f>SPFI_CLB14!$D$32</f>
        <v>0.52383000000000002</v>
      </c>
      <c r="E3105" s="32"/>
      <c r="F3105" s="32"/>
      <c r="G3105" s="32"/>
      <c r="H3105" s="32"/>
      <c r="I3105" s="32"/>
      <c r="J3105" s="28">
        <f t="shared" ref="J3105" si="2772">D3105*J$99</f>
        <v>0</v>
      </c>
      <c r="K3105" s="29"/>
      <c r="L3105" s="29"/>
      <c r="M3105" s="29"/>
      <c r="N3105" s="29"/>
      <c r="O3105" s="29"/>
      <c r="P3105" s="30">
        <f t="shared" si="2769"/>
        <v>0</v>
      </c>
      <c r="Q3105" s="31">
        <f t="shared" si="2767"/>
        <v>0</v>
      </c>
    </row>
    <row r="3106" spans="1:17" x14ac:dyDescent="0.2">
      <c r="A3106" s="10"/>
      <c r="B3106" s="26"/>
      <c r="C3106" s="11">
        <v>2010</v>
      </c>
      <c r="D3106" s="32">
        <f>SPFI_CLB14!$D$33</f>
        <v>0.31394</v>
      </c>
      <c r="E3106" s="32"/>
      <c r="F3106" s="32"/>
      <c r="G3106" s="32"/>
      <c r="H3106" s="32"/>
      <c r="I3106" s="32"/>
      <c r="J3106" s="28">
        <f t="shared" ref="J3106" si="2773">D3106*J$99</f>
        <v>0</v>
      </c>
      <c r="K3106" s="29"/>
      <c r="L3106" s="29"/>
      <c r="M3106" s="29"/>
      <c r="N3106" s="29"/>
      <c r="O3106" s="29"/>
      <c r="P3106" s="30">
        <f t="shared" si="2769"/>
        <v>0</v>
      </c>
      <c r="Q3106" s="31">
        <f t="shared" si="2767"/>
        <v>0</v>
      </c>
    </row>
    <row r="3107" spans="1:17" x14ac:dyDescent="0.2">
      <c r="A3107" s="10"/>
      <c r="B3107" s="26"/>
      <c r="C3107" s="11">
        <v>2011</v>
      </c>
      <c r="D3107" s="32">
        <f>SPFI_CLB14!$D$34</f>
        <v>0.294348</v>
      </c>
      <c r="E3107" s="32"/>
      <c r="F3107" s="32"/>
      <c r="G3107" s="32"/>
      <c r="H3107" s="32"/>
      <c r="I3107" s="32"/>
      <c r="J3107" s="28">
        <f t="shared" ref="J3107" si="2774">D3107*J$99</f>
        <v>0</v>
      </c>
      <c r="K3107" s="29"/>
      <c r="L3107" s="29"/>
      <c r="M3107" s="29"/>
      <c r="N3107" s="29"/>
      <c r="O3107" s="29"/>
      <c r="P3107" s="30">
        <f t="shared" ref="P3107" si="2775">SUM(J3107:O3107)</f>
        <v>0</v>
      </c>
      <c r="Q3107" s="31">
        <f t="shared" ref="Q3107" si="2776">IF(C$99&gt;0,P3107/C$99,0)</f>
        <v>0</v>
      </c>
    </row>
    <row r="3108" spans="1:17" x14ac:dyDescent="0.2">
      <c r="A3108" s="10"/>
      <c r="B3108" s="26"/>
      <c r="C3108" s="11">
        <v>2012</v>
      </c>
      <c r="D3108" s="32">
        <f>SPFI_CLB14!$D$35</f>
        <v>0.34784100000000001</v>
      </c>
      <c r="E3108" s="32"/>
      <c r="F3108" s="32"/>
      <c r="G3108" s="32"/>
      <c r="H3108" s="32"/>
      <c r="I3108" s="32"/>
      <c r="J3108" s="28">
        <f t="shared" ref="J3108" si="2777">D3108*J$99</f>
        <v>0</v>
      </c>
      <c r="K3108" s="29"/>
      <c r="L3108" s="29"/>
      <c r="M3108" s="29"/>
      <c r="N3108" s="29"/>
      <c r="O3108" s="29"/>
      <c r="P3108" s="30">
        <f t="shared" ref="P3108" si="2778">SUM(J3108:O3108)</f>
        <v>0</v>
      </c>
      <c r="Q3108" s="31">
        <f t="shared" ref="Q3108" si="2779">IF(C$99&gt;0,P3108/C$99,0)</f>
        <v>0</v>
      </c>
    </row>
    <row r="3109" spans="1:17" x14ac:dyDescent="0.2">
      <c r="A3109" s="5" t="s">
        <v>30</v>
      </c>
      <c r="B3109" s="21">
        <v>2</v>
      </c>
      <c r="C3109" s="6">
        <v>1982</v>
      </c>
      <c r="D3109" s="27">
        <f>SPFI_CLB14!$D$5</f>
        <v>0.98153299999999999</v>
      </c>
      <c r="E3109" s="27"/>
      <c r="F3109" s="27"/>
      <c r="G3109" s="27"/>
      <c r="H3109" s="27"/>
      <c r="I3109" s="27"/>
      <c r="J3109" s="33">
        <f t="shared" ref="J3109:J3121" si="2780">D3109*J$100</f>
        <v>0</v>
      </c>
      <c r="K3109" s="27"/>
      <c r="L3109" s="27"/>
      <c r="M3109" s="27"/>
      <c r="N3109" s="27"/>
      <c r="O3109" s="27"/>
      <c r="P3109" s="34">
        <f t="shared" si="2769"/>
        <v>0</v>
      </c>
      <c r="Q3109" s="35">
        <f t="shared" ref="Q3109:Q3125" si="2781">IF(C$100&gt;0,P3109/C$100,0)</f>
        <v>0</v>
      </c>
    </row>
    <row r="3110" spans="1:17" x14ac:dyDescent="0.2">
      <c r="A3110" s="10"/>
      <c r="B3110" s="26"/>
      <c r="C3110" s="11">
        <v>1983</v>
      </c>
      <c r="D3110" s="32">
        <f>SPFI_CLB14!$D$6</f>
        <v>0.93659899999999996</v>
      </c>
      <c r="E3110" s="32"/>
      <c r="F3110" s="32"/>
      <c r="G3110" s="32"/>
      <c r="H3110" s="32"/>
      <c r="I3110" s="32"/>
      <c r="J3110" s="28">
        <f t="shared" si="2780"/>
        <v>0</v>
      </c>
      <c r="K3110" s="29"/>
      <c r="L3110" s="29"/>
      <c r="M3110" s="29"/>
      <c r="N3110" s="29"/>
      <c r="O3110" s="29"/>
      <c r="P3110" s="30">
        <f t="shared" ref="P3110:P3121" si="2782">SUM(J3110:O3110)</f>
        <v>0</v>
      </c>
      <c r="Q3110" s="31">
        <f t="shared" si="2781"/>
        <v>0</v>
      </c>
    </row>
    <row r="3111" spans="1:17" x14ac:dyDescent="0.2">
      <c r="A3111" s="10"/>
      <c r="B3111" s="26"/>
      <c r="C3111" s="11">
        <v>1984</v>
      </c>
      <c r="D3111" s="32">
        <f>SPFI_CLB14!$D$7</f>
        <v>0.92793599999999998</v>
      </c>
      <c r="E3111" s="32"/>
      <c r="F3111" s="32"/>
      <c r="G3111" s="32"/>
      <c r="H3111" s="32"/>
      <c r="I3111" s="32"/>
      <c r="J3111" s="28">
        <f t="shared" si="2780"/>
        <v>0</v>
      </c>
      <c r="K3111" s="29"/>
      <c r="L3111" s="29"/>
      <c r="M3111" s="29"/>
      <c r="N3111" s="29"/>
      <c r="O3111" s="29"/>
      <c r="P3111" s="30">
        <f t="shared" si="2782"/>
        <v>0</v>
      </c>
      <c r="Q3111" s="31">
        <f t="shared" si="2781"/>
        <v>0</v>
      </c>
    </row>
    <row r="3112" spans="1:17" x14ac:dyDescent="0.2">
      <c r="A3112" s="10"/>
      <c r="B3112" s="26"/>
      <c r="C3112" s="11">
        <v>1985</v>
      </c>
      <c r="D3112" s="32">
        <f>SPFI_CLB14!$D$8</f>
        <v>0.90386500000000003</v>
      </c>
      <c r="E3112" s="32"/>
      <c r="F3112" s="32"/>
      <c r="G3112" s="32"/>
      <c r="H3112" s="32"/>
      <c r="I3112" s="32"/>
      <c r="J3112" s="28">
        <f t="shared" si="2780"/>
        <v>0</v>
      </c>
      <c r="K3112" s="29"/>
      <c r="L3112" s="29"/>
      <c r="M3112" s="29"/>
      <c r="N3112" s="29"/>
      <c r="O3112" s="29"/>
      <c r="P3112" s="30">
        <f t="shared" si="2782"/>
        <v>0</v>
      </c>
      <c r="Q3112" s="31">
        <f t="shared" si="2781"/>
        <v>0</v>
      </c>
    </row>
    <row r="3113" spans="1:17" x14ac:dyDescent="0.2">
      <c r="A3113" s="10"/>
      <c r="B3113" s="26"/>
      <c r="C3113" s="11">
        <v>1986</v>
      </c>
      <c r="D3113" s="32">
        <f>SPFI_CLB14!$D$9</f>
        <v>0.73087500000000005</v>
      </c>
      <c r="E3113" s="32"/>
      <c r="F3113" s="32"/>
      <c r="G3113" s="32"/>
      <c r="H3113" s="32"/>
      <c r="I3113" s="32"/>
      <c r="J3113" s="28">
        <f t="shared" si="2780"/>
        <v>0</v>
      </c>
      <c r="K3113" s="29"/>
      <c r="L3113" s="29"/>
      <c r="M3113" s="29"/>
      <c r="N3113" s="29"/>
      <c r="O3113" s="29"/>
      <c r="P3113" s="30">
        <f t="shared" si="2782"/>
        <v>0</v>
      </c>
      <c r="Q3113" s="31">
        <f t="shared" si="2781"/>
        <v>0</v>
      </c>
    </row>
    <row r="3114" spans="1:17" x14ac:dyDescent="0.2">
      <c r="A3114" s="10"/>
      <c r="B3114" s="26"/>
      <c r="C3114" s="11">
        <v>1987</v>
      </c>
      <c r="D3114" s="32">
        <f>SPFI_CLB14!$D$10</f>
        <v>0.71733499999999994</v>
      </c>
      <c r="E3114" s="32"/>
      <c r="F3114" s="32"/>
      <c r="G3114" s="32"/>
      <c r="H3114" s="32"/>
      <c r="I3114" s="32"/>
      <c r="J3114" s="28">
        <f t="shared" si="2780"/>
        <v>0</v>
      </c>
      <c r="K3114" s="29"/>
      <c r="L3114" s="29"/>
      <c r="M3114" s="29"/>
      <c r="N3114" s="29"/>
      <c r="O3114" s="29"/>
      <c r="P3114" s="30">
        <f t="shared" si="2782"/>
        <v>0</v>
      </c>
      <c r="Q3114" s="31">
        <f t="shared" si="2781"/>
        <v>0</v>
      </c>
    </row>
    <row r="3115" spans="1:17" x14ac:dyDescent="0.2">
      <c r="A3115" s="10"/>
      <c r="B3115" s="26"/>
      <c r="C3115" s="11">
        <v>1988</v>
      </c>
      <c r="D3115" s="32">
        <f>SPFI_CLB14!$D$11</f>
        <v>0.64558800000000005</v>
      </c>
      <c r="E3115" s="32"/>
      <c r="F3115" s="32"/>
      <c r="G3115" s="32"/>
      <c r="H3115" s="32"/>
      <c r="I3115" s="32"/>
      <c r="J3115" s="28">
        <f t="shared" si="2780"/>
        <v>0</v>
      </c>
      <c r="K3115" s="29"/>
      <c r="L3115" s="29"/>
      <c r="M3115" s="29"/>
      <c r="N3115" s="29"/>
      <c r="O3115" s="29"/>
      <c r="P3115" s="30">
        <f t="shared" si="2782"/>
        <v>0</v>
      </c>
      <c r="Q3115" s="31">
        <f t="shared" si="2781"/>
        <v>0</v>
      </c>
    </row>
    <row r="3116" spans="1:17" x14ac:dyDescent="0.2">
      <c r="A3116" s="10"/>
      <c r="B3116" s="26"/>
      <c r="C3116" s="11">
        <v>1989</v>
      </c>
      <c r="D3116" s="32">
        <f>SPFI_CLB14!$D$12</f>
        <v>0.65287700000000004</v>
      </c>
      <c r="E3116" s="32"/>
      <c r="F3116" s="32"/>
      <c r="G3116" s="32"/>
      <c r="H3116" s="32"/>
      <c r="I3116" s="32"/>
      <c r="J3116" s="28">
        <f t="shared" si="2780"/>
        <v>0</v>
      </c>
      <c r="K3116" s="29"/>
      <c r="L3116" s="29"/>
      <c r="M3116" s="29"/>
      <c r="N3116" s="29"/>
      <c r="O3116" s="29"/>
      <c r="P3116" s="30">
        <f t="shared" si="2782"/>
        <v>0</v>
      </c>
      <c r="Q3116" s="31">
        <f t="shared" si="2781"/>
        <v>0</v>
      </c>
    </row>
    <row r="3117" spans="1:17" x14ac:dyDescent="0.2">
      <c r="A3117" s="10"/>
      <c r="B3117" s="26"/>
      <c r="C3117" s="11">
        <v>1990</v>
      </c>
      <c r="D3117" s="32">
        <f>SPFI_CLB14!$D$13</f>
        <v>0.56965100000000002</v>
      </c>
      <c r="E3117" s="32"/>
      <c r="F3117" s="32"/>
      <c r="G3117" s="32"/>
      <c r="H3117" s="32"/>
      <c r="I3117" s="32"/>
      <c r="J3117" s="28">
        <f t="shared" si="2780"/>
        <v>0</v>
      </c>
      <c r="K3117" s="29"/>
      <c r="L3117" s="29"/>
      <c r="M3117" s="29"/>
      <c r="N3117" s="29"/>
      <c r="O3117" s="29"/>
      <c r="P3117" s="30">
        <f t="shared" si="2782"/>
        <v>0</v>
      </c>
      <c r="Q3117" s="31">
        <f t="shared" si="2781"/>
        <v>0</v>
      </c>
    </row>
    <row r="3118" spans="1:17" x14ac:dyDescent="0.2">
      <c r="A3118" s="10"/>
      <c r="B3118" s="26"/>
      <c r="C3118" s="11">
        <v>1991</v>
      </c>
      <c r="D3118" s="32">
        <f>SPFI_CLB14!$D$14</f>
        <v>0.62776900000000002</v>
      </c>
      <c r="E3118" s="32"/>
      <c r="F3118" s="32"/>
      <c r="G3118" s="32"/>
      <c r="H3118" s="32"/>
      <c r="I3118" s="32"/>
      <c r="J3118" s="28">
        <f t="shared" si="2780"/>
        <v>0</v>
      </c>
      <c r="K3118" s="29"/>
      <c r="L3118" s="29"/>
      <c r="M3118" s="29"/>
      <c r="N3118" s="29"/>
      <c r="O3118" s="29"/>
      <c r="P3118" s="30">
        <f t="shared" si="2782"/>
        <v>0</v>
      </c>
      <c r="Q3118" s="31">
        <f t="shared" si="2781"/>
        <v>0</v>
      </c>
    </row>
    <row r="3119" spans="1:17" x14ac:dyDescent="0.2">
      <c r="A3119" s="10"/>
      <c r="B3119" s="26"/>
      <c r="C3119" s="11">
        <v>1992</v>
      </c>
      <c r="D3119" s="32">
        <f>SPFI_CLB14!$D$15</f>
        <v>0.43504100000000001</v>
      </c>
      <c r="E3119" s="32"/>
      <c r="F3119" s="32"/>
      <c r="G3119" s="32"/>
      <c r="H3119" s="32"/>
      <c r="I3119" s="32"/>
      <c r="J3119" s="28">
        <f t="shared" si="2780"/>
        <v>0</v>
      </c>
      <c r="K3119" s="29"/>
      <c r="L3119" s="29"/>
      <c r="M3119" s="29"/>
      <c r="N3119" s="29"/>
      <c r="O3119" s="29"/>
      <c r="P3119" s="30">
        <f t="shared" si="2782"/>
        <v>0</v>
      </c>
      <c r="Q3119" s="31">
        <f t="shared" si="2781"/>
        <v>0</v>
      </c>
    </row>
    <row r="3120" spans="1:17" x14ac:dyDescent="0.2">
      <c r="A3120" s="10"/>
      <c r="B3120" s="26"/>
      <c r="C3120" s="11">
        <v>1993</v>
      </c>
      <c r="D3120" s="32">
        <f>SPFI_CLB14!$D$16</f>
        <v>0.499164</v>
      </c>
      <c r="E3120" s="32"/>
      <c r="F3120" s="32"/>
      <c r="G3120" s="32"/>
      <c r="H3120" s="32"/>
      <c r="I3120" s="32"/>
      <c r="J3120" s="28">
        <f t="shared" si="2780"/>
        <v>0</v>
      </c>
      <c r="K3120" s="29"/>
      <c r="L3120" s="29"/>
      <c r="M3120" s="29"/>
      <c r="N3120" s="29"/>
      <c r="O3120" s="29"/>
      <c r="P3120" s="30">
        <f t="shared" si="2782"/>
        <v>0</v>
      </c>
      <c r="Q3120" s="31">
        <f t="shared" si="2781"/>
        <v>0</v>
      </c>
    </row>
    <row r="3121" spans="1:17" x14ac:dyDescent="0.2">
      <c r="A3121" s="10"/>
      <c r="B3121" s="26"/>
      <c r="C3121" s="11">
        <v>1994</v>
      </c>
      <c r="D3121" s="32">
        <f>SPFI_CLB14!$D$17</f>
        <v>0.59591300000000003</v>
      </c>
      <c r="E3121" s="32"/>
      <c r="F3121" s="32"/>
      <c r="G3121" s="32"/>
      <c r="H3121" s="32"/>
      <c r="I3121" s="32"/>
      <c r="J3121" s="28">
        <f t="shared" si="2780"/>
        <v>0</v>
      </c>
      <c r="K3121" s="29"/>
      <c r="L3121" s="29"/>
      <c r="M3121" s="29"/>
      <c r="N3121" s="29"/>
      <c r="O3121" s="29"/>
      <c r="P3121" s="30">
        <f t="shared" si="2782"/>
        <v>0</v>
      </c>
      <c r="Q3121" s="31">
        <f t="shared" si="2781"/>
        <v>0</v>
      </c>
    </row>
    <row r="3122" spans="1:17" x14ac:dyDescent="0.2">
      <c r="A3122" s="10"/>
      <c r="B3122" s="26"/>
      <c r="C3122" s="11">
        <v>1995</v>
      </c>
      <c r="D3122" s="32">
        <f>SPFI_CLB14!$D$18</f>
        <v>0.25400800000000001</v>
      </c>
      <c r="E3122" s="32"/>
      <c r="F3122" s="32"/>
      <c r="G3122" s="32"/>
      <c r="H3122" s="32"/>
      <c r="I3122" s="32"/>
      <c r="J3122" s="28">
        <f t="shared" ref="J3122" si="2783">D3122*J$100</f>
        <v>0</v>
      </c>
      <c r="K3122" s="29"/>
      <c r="L3122" s="29"/>
      <c r="M3122" s="29"/>
      <c r="N3122" s="29"/>
      <c r="O3122" s="29"/>
      <c r="P3122" s="30">
        <f>SUM(J3122:O3122)</f>
        <v>0</v>
      </c>
      <c r="Q3122" s="31">
        <f t="shared" si="2781"/>
        <v>0</v>
      </c>
    </row>
    <row r="3123" spans="1:17" x14ac:dyDescent="0.2">
      <c r="A3123" s="10"/>
      <c r="B3123" s="26"/>
      <c r="C3123" s="11">
        <v>1996</v>
      </c>
      <c r="D3123" s="32">
        <f>SPFI_CLB14!$D$19</f>
        <v>0</v>
      </c>
      <c r="E3123" s="32"/>
      <c r="F3123" s="32"/>
      <c r="G3123" s="32"/>
      <c r="H3123" s="32"/>
      <c r="I3123" s="32"/>
      <c r="J3123" s="28">
        <f t="shared" ref="J3123" si="2784">D3123*J$100</f>
        <v>0</v>
      </c>
      <c r="K3123" s="29"/>
      <c r="L3123" s="29"/>
      <c r="M3123" s="29"/>
      <c r="N3123" s="29"/>
      <c r="O3123" s="29"/>
      <c r="P3123" s="30">
        <f>SUM(J3123:O3123)</f>
        <v>0</v>
      </c>
      <c r="Q3123" s="31">
        <f t="shared" si="2781"/>
        <v>0</v>
      </c>
    </row>
    <row r="3124" spans="1:17" x14ac:dyDescent="0.2">
      <c r="A3124" s="10"/>
      <c r="B3124" s="26"/>
      <c r="C3124" s="11">
        <v>1997</v>
      </c>
      <c r="D3124" s="32">
        <f>SPFI_CLB14!$D$20</f>
        <v>0.201487</v>
      </c>
      <c r="E3124" s="32"/>
      <c r="F3124" s="32"/>
      <c r="G3124" s="32"/>
      <c r="H3124" s="32"/>
      <c r="I3124" s="32"/>
      <c r="J3124" s="28">
        <f t="shared" ref="J3124" si="2785">D3124*J$100</f>
        <v>0</v>
      </c>
      <c r="K3124" s="29"/>
      <c r="L3124" s="29"/>
      <c r="M3124" s="29"/>
      <c r="N3124" s="29"/>
      <c r="O3124" s="29"/>
      <c r="P3124" s="30">
        <f>SUM(J3124:O3124)</f>
        <v>0</v>
      </c>
      <c r="Q3124" s="31">
        <f t="shared" si="2781"/>
        <v>0</v>
      </c>
    </row>
    <row r="3125" spans="1:17" x14ac:dyDescent="0.2">
      <c r="A3125" s="10"/>
      <c r="B3125" s="26"/>
      <c r="C3125" s="11">
        <v>1998</v>
      </c>
      <c r="D3125" s="32">
        <f>SPFI_CLB14!$D$21</f>
        <v>0.37506400000000001</v>
      </c>
      <c r="E3125" s="32"/>
      <c r="F3125" s="32"/>
      <c r="G3125" s="32"/>
      <c r="H3125" s="32"/>
      <c r="I3125" s="32"/>
      <c r="J3125" s="28">
        <f t="shared" ref="J3125" si="2786">D3125*J$100</f>
        <v>0</v>
      </c>
      <c r="K3125" s="29"/>
      <c r="L3125" s="29"/>
      <c r="M3125" s="29"/>
      <c r="N3125" s="29"/>
      <c r="O3125" s="29"/>
      <c r="P3125" s="30">
        <f>SUM(J3125:O3125)</f>
        <v>0</v>
      </c>
      <c r="Q3125" s="31">
        <f t="shared" si="2781"/>
        <v>0</v>
      </c>
    </row>
    <row r="3126" spans="1:17" x14ac:dyDescent="0.2">
      <c r="A3126" s="10"/>
      <c r="B3126" s="26"/>
      <c r="C3126" s="11">
        <v>1999</v>
      </c>
      <c r="D3126" s="32">
        <f>SPFI_CLB14!$D$22</f>
        <v>0.29823699999999997</v>
      </c>
      <c r="E3126" s="32"/>
      <c r="F3126" s="32"/>
      <c r="G3126" s="32"/>
      <c r="H3126" s="32"/>
      <c r="I3126" s="32"/>
      <c r="J3126" s="28">
        <f t="shared" ref="J3126" si="2787">D3126*J$100</f>
        <v>0</v>
      </c>
      <c r="K3126" s="29"/>
      <c r="L3126" s="29"/>
      <c r="M3126" s="29"/>
      <c r="N3126" s="29"/>
      <c r="O3126" s="29"/>
      <c r="P3126" s="30">
        <f>SUM(J3126:O3126)</f>
        <v>0</v>
      </c>
      <c r="Q3126" s="31">
        <f t="shared" ref="Q3126:Q3131" si="2788">IF(C$100&gt;0,P3126/C$100,0)</f>
        <v>0</v>
      </c>
    </row>
    <row r="3127" spans="1:17" x14ac:dyDescent="0.2">
      <c r="A3127" s="10"/>
      <c r="B3127" s="26"/>
      <c r="C3127" s="11">
        <v>2000</v>
      </c>
      <c r="D3127" s="32">
        <f>SPFI_CLB14!$D$23</f>
        <v>8.4414000000000003E-2</v>
      </c>
      <c r="E3127" s="32"/>
      <c r="F3127" s="32"/>
      <c r="G3127" s="32"/>
      <c r="H3127" s="32"/>
      <c r="I3127" s="32"/>
      <c r="J3127" s="28">
        <f t="shared" ref="J3127" si="2789">D3127*J$100</f>
        <v>0</v>
      </c>
      <c r="K3127" s="29"/>
      <c r="L3127" s="29"/>
      <c r="M3127" s="29"/>
      <c r="N3127" s="29"/>
      <c r="O3127" s="29"/>
      <c r="P3127" s="30">
        <f t="shared" ref="P3127:P3132" si="2790">SUM(J3127:O3127)</f>
        <v>0</v>
      </c>
      <c r="Q3127" s="31">
        <f t="shared" si="2788"/>
        <v>0</v>
      </c>
    </row>
    <row r="3128" spans="1:17" x14ac:dyDescent="0.2">
      <c r="A3128" s="10"/>
      <c r="B3128" s="26"/>
      <c r="C3128" s="11">
        <v>2001</v>
      </c>
      <c r="D3128" s="32">
        <f>SPFI_CLB14!$D$24</f>
        <v>7.8909000000000007E-2</v>
      </c>
      <c r="E3128" s="32"/>
      <c r="F3128" s="32"/>
      <c r="G3128" s="32"/>
      <c r="H3128" s="32"/>
      <c r="I3128" s="32"/>
      <c r="J3128" s="28">
        <f t="shared" ref="J3128" si="2791">D3128*J$100</f>
        <v>0</v>
      </c>
      <c r="K3128" s="29"/>
      <c r="L3128" s="29"/>
      <c r="M3128" s="29"/>
      <c r="N3128" s="29"/>
      <c r="O3128" s="29"/>
      <c r="P3128" s="30">
        <f t="shared" si="2790"/>
        <v>0</v>
      </c>
      <c r="Q3128" s="31">
        <f t="shared" si="2788"/>
        <v>0</v>
      </c>
    </row>
    <row r="3129" spans="1:17" x14ac:dyDescent="0.2">
      <c r="A3129" s="10"/>
      <c r="B3129" s="26"/>
      <c r="C3129" s="11">
        <v>2002</v>
      </c>
      <c r="D3129" s="32">
        <f>SPFI_CLB14!$D$25</f>
        <v>0.29974699999999999</v>
      </c>
      <c r="E3129" s="32"/>
      <c r="F3129" s="32"/>
      <c r="G3129" s="32"/>
      <c r="H3129" s="32"/>
      <c r="I3129" s="32"/>
      <c r="J3129" s="28">
        <f t="shared" ref="J3129" si="2792">D3129*J$100</f>
        <v>0</v>
      </c>
      <c r="K3129" s="29"/>
      <c r="L3129" s="29"/>
      <c r="M3129" s="29"/>
      <c r="N3129" s="29"/>
      <c r="O3129" s="29"/>
      <c r="P3129" s="30">
        <f t="shared" si="2790"/>
        <v>0</v>
      </c>
      <c r="Q3129" s="31">
        <f t="shared" si="2788"/>
        <v>0</v>
      </c>
    </row>
    <row r="3130" spans="1:17" x14ac:dyDescent="0.2">
      <c r="A3130" s="10"/>
      <c r="B3130" s="26"/>
      <c r="C3130" s="11">
        <v>2003</v>
      </c>
      <c r="D3130" s="32">
        <f>SPFI_CLB14!$D$26</f>
        <v>0.20691100000000001</v>
      </c>
      <c r="E3130" s="32"/>
      <c r="F3130" s="32"/>
      <c r="G3130" s="32"/>
      <c r="H3130" s="32"/>
      <c r="I3130" s="32"/>
      <c r="J3130" s="28">
        <f t="shared" ref="J3130" si="2793">D3130*J$100</f>
        <v>0</v>
      </c>
      <c r="K3130" s="29"/>
      <c r="L3130" s="29"/>
      <c r="M3130" s="29"/>
      <c r="N3130" s="29"/>
      <c r="O3130" s="29"/>
      <c r="P3130" s="30">
        <f t="shared" si="2790"/>
        <v>0</v>
      </c>
      <c r="Q3130" s="31">
        <f t="shared" si="2788"/>
        <v>0</v>
      </c>
    </row>
    <row r="3131" spans="1:17" x14ac:dyDescent="0.2">
      <c r="A3131" s="10"/>
      <c r="B3131" s="26"/>
      <c r="C3131" s="11">
        <v>2004</v>
      </c>
      <c r="D3131" s="32">
        <f>SPFI_CLB14!$D$27</f>
        <v>0.269237</v>
      </c>
      <c r="E3131" s="32"/>
      <c r="F3131" s="32"/>
      <c r="G3131" s="32"/>
      <c r="H3131" s="32"/>
      <c r="I3131" s="32"/>
      <c r="J3131" s="28">
        <f t="shared" ref="J3131" si="2794">D3131*J$100</f>
        <v>0</v>
      </c>
      <c r="K3131" s="29"/>
      <c r="L3131" s="29"/>
      <c r="M3131" s="29"/>
      <c r="N3131" s="29"/>
      <c r="O3131" s="29"/>
      <c r="P3131" s="30">
        <f t="shared" si="2790"/>
        <v>0</v>
      </c>
      <c r="Q3131" s="31">
        <f t="shared" si="2788"/>
        <v>0</v>
      </c>
    </row>
    <row r="3132" spans="1:17" x14ac:dyDescent="0.2">
      <c r="A3132" s="10"/>
      <c r="B3132" s="26"/>
      <c r="C3132" s="11">
        <v>2005</v>
      </c>
      <c r="D3132" s="32">
        <f>SPFI_CLB14!$D$28</f>
        <v>0.37848700000000002</v>
      </c>
      <c r="E3132" s="32"/>
      <c r="F3132" s="32"/>
      <c r="G3132" s="32"/>
      <c r="H3132" s="32"/>
      <c r="I3132" s="32"/>
      <c r="J3132" s="28">
        <f t="shared" ref="J3132" si="2795">D3132*J$100</f>
        <v>0</v>
      </c>
      <c r="K3132" s="29"/>
      <c r="L3132" s="29"/>
      <c r="M3132" s="29"/>
      <c r="N3132" s="29"/>
      <c r="O3132" s="29"/>
      <c r="P3132" s="30">
        <f t="shared" si="2790"/>
        <v>0</v>
      </c>
      <c r="Q3132" s="31">
        <f t="shared" ref="Q3132:Q3137" si="2796">IF(C$100&gt;0,P3132/C$100,0)</f>
        <v>0</v>
      </c>
    </row>
    <row r="3133" spans="1:17" x14ac:dyDescent="0.2">
      <c r="A3133" s="10"/>
      <c r="B3133" s="26"/>
      <c r="C3133" s="11">
        <v>2006</v>
      </c>
      <c r="D3133" s="32">
        <f>SPFI_CLB14!$D$29</f>
        <v>0.381023</v>
      </c>
      <c r="E3133" s="32"/>
      <c r="F3133" s="32"/>
      <c r="G3133" s="32"/>
      <c r="H3133" s="32"/>
      <c r="I3133" s="32"/>
      <c r="J3133" s="28">
        <f t="shared" ref="J3133" si="2797">D3133*J$100</f>
        <v>0</v>
      </c>
      <c r="K3133" s="29"/>
      <c r="L3133" s="29"/>
      <c r="M3133" s="29"/>
      <c r="N3133" s="29"/>
      <c r="O3133" s="29"/>
      <c r="P3133" s="30">
        <f t="shared" ref="P3133:P3140" si="2798">SUM(J3133:O3133)</f>
        <v>0</v>
      </c>
      <c r="Q3133" s="31">
        <f t="shared" si="2796"/>
        <v>0</v>
      </c>
    </row>
    <row r="3134" spans="1:17" x14ac:dyDescent="0.2">
      <c r="A3134" s="10"/>
      <c r="B3134" s="26"/>
      <c r="C3134" s="11">
        <v>2007</v>
      </c>
      <c r="D3134" s="32">
        <f>SPFI_CLB14!$D$30</f>
        <v>0.356512</v>
      </c>
      <c r="E3134" s="32"/>
      <c r="F3134" s="32"/>
      <c r="G3134" s="32"/>
      <c r="H3134" s="32"/>
      <c r="I3134" s="32"/>
      <c r="J3134" s="28">
        <f t="shared" ref="J3134" si="2799">D3134*J$100</f>
        <v>0</v>
      </c>
      <c r="K3134" s="29"/>
      <c r="L3134" s="29"/>
      <c r="M3134" s="29"/>
      <c r="N3134" s="29"/>
      <c r="O3134" s="29"/>
      <c r="P3134" s="30">
        <f t="shared" si="2798"/>
        <v>0</v>
      </c>
      <c r="Q3134" s="31">
        <f t="shared" si="2796"/>
        <v>0</v>
      </c>
    </row>
    <row r="3135" spans="1:17" x14ac:dyDescent="0.2">
      <c r="A3135" s="10"/>
      <c r="B3135" s="26"/>
      <c r="C3135" s="11">
        <v>2008</v>
      </c>
      <c r="D3135" s="32">
        <f>SPFI_CLB14!$D$31</f>
        <v>0.25494499999999998</v>
      </c>
      <c r="E3135" s="32"/>
      <c r="F3135" s="32"/>
      <c r="G3135" s="32"/>
      <c r="H3135" s="32"/>
      <c r="I3135" s="32"/>
      <c r="J3135" s="28">
        <f t="shared" ref="J3135" si="2800">D3135*J$100</f>
        <v>0</v>
      </c>
      <c r="K3135" s="29"/>
      <c r="L3135" s="29"/>
      <c r="M3135" s="29"/>
      <c r="N3135" s="29"/>
      <c r="O3135" s="29"/>
      <c r="P3135" s="30">
        <f t="shared" si="2798"/>
        <v>0</v>
      </c>
      <c r="Q3135" s="31">
        <f t="shared" si="2796"/>
        <v>0</v>
      </c>
    </row>
    <row r="3136" spans="1:17" x14ac:dyDescent="0.2">
      <c r="A3136" s="10"/>
      <c r="B3136" s="26"/>
      <c r="C3136" s="11">
        <v>2009</v>
      </c>
      <c r="D3136" s="32">
        <f>SPFI_CLB14!$D$32</f>
        <v>0.52383000000000002</v>
      </c>
      <c r="E3136" s="32"/>
      <c r="F3136" s="32"/>
      <c r="G3136" s="32"/>
      <c r="H3136" s="32"/>
      <c r="I3136" s="32"/>
      <c r="J3136" s="28">
        <f t="shared" ref="J3136" si="2801">D3136*J$100</f>
        <v>0</v>
      </c>
      <c r="K3136" s="29"/>
      <c r="L3136" s="29"/>
      <c r="M3136" s="29"/>
      <c r="N3136" s="29"/>
      <c r="O3136" s="29"/>
      <c r="P3136" s="30">
        <f t="shared" si="2798"/>
        <v>0</v>
      </c>
      <c r="Q3136" s="31">
        <f t="shared" si="2796"/>
        <v>0</v>
      </c>
    </row>
    <row r="3137" spans="1:17" x14ac:dyDescent="0.2">
      <c r="A3137" s="10"/>
      <c r="B3137" s="26"/>
      <c r="C3137" s="11">
        <v>2010</v>
      </c>
      <c r="D3137" s="32">
        <f>SPFI_CLB14!$D$33</f>
        <v>0.31394</v>
      </c>
      <c r="E3137" s="32"/>
      <c r="F3137" s="32"/>
      <c r="G3137" s="32"/>
      <c r="H3137" s="32"/>
      <c r="I3137" s="32"/>
      <c r="J3137" s="28">
        <f t="shared" ref="J3137" si="2802">D3137*J$100</f>
        <v>0</v>
      </c>
      <c r="K3137" s="29"/>
      <c r="L3137" s="29"/>
      <c r="M3137" s="29"/>
      <c r="N3137" s="29"/>
      <c r="O3137" s="29"/>
      <c r="P3137" s="30">
        <f t="shared" si="2798"/>
        <v>0</v>
      </c>
      <c r="Q3137" s="31">
        <f t="shared" si="2796"/>
        <v>0</v>
      </c>
    </row>
    <row r="3138" spans="1:17" x14ac:dyDescent="0.2">
      <c r="A3138" s="10"/>
      <c r="B3138" s="26"/>
      <c r="C3138" s="11">
        <v>2011</v>
      </c>
      <c r="D3138" s="32">
        <f>SPFI_CLB14!$D$34</f>
        <v>0.294348</v>
      </c>
      <c r="E3138" s="32"/>
      <c r="F3138" s="32"/>
      <c r="G3138" s="32"/>
      <c r="H3138" s="32"/>
      <c r="I3138" s="32"/>
      <c r="J3138" s="28">
        <f t="shared" ref="J3138" si="2803">D3138*J$100</f>
        <v>0</v>
      </c>
      <c r="K3138" s="29"/>
      <c r="L3138" s="29"/>
      <c r="M3138" s="29"/>
      <c r="N3138" s="29"/>
      <c r="O3138" s="29"/>
      <c r="P3138" s="30">
        <f t="shared" ref="P3138" si="2804">SUM(J3138:O3138)</f>
        <v>0</v>
      </c>
      <c r="Q3138" s="31">
        <f t="shared" ref="Q3138" si="2805">IF(C$100&gt;0,P3138/C$100,0)</f>
        <v>0</v>
      </c>
    </row>
    <row r="3139" spans="1:17" x14ac:dyDescent="0.2">
      <c r="A3139" s="10"/>
      <c r="B3139" s="26"/>
      <c r="C3139" s="11">
        <v>2012</v>
      </c>
      <c r="D3139" s="32">
        <f>SPFI_CLB14!$D$35</f>
        <v>0.34784100000000001</v>
      </c>
      <c r="E3139" s="32"/>
      <c r="F3139" s="32"/>
      <c r="G3139" s="32"/>
      <c r="H3139" s="32"/>
      <c r="I3139" s="32"/>
      <c r="J3139" s="28">
        <f t="shared" ref="J3139" si="2806">D3139*J$100</f>
        <v>0</v>
      </c>
      <c r="K3139" s="29"/>
      <c r="L3139" s="29"/>
      <c r="M3139" s="29"/>
      <c r="N3139" s="29"/>
      <c r="O3139" s="29"/>
      <c r="P3139" s="30">
        <f t="shared" ref="P3139" si="2807">SUM(J3139:O3139)</f>
        <v>0</v>
      </c>
      <c r="Q3139" s="31">
        <f t="shared" ref="Q3139" si="2808">IF(C$100&gt;0,P3139/C$100,0)</f>
        <v>0</v>
      </c>
    </row>
    <row r="3140" spans="1:17" x14ac:dyDescent="0.2">
      <c r="A3140" s="5" t="s">
        <v>30</v>
      </c>
      <c r="B3140" s="21">
        <v>3</v>
      </c>
      <c r="C3140" s="6">
        <v>1982</v>
      </c>
      <c r="D3140" s="27">
        <f>SPFI_CLB14!$D$5</f>
        <v>0.98153299999999999</v>
      </c>
      <c r="E3140" s="27"/>
      <c r="F3140" s="27"/>
      <c r="G3140" s="27"/>
      <c r="H3140" s="27"/>
      <c r="I3140" s="27"/>
      <c r="J3140" s="33">
        <f t="shared" ref="J3140:J3152" si="2809">D3140*J$101</f>
        <v>0</v>
      </c>
      <c r="K3140" s="27"/>
      <c r="L3140" s="27"/>
      <c r="M3140" s="27"/>
      <c r="N3140" s="27"/>
      <c r="O3140" s="27"/>
      <c r="P3140" s="34">
        <f t="shared" si="2798"/>
        <v>0</v>
      </c>
      <c r="Q3140" s="35">
        <f t="shared" ref="Q3140:Q3156" si="2810">IF(C$101&gt;0,P3140/C$101,0)</f>
        <v>0</v>
      </c>
    </row>
    <row r="3141" spans="1:17" x14ac:dyDescent="0.2">
      <c r="A3141" s="10"/>
      <c r="B3141" s="26"/>
      <c r="C3141" s="11">
        <v>1983</v>
      </c>
      <c r="D3141" s="32">
        <f>SPFI_CLB14!$D$6</f>
        <v>0.93659899999999996</v>
      </c>
      <c r="E3141" s="32"/>
      <c r="F3141" s="32"/>
      <c r="G3141" s="32"/>
      <c r="H3141" s="32"/>
      <c r="I3141" s="32"/>
      <c r="J3141" s="28">
        <f t="shared" si="2809"/>
        <v>0</v>
      </c>
      <c r="K3141" s="29"/>
      <c r="L3141" s="29"/>
      <c r="M3141" s="29"/>
      <c r="N3141" s="29"/>
      <c r="O3141" s="29"/>
      <c r="P3141" s="30">
        <f t="shared" ref="P3141:P3152" si="2811">SUM(J3141:O3141)</f>
        <v>0</v>
      </c>
      <c r="Q3141" s="31">
        <f t="shared" si="2810"/>
        <v>0</v>
      </c>
    </row>
    <row r="3142" spans="1:17" x14ac:dyDescent="0.2">
      <c r="A3142" s="10"/>
      <c r="B3142" s="26"/>
      <c r="C3142" s="11">
        <v>1984</v>
      </c>
      <c r="D3142" s="32">
        <f>SPFI_CLB14!$D$7</f>
        <v>0.92793599999999998</v>
      </c>
      <c r="E3142" s="32"/>
      <c r="F3142" s="32"/>
      <c r="G3142" s="32"/>
      <c r="H3142" s="32"/>
      <c r="I3142" s="32"/>
      <c r="J3142" s="28">
        <f t="shared" si="2809"/>
        <v>0</v>
      </c>
      <c r="K3142" s="29"/>
      <c r="L3142" s="29"/>
      <c r="M3142" s="29"/>
      <c r="N3142" s="29"/>
      <c r="O3142" s="29"/>
      <c r="P3142" s="30">
        <f t="shared" si="2811"/>
        <v>0</v>
      </c>
      <c r="Q3142" s="31">
        <f t="shared" si="2810"/>
        <v>0</v>
      </c>
    </row>
    <row r="3143" spans="1:17" x14ac:dyDescent="0.2">
      <c r="A3143" s="10"/>
      <c r="B3143" s="26"/>
      <c r="C3143" s="11">
        <v>1985</v>
      </c>
      <c r="D3143" s="32">
        <f>SPFI_CLB14!$D$8</f>
        <v>0.90386500000000003</v>
      </c>
      <c r="E3143" s="32"/>
      <c r="F3143" s="32"/>
      <c r="G3143" s="32"/>
      <c r="H3143" s="32"/>
      <c r="I3143" s="32"/>
      <c r="J3143" s="28">
        <f t="shared" si="2809"/>
        <v>0</v>
      </c>
      <c r="K3143" s="29"/>
      <c r="L3143" s="29"/>
      <c r="M3143" s="29"/>
      <c r="N3143" s="29"/>
      <c r="O3143" s="29"/>
      <c r="P3143" s="30">
        <f t="shared" si="2811"/>
        <v>0</v>
      </c>
      <c r="Q3143" s="31">
        <f t="shared" si="2810"/>
        <v>0</v>
      </c>
    </row>
    <row r="3144" spans="1:17" x14ac:dyDescent="0.2">
      <c r="A3144" s="10"/>
      <c r="B3144" s="26"/>
      <c r="C3144" s="11">
        <v>1986</v>
      </c>
      <c r="D3144" s="32">
        <f>SPFI_CLB14!$D$9</f>
        <v>0.73087500000000005</v>
      </c>
      <c r="E3144" s="32"/>
      <c r="F3144" s="32"/>
      <c r="G3144" s="32"/>
      <c r="H3144" s="32"/>
      <c r="I3144" s="32"/>
      <c r="J3144" s="28">
        <f t="shared" si="2809"/>
        <v>0</v>
      </c>
      <c r="K3144" s="29"/>
      <c r="L3144" s="29"/>
      <c r="M3144" s="29"/>
      <c r="N3144" s="29"/>
      <c r="O3144" s="29"/>
      <c r="P3144" s="30">
        <f t="shared" si="2811"/>
        <v>0</v>
      </c>
      <c r="Q3144" s="31">
        <f t="shared" si="2810"/>
        <v>0</v>
      </c>
    </row>
    <row r="3145" spans="1:17" x14ac:dyDescent="0.2">
      <c r="A3145" s="10"/>
      <c r="B3145" s="26"/>
      <c r="C3145" s="11">
        <v>1987</v>
      </c>
      <c r="D3145" s="32">
        <f>SPFI_CLB14!$D$10</f>
        <v>0.71733499999999994</v>
      </c>
      <c r="E3145" s="32"/>
      <c r="F3145" s="32"/>
      <c r="G3145" s="32"/>
      <c r="H3145" s="32"/>
      <c r="I3145" s="32"/>
      <c r="J3145" s="28">
        <f t="shared" si="2809"/>
        <v>0</v>
      </c>
      <c r="K3145" s="29"/>
      <c r="L3145" s="29"/>
      <c r="M3145" s="29"/>
      <c r="N3145" s="29"/>
      <c r="O3145" s="29"/>
      <c r="P3145" s="30">
        <f t="shared" si="2811"/>
        <v>0</v>
      </c>
      <c r="Q3145" s="31">
        <f t="shared" si="2810"/>
        <v>0</v>
      </c>
    </row>
    <row r="3146" spans="1:17" x14ac:dyDescent="0.2">
      <c r="A3146" s="10"/>
      <c r="B3146" s="26"/>
      <c r="C3146" s="11">
        <v>1988</v>
      </c>
      <c r="D3146" s="32">
        <f>SPFI_CLB14!$D$11</f>
        <v>0.64558800000000005</v>
      </c>
      <c r="E3146" s="32"/>
      <c r="F3146" s="32"/>
      <c r="G3146" s="32"/>
      <c r="H3146" s="32"/>
      <c r="I3146" s="32"/>
      <c r="J3146" s="28">
        <f t="shared" si="2809"/>
        <v>0</v>
      </c>
      <c r="K3146" s="29"/>
      <c r="L3146" s="29"/>
      <c r="M3146" s="29"/>
      <c r="N3146" s="29"/>
      <c r="O3146" s="29"/>
      <c r="P3146" s="30">
        <f t="shared" si="2811"/>
        <v>0</v>
      </c>
      <c r="Q3146" s="31">
        <f t="shared" si="2810"/>
        <v>0</v>
      </c>
    </row>
    <row r="3147" spans="1:17" x14ac:dyDescent="0.2">
      <c r="A3147" s="10"/>
      <c r="B3147" s="26"/>
      <c r="C3147" s="11">
        <v>1989</v>
      </c>
      <c r="D3147" s="32">
        <f>SPFI_CLB14!$D$12</f>
        <v>0.65287700000000004</v>
      </c>
      <c r="E3147" s="32"/>
      <c r="F3147" s="32"/>
      <c r="G3147" s="32"/>
      <c r="H3147" s="32"/>
      <c r="I3147" s="32"/>
      <c r="J3147" s="28">
        <f t="shared" si="2809"/>
        <v>0</v>
      </c>
      <c r="K3147" s="29"/>
      <c r="L3147" s="29"/>
      <c r="M3147" s="29"/>
      <c r="N3147" s="29"/>
      <c r="O3147" s="29"/>
      <c r="P3147" s="30">
        <f t="shared" si="2811"/>
        <v>0</v>
      </c>
      <c r="Q3147" s="31">
        <f t="shared" si="2810"/>
        <v>0</v>
      </c>
    </row>
    <row r="3148" spans="1:17" x14ac:dyDescent="0.2">
      <c r="A3148" s="10"/>
      <c r="B3148" s="26"/>
      <c r="C3148" s="11">
        <v>1990</v>
      </c>
      <c r="D3148" s="32">
        <f>SPFI_CLB14!$D$13</f>
        <v>0.56965100000000002</v>
      </c>
      <c r="E3148" s="32"/>
      <c r="F3148" s="32"/>
      <c r="G3148" s="32"/>
      <c r="H3148" s="32"/>
      <c r="I3148" s="32"/>
      <c r="J3148" s="28">
        <f t="shared" si="2809"/>
        <v>0</v>
      </c>
      <c r="K3148" s="29"/>
      <c r="L3148" s="29"/>
      <c r="M3148" s="29"/>
      <c r="N3148" s="29"/>
      <c r="O3148" s="29"/>
      <c r="P3148" s="30">
        <f t="shared" si="2811"/>
        <v>0</v>
      </c>
      <c r="Q3148" s="31">
        <f t="shared" si="2810"/>
        <v>0</v>
      </c>
    </row>
    <row r="3149" spans="1:17" x14ac:dyDescent="0.2">
      <c r="A3149" s="10"/>
      <c r="B3149" s="26"/>
      <c r="C3149" s="11">
        <v>1991</v>
      </c>
      <c r="D3149" s="32">
        <f>SPFI_CLB14!$D$14</f>
        <v>0.62776900000000002</v>
      </c>
      <c r="E3149" s="32"/>
      <c r="F3149" s="32"/>
      <c r="G3149" s="32"/>
      <c r="H3149" s="32"/>
      <c r="I3149" s="32"/>
      <c r="J3149" s="28">
        <f t="shared" si="2809"/>
        <v>0</v>
      </c>
      <c r="K3149" s="29"/>
      <c r="L3149" s="29"/>
      <c r="M3149" s="29"/>
      <c r="N3149" s="29"/>
      <c r="O3149" s="29"/>
      <c r="P3149" s="30">
        <f t="shared" si="2811"/>
        <v>0</v>
      </c>
      <c r="Q3149" s="31">
        <f t="shared" si="2810"/>
        <v>0</v>
      </c>
    </row>
    <row r="3150" spans="1:17" x14ac:dyDescent="0.2">
      <c r="A3150" s="10"/>
      <c r="B3150" s="26"/>
      <c r="C3150" s="11">
        <v>1992</v>
      </c>
      <c r="D3150" s="32">
        <f>SPFI_CLB14!$D$15</f>
        <v>0.43504100000000001</v>
      </c>
      <c r="E3150" s="32"/>
      <c r="F3150" s="32"/>
      <c r="G3150" s="32"/>
      <c r="H3150" s="32"/>
      <c r="I3150" s="32"/>
      <c r="J3150" s="28">
        <f t="shared" si="2809"/>
        <v>0</v>
      </c>
      <c r="K3150" s="29"/>
      <c r="L3150" s="29"/>
      <c r="M3150" s="29"/>
      <c r="N3150" s="29"/>
      <c r="O3150" s="29"/>
      <c r="P3150" s="30">
        <f t="shared" si="2811"/>
        <v>0</v>
      </c>
      <c r="Q3150" s="31">
        <f t="shared" si="2810"/>
        <v>0</v>
      </c>
    </row>
    <row r="3151" spans="1:17" x14ac:dyDescent="0.2">
      <c r="A3151" s="10"/>
      <c r="B3151" s="26"/>
      <c r="C3151" s="11">
        <v>1993</v>
      </c>
      <c r="D3151" s="32">
        <f>SPFI_CLB14!$D$16</f>
        <v>0.499164</v>
      </c>
      <c r="E3151" s="32"/>
      <c r="F3151" s="32"/>
      <c r="G3151" s="32"/>
      <c r="H3151" s="32"/>
      <c r="I3151" s="32"/>
      <c r="J3151" s="28">
        <f t="shared" si="2809"/>
        <v>0</v>
      </c>
      <c r="K3151" s="29"/>
      <c r="L3151" s="29"/>
      <c r="M3151" s="29"/>
      <c r="N3151" s="29"/>
      <c r="O3151" s="29"/>
      <c r="P3151" s="30">
        <f t="shared" si="2811"/>
        <v>0</v>
      </c>
      <c r="Q3151" s="31">
        <f t="shared" si="2810"/>
        <v>0</v>
      </c>
    </row>
    <row r="3152" spans="1:17" x14ac:dyDescent="0.2">
      <c r="A3152" s="10"/>
      <c r="B3152" s="26"/>
      <c r="C3152" s="11">
        <v>1994</v>
      </c>
      <c r="D3152" s="32">
        <f>SPFI_CLB14!$D$17</f>
        <v>0.59591300000000003</v>
      </c>
      <c r="E3152" s="32"/>
      <c r="F3152" s="32"/>
      <c r="G3152" s="32"/>
      <c r="H3152" s="32"/>
      <c r="I3152" s="32"/>
      <c r="J3152" s="28">
        <f t="shared" si="2809"/>
        <v>0</v>
      </c>
      <c r="K3152" s="29"/>
      <c r="L3152" s="29"/>
      <c r="M3152" s="29"/>
      <c r="N3152" s="29"/>
      <c r="O3152" s="29"/>
      <c r="P3152" s="30">
        <f t="shared" si="2811"/>
        <v>0</v>
      </c>
      <c r="Q3152" s="31">
        <f t="shared" si="2810"/>
        <v>0</v>
      </c>
    </row>
    <row r="3153" spans="1:17" x14ac:dyDescent="0.2">
      <c r="A3153" s="10"/>
      <c r="B3153" s="26"/>
      <c r="C3153" s="11">
        <v>1995</v>
      </c>
      <c r="D3153" s="32">
        <f>SPFI_CLB14!$D$18</f>
        <v>0.25400800000000001</v>
      </c>
      <c r="E3153" s="32"/>
      <c r="F3153" s="32"/>
      <c r="G3153" s="32"/>
      <c r="H3153" s="32"/>
      <c r="I3153" s="32"/>
      <c r="J3153" s="28">
        <f t="shared" ref="J3153" si="2812">D3153*J$101</f>
        <v>0</v>
      </c>
      <c r="K3153" s="29"/>
      <c r="L3153" s="29"/>
      <c r="M3153" s="29"/>
      <c r="N3153" s="29"/>
      <c r="O3153" s="29"/>
      <c r="P3153" s="30">
        <f>SUM(J3153:O3153)</f>
        <v>0</v>
      </c>
      <c r="Q3153" s="31">
        <f t="shared" si="2810"/>
        <v>0</v>
      </c>
    </row>
    <row r="3154" spans="1:17" x14ac:dyDescent="0.2">
      <c r="A3154" s="10"/>
      <c r="B3154" s="26"/>
      <c r="C3154" s="11">
        <v>1996</v>
      </c>
      <c r="D3154" s="32">
        <f>SPFI_CLB14!$D$19</f>
        <v>0</v>
      </c>
      <c r="E3154" s="32"/>
      <c r="F3154" s="32"/>
      <c r="G3154" s="32"/>
      <c r="H3154" s="32"/>
      <c r="I3154" s="32"/>
      <c r="J3154" s="28">
        <f t="shared" ref="J3154" si="2813">D3154*J$101</f>
        <v>0</v>
      </c>
      <c r="K3154" s="29"/>
      <c r="L3154" s="29"/>
      <c r="M3154" s="29"/>
      <c r="N3154" s="29"/>
      <c r="O3154" s="29"/>
      <c r="P3154" s="30">
        <f>SUM(J3154:O3154)</f>
        <v>0</v>
      </c>
      <c r="Q3154" s="31">
        <f t="shared" si="2810"/>
        <v>0</v>
      </c>
    </row>
    <row r="3155" spans="1:17" x14ac:dyDescent="0.2">
      <c r="A3155" s="10"/>
      <c r="B3155" s="26"/>
      <c r="C3155" s="11">
        <v>1997</v>
      </c>
      <c r="D3155" s="32">
        <f>SPFI_CLB14!$D$20</f>
        <v>0.201487</v>
      </c>
      <c r="E3155" s="32"/>
      <c r="F3155" s="32"/>
      <c r="G3155" s="32"/>
      <c r="H3155" s="32"/>
      <c r="I3155" s="32"/>
      <c r="J3155" s="28">
        <f t="shared" ref="J3155" si="2814">D3155*J$101</f>
        <v>0</v>
      </c>
      <c r="K3155" s="29"/>
      <c r="L3155" s="29"/>
      <c r="M3155" s="29"/>
      <c r="N3155" s="29"/>
      <c r="O3155" s="29"/>
      <c r="P3155" s="30">
        <f>SUM(J3155:O3155)</f>
        <v>0</v>
      </c>
      <c r="Q3155" s="31">
        <f t="shared" si="2810"/>
        <v>0</v>
      </c>
    </row>
    <row r="3156" spans="1:17" x14ac:dyDescent="0.2">
      <c r="A3156" s="10"/>
      <c r="B3156" s="26"/>
      <c r="C3156" s="11">
        <v>1998</v>
      </c>
      <c r="D3156" s="32">
        <f>SPFI_CLB14!$D$21</f>
        <v>0.37506400000000001</v>
      </c>
      <c r="E3156" s="32"/>
      <c r="F3156" s="32"/>
      <c r="G3156" s="32"/>
      <c r="H3156" s="32"/>
      <c r="I3156" s="32"/>
      <c r="J3156" s="28">
        <f t="shared" ref="J3156" si="2815">D3156*J$101</f>
        <v>0</v>
      </c>
      <c r="K3156" s="29"/>
      <c r="L3156" s="29"/>
      <c r="M3156" s="29"/>
      <c r="N3156" s="29"/>
      <c r="O3156" s="29"/>
      <c r="P3156" s="30">
        <f>SUM(J3156:O3156)</f>
        <v>0</v>
      </c>
      <c r="Q3156" s="31">
        <f t="shared" si="2810"/>
        <v>0</v>
      </c>
    </row>
    <row r="3157" spans="1:17" x14ac:dyDescent="0.2">
      <c r="A3157" s="10"/>
      <c r="B3157" s="26"/>
      <c r="C3157" s="11">
        <v>1999</v>
      </c>
      <c r="D3157" s="32">
        <f>SPFI_CLB14!$D$22</f>
        <v>0.29823699999999997</v>
      </c>
      <c r="E3157" s="32"/>
      <c r="F3157" s="32"/>
      <c r="G3157" s="32"/>
      <c r="H3157" s="32"/>
      <c r="I3157" s="32"/>
      <c r="J3157" s="28">
        <f t="shared" ref="J3157" si="2816">D3157*J$101</f>
        <v>0</v>
      </c>
      <c r="K3157" s="29"/>
      <c r="L3157" s="29"/>
      <c r="M3157" s="29"/>
      <c r="N3157" s="29"/>
      <c r="O3157" s="29"/>
      <c r="P3157" s="30">
        <f>SUM(J3157:O3157)</f>
        <v>0</v>
      </c>
      <c r="Q3157" s="31">
        <f t="shared" ref="Q3157:Q3162" si="2817">IF(C$101&gt;0,P3157/C$101,0)</f>
        <v>0</v>
      </c>
    </row>
    <row r="3158" spans="1:17" x14ac:dyDescent="0.2">
      <c r="A3158" s="10"/>
      <c r="B3158" s="26"/>
      <c r="C3158" s="11">
        <v>2000</v>
      </c>
      <c r="D3158" s="32">
        <f>SPFI_CLB14!$D$23</f>
        <v>8.4414000000000003E-2</v>
      </c>
      <c r="E3158" s="32"/>
      <c r="F3158" s="32"/>
      <c r="G3158" s="32"/>
      <c r="H3158" s="32"/>
      <c r="I3158" s="32"/>
      <c r="J3158" s="28">
        <f t="shared" ref="J3158" si="2818">D3158*J$101</f>
        <v>0</v>
      </c>
      <c r="K3158" s="29"/>
      <c r="L3158" s="29"/>
      <c r="M3158" s="29"/>
      <c r="N3158" s="29"/>
      <c r="O3158" s="29"/>
      <c r="P3158" s="30">
        <f t="shared" ref="P3158:P3163" si="2819">SUM(J3158:O3158)</f>
        <v>0</v>
      </c>
      <c r="Q3158" s="31">
        <f t="shared" si="2817"/>
        <v>0</v>
      </c>
    </row>
    <row r="3159" spans="1:17" x14ac:dyDescent="0.2">
      <c r="A3159" s="10"/>
      <c r="B3159" s="26"/>
      <c r="C3159" s="11">
        <v>2001</v>
      </c>
      <c r="D3159" s="32">
        <f>SPFI_CLB14!$D$24</f>
        <v>7.8909000000000007E-2</v>
      </c>
      <c r="E3159" s="32"/>
      <c r="F3159" s="32"/>
      <c r="G3159" s="32"/>
      <c r="H3159" s="32"/>
      <c r="I3159" s="32"/>
      <c r="J3159" s="28">
        <f t="shared" ref="J3159" si="2820">D3159*J$101</f>
        <v>0</v>
      </c>
      <c r="K3159" s="29"/>
      <c r="L3159" s="29"/>
      <c r="M3159" s="29"/>
      <c r="N3159" s="29"/>
      <c r="O3159" s="29"/>
      <c r="P3159" s="30">
        <f t="shared" si="2819"/>
        <v>0</v>
      </c>
      <c r="Q3159" s="31">
        <f t="shared" si="2817"/>
        <v>0</v>
      </c>
    </row>
    <row r="3160" spans="1:17" x14ac:dyDescent="0.2">
      <c r="A3160" s="10"/>
      <c r="B3160" s="26"/>
      <c r="C3160" s="11">
        <v>2002</v>
      </c>
      <c r="D3160" s="32">
        <f>SPFI_CLB14!$D$25</f>
        <v>0.29974699999999999</v>
      </c>
      <c r="E3160" s="32"/>
      <c r="F3160" s="32"/>
      <c r="G3160" s="32"/>
      <c r="H3160" s="32"/>
      <c r="I3160" s="32"/>
      <c r="J3160" s="28">
        <f t="shared" ref="J3160" si="2821">D3160*J$101</f>
        <v>0</v>
      </c>
      <c r="K3160" s="29"/>
      <c r="L3160" s="29"/>
      <c r="M3160" s="29"/>
      <c r="N3160" s="29"/>
      <c r="O3160" s="29"/>
      <c r="P3160" s="30">
        <f t="shared" si="2819"/>
        <v>0</v>
      </c>
      <c r="Q3160" s="31">
        <f t="shared" si="2817"/>
        <v>0</v>
      </c>
    </row>
    <row r="3161" spans="1:17" x14ac:dyDescent="0.2">
      <c r="A3161" s="10"/>
      <c r="B3161" s="26"/>
      <c r="C3161" s="11">
        <v>2003</v>
      </c>
      <c r="D3161" s="32">
        <f>SPFI_CLB14!$D$26</f>
        <v>0.20691100000000001</v>
      </c>
      <c r="E3161" s="32"/>
      <c r="F3161" s="32"/>
      <c r="G3161" s="32"/>
      <c r="H3161" s="32"/>
      <c r="I3161" s="32"/>
      <c r="J3161" s="28">
        <f t="shared" ref="J3161" si="2822">D3161*J$101</f>
        <v>0</v>
      </c>
      <c r="K3161" s="29"/>
      <c r="L3161" s="29"/>
      <c r="M3161" s="29"/>
      <c r="N3161" s="29"/>
      <c r="O3161" s="29"/>
      <c r="P3161" s="30">
        <f t="shared" si="2819"/>
        <v>0</v>
      </c>
      <c r="Q3161" s="31">
        <f t="shared" si="2817"/>
        <v>0</v>
      </c>
    </row>
    <row r="3162" spans="1:17" x14ac:dyDescent="0.2">
      <c r="A3162" s="10"/>
      <c r="B3162" s="26"/>
      <c r="C3162" s="11">
        <v>2004</v>
      </c>
      <c r="D3162" s="32">
        <f>SPFI_CLB14!$D$27</f>
        <v>0.269237</v>
      </c>
      <c r="E3162" s="32"/>
      <c r="F3162" s="32"/>
      <c r="G3162" s="32"/>
      <c r="H3162" s="32"/>
      <c r="I3162" s="32"/>
      <c r="J3162" s="28">
        <f t="shared" ref="J3162" si="2823">D3162*J$101</f>
        <v>0</v>
      </c>
      <c r="K3162" s="29"/>
      <c r="L3162" s="29"/>
      <c r="M3162" s="29"/>
      <c r="N3162" s="29"/>
      <c r="O3162" s="29"/>
      <c r="P3162" s="30">
        <f t="shared" si="2819"/>
        <v>0</v>
      </c>
      <c r="Q3162" s="31">
        <f t="shared" si="2817"/>
        <v>0</v>
      </c>
    </row>
    <row r="3163" spans="1:17" x14ac:dyDescent="0.2">
      <c r="A3163" s="10"/>
      <c r="B3163" s="26"/>
      <c r="C3163" s="11">
        <v>2005</v>
      </c>
      <c r="D3163" s="32">
        <f>SPFI_CLB14!$D$28</f>
        <v>0.37848700000000002</v>
      </c>
      <c r="E3163" s="32"/>
      <c r="F3163" s="32"/>
      <c r="G3163" s="32"/>
      <c r="H3163" s="32"/>
      <c r="I3163" s="32"/>
      <c r="J3163" s="28">
        <f t="shared" ref="J3163" si="2824">D3163*J$101</f>
        <v>0</v>
      </c>
      <c r="K3163" s="29"/>
      <c r="L3163" s="29"/>
      <c r="M3163" s="29"/>
      <c r="N3163" s="29"/>
      <c r="O3163" s="29"/>
      <c r="P3163" s="30">
        <f t="shared" si="2819"/>
        <v>0</v>
      </c>
      <c r="Q3163" s="31">
        <f t="shared" ref="Q3163:Q3168" si="2825">IF(C$101&gt;0,P3163/C$101,0)</f>
        <v>0</v>
      </c>
    </row>
    <row r="3164" spans="1:17" x14ac:dyDescent="0.2">
      <c r="A3164" s="10"/>
      <c r="B3164" s="26"/>
      <c r="C3164" s="11">
        <v>2006</v>
      </c>
      <c r="D3164" s="32">
        <f>SPFI_CLB14!$D$29</f>
        <v>0.381023</v>
      </c>
      <c r="E3164" s="32"/>
      <c r="F3164" s="32"/>
      <c r="G3164" s="32"/>
      <c r="H3164" s="32"/>
      <c r="I3164" s="32"/>
      <c r="J3164" s="28">
        <f t="shared" ref="J3164" si="2826">D3164*J$101</f>
        <v>0</v>
      </c>
      <c r="K3164" s="29"/>
      <c r="L3164" s="29"/>
      <c r="M3164" s="29"/>
      <c r="N3164" s="29"/>
      <c r="O3164" s="29"/>
      <c r="P3164" s="30">
        <f t="shared" ref="P3164:P3171" si="2827">SUM(J3164:O3164)</f>
        <v>0</v>
      </c>
      <c r="Q3164" s="31">
        <f t="shared" si="2825"/>
        <v>0</v>
      </c>
    </row>
    <row r="3165" spans="1:17" x14ac:dyDescent="0.2">
      <c r="A3165" s="10"/>
      <c r="B3165" s="26"/>
      <c r="C3165" s="11">
        <v>2007</v>
      </c>
      <c r="D3165" s="32">
        <f>SPFI_CLB14!$D$30</f>
        <v>0.356512</v>
      </c>
      <c r="E3165" s="32"/>
      <c r="F3165" s="32"/>
      <c r="G3165" s="32"/>
      <c r="H3165" s="32"/>
      <c r="I3165" s="32"/>
      <c r="J3165" s="28">
        <f t="shared" ref="J3165" si="2828">D3165*J$101</f>
        <v>0</v>
      </c>
      <c r="K3165" s="29"/>
      <c r="L3165" s="29"/>
      <c r="M3165" s="29"/>
      <c r="N3165" s="29"/>
      <c r="O3165" s="29"/>
      <c r="P3165" s="30">
        <f t="shared" si="2827"/>
        <v>0</v>
      </c>
      <c r="Q3165" s="31">
        <f t="shared" si="2825"/>
        <v>0</v>
      </c>
    </row>
    <row r="3166" spans="1:17" x14ac:dyDescent="0.2">
      <c r="A3166" s="10"/>
      <c r="B3166" s="26"/>
      <c r="C3166" s="11">
        <v>2008</v>
      </c>
      <c r="D3166" s="32">
        <f>SPFI_CLB14!$D$31</f>
        <v>0.25494499999999998</v>
      </c>
      <c r="E3166" s="32"/>
      <c r="F3166" s="32"/>
      <c r="G3166" s="32"/>
      <c r="H3166" s="32"/>
      <c r="I3166" s="32"/>
      <c r="J3166" s="28">
        <f t="shared" ref="J3166" si="2829">D3166*J$101</f>
        <v>0</v>
      </c>
      <c r="K3166" s="29"/>
      <c r="L3166" s="29"/>
      <c r="M3166" s="29"/>
      <c r="N3166" s="29"/>
      <c r="O3166" s="29"/>
      <c r="P3166" s="30">
        <f t="shared" si="2827"/>
        <v>0</v>
      </c>
      <c r="Q3166" s="31">
        <f t="shared" si="2825"/>
        <v>0</v>
      </c>
    </row>
    <row r="3167" spans="1:17" x14ac:dyDescent="0.2">
      <c r="A3167" s="10"/>
      <c r="B3167" s="26"/>
      <c r="C3167" s="11">
        <v>2009</v>
      </c>
      <c r="D3167" s="32">
        <f>SPFI_CLB14!$D$32</f>
        <v>0.52383000000000002</v>
      </c>
      <c r="E3167" s="32"/>
      <c r="F3167" s="32"/>
      <c r="G3167" s="32"/>
      <c r="H3167" s="32"/>
      <c r="I3167" s="32"/>
      <c r="J3167" s="28">
        <f t="shared" ref="J3167" si="2830">D3167*J$101</f>
        <v>0</v>
      </c>
      <c r="K3167" s="29"/>
      <c r="L3167" s="29"/>
      <c r="M3167" s="29"/>
      <c r="N3167" s="29"/>
      <c r="O3167" s="29"/>
      <c r="P3167" s="30">
        <f t="shared" si="2827"/>
        <v>0</v>
      </c>
      <c r="Q3167" s="31">
        <f t="shared" si="2825"/>
        <v>0</v>
      </c>
    </row>
    <row r="3168" spans="1:17" x14ac:dyDescent="0.2">
      <c r="A3168" s="10"/>
      <c r="B3168" s="26"/>
      <c r="C3168" s="11">
        <v>2010</v>
      </c>
      <c r="D3168" s="32">
        <f>SPFI_CLB14!$D$33</f>
        <v>0.31394</v>
      </c>
      <c r="E3168" s="32"/>
      <c r="F3168" s="32"/>
      <c r="G3168" s="32"/>
      <c r="H3168" s="32"/>
      <c r="I3168" s="32"/>
      <c r="J3168" s="28">
        <f t="shared" ref="J3168" si="2831">D3168*J$101</f>
        <v>0</v>
      </c>
      <c r="K3168" s="29"/>
      <c r="L3168" s="29"/>
      <c r="M3168" s="29"/>
      <c r="N3168" s="29"/>
      <c r="O3168" s="29"/>
      <c r="P3168" s="30">
        <f t="shared" si="2827"/>
        <v>0</v>
      </c>
      <c r="Q3168" s="31">
        <f t="shared" si="2825"/>
        <v>0</v>
      </c>
    </row>
    <row r="3169" spans="1:17" x14ac:dyDescent="0.2">
      <c r="A3169" s="10"/>
      <c r="B3169" s="26"/>
      <c r="C3169" s="11">
        <v>2011</v>
      </c>
      <c r="D3169" s="32">
        <f>SPFI_CLB14!$D$34</f>
        <v>0.294348</v>
      </c>
      <c r="E3169" s="32"/>
      <c r="F3169" s="32"/>
      <c r="G3169" s="32"/>
      <c r="H3169" s="32"/>
      <c r="I3169" s="32"/>
      <c r="J3169" s="28">
        <f t="shared" ref="J3169" si="2832">D3169*J$101</f>
        <v>0</v>
      </c>
      <c r="K3169" s="29"/>
      <c r="L3169" s="29"/>
      <c r="M3169" s="29"/>
      <c r="N3169" s="29"/>
      <c r="O3169" s="29"/>
      <c r="P3169" s="30">
        <f t="shared" ref="P3169" si="2833">SUM(J3169:O3169)</f>
        <v>0</v>
      </c>
      <c r="Q3169" s="31">
        <f t="shared" ref="Q3169" si="2834">IF(C$101&gt;0,P3169/C$101,0)</f>
        <v>0</v>
      </c>
    </row>
    <row r="3170" spans="1:17" x14ac:dyDescent="0.2">
      <c r="A3170" s="10"/>
      <c r="B3170" s="26"/>
      <c r="C3170" s="11">
        <v>2012</v>
      </c>
      <c r="D3170" s="32">
        <f>SPFI_CLB14!$D$35</f>
        <v>0.34784100000000001</v>
      </c>
      <c r="E3170" s="32"/>
      <c r="F3170" s="32"/>
      <c r="G3170" s="32"/>
      <c r="H3170" s="32"/>
      <c r="I3170" s="32"/>
      <c r="J3170" s="28">
        <f t="shared" ref="J3170" si="2835">D3170*J$101</f>
        <v>0</v>
      </c>
      <c r="K3170" s="29"/>
      <c r="L3170" s="29"/>
      <c r="M3170" s="29"/>
      <c r="N3170" s="29"/>
      <c r="O3170" s="29"/>
      <c r="P3170" s="30">
        <f t="shared" ref="P3170" si="2836">SUM(J3170:O3170)</f>
        <v>0</v>
      </c>
      <c r="Q3170" s="31">
        <f t="shared" ref="Q3170" si="2837">IF(C$101&gt;0,P3170/C$101,0)</f>
        <v>0</v>
      </c>
    </row>
    <row r="3171" spans="1:17" x14ac:dyDescent="0.2">
      <c r="A3171" s="5" t="s">
        <v>30</v>
      </c>
      <c r="B3171" s="21">
        <v>4</v>
      </c>
      <c r="C3171" s="6">
        <v>1982</v>
      </c>
      <c r="D3171" s="27">
        <f>SPFI_CLB14!$D$5</f>
        <v>0.98153299999999999</v>
      </c>
      <c r="E3171" s="27"/>
      <c r="F3171" s="27"/>
      <c r="G3171" s="27"/>
      <c r="H3171" s="27"/>
      <c r="I3171" s="27"/>
      <c r="J3171" s="33">
        <f t="shared" ref="J3171:J3183" si="2838">D3171*J$102</f>
        <v>0</v>
      </c>
      <c r="K3171" s="27"/>
      <c r="L3171" s="27"/>
      <c r="M3171" s="27"/>
      <c r="N3171" s="27"/>
      <c r="O3171" s="27"/>
      <c r="P3171" s="34">
        <f t="shared" si="2827"/>
        <v>0</v>
      </c>
      <c r="Q3171" s="35">
        <f t="shared" ref="Q3171:Q3187" si="2839">IF(C$102&gt;0,P3171/C$102,0)</f>
        <v>0</v>
      </c>
    </row>
    <row r="3172" spans="1:17" x14ac:dyDescent="0.2">
      <c r="A3172" s="10"/>
      <c r="B3172" s="26"/>
      <c r="C3172" s="11">
        <v>1983</v>
      </c>
      <c r="D3172" s="32">
        <f>SPFI_CLB14!$D$6</f>
        <v>0.93659899999999996</v>
      </c>
      <c r="E3172" s="32"/>
      <c r="F3172" s="32"/>
      <c r="G3172" s="32"/>
      <c r="H3172" s="32"/>
      <c r="I3172" s="32"/>
      <c r="J3172" s="28">
        <f t="shared" si="2838"/>
        <v>0</v>
      </c>
      <c r="K3172" s="29"/>
      <c r="L3172" s="29"/>
      <c r="M3172" s="29"/>
      <c r="N3172" s="29"/>
      <c r="O3172" s="29"/>
      <c r="P3172" s="30">
        <f t="shared" ref="P3172:P3183" si="2840">SUM(J3172:O3172)</f>
        <v>0</v>
      </c>
      <c r="Q3172" s="31">
        <f t="shared" si="2839"/>
        <v>0</v>
      </c>
    </row>
    <row r="3173" spans="1:17" x14ac:dyDescent="0.2">
      <c r="A3173" s="10"/>
      <c r="B3173" s="26"/>
      <c r="C3173" s="11">
        <v>1984</v>
      </c>
      <c r="D3173" s="32">
        <f>SPFI_CLB14!$D$7</f>
        <v>0.92793599999999998</v>
      </c>
      <c r="E3173" s="32"/>
      <c r="F3173" s="32"/>
      <c r="G3173" s="32"/>
      <c r="H3173" s="32"/>
      <c r="I3173" s="32"/>
      <c r="J3173" s="28">
        <f t="shared" si="2838"/>
        <v>0</v>
      </c>
      <c r="K3173" s="29"/>
      <c r="L3173" s="29"/>
      <c r="M3173" s="29"/>
      <c r="N3173" s="29"/>
      <c r="O3173" s="29"/>
      <c r="P3173" s="30">
        <f t="shared" si="2840"/>
        <v>0</v>
      </c>
      <c r="Q3173" s="31">
        <f t="shared" si="2839"/>
        <v>0</v>
      </c>
    </row>
    <row r="3174" spans="1:17" x14ac:dyDescent="0.2">
      <c r="A3174" s="10"/>
      <c r="B3174" s="26"/>
      <c r="C3174" s="11">
        <v>1985</v>
      </c>
      <c r="D3174" s="32">
        <f>SPFI_CLB14!$D$8</f>
        <v>0.90386500000000003</v>
      </c>
      <c r="E3174" s="32"/>
      <c r="F3174" s="32"/>
      <c r="G3174" s="32"/>
      <c r="H3174" s="32"/>
      <c r="I3174" s="32"/>
      <c r="J3174" s="28">
        <f t="shared" si="2838"/>
        <v>0</v>
      </c>
      <c r="K3174" s="29"/>
      <c r="L3174" s="29"/>
      <c r="M3174" s="29"/>
      <c r="N3174" s="29"/>
      <c r="O3174" s="29"/>
      <c r="P3174" s="30">
        <f t="shared" si="2840"/>
        <v>0</v>
      </c>
      <c r="Q3174" s="31">
        <f t="shared" si="2839"/>
        <v>0</v>
      </c>
    </row>
    <row r="3175" spans="1:17" x14ac:dyDescent="0.2">
      <c r="A3175" s="10"/>
      <c r="B3175" s="26"/>
      <c r="C3175" s="11">
        <v>1986</v>
      </c>
      <c r="D3175" s="32">
        <f>SPFI_CLB14!$D$9</f>
        <v>0.73087500000000005</v>
      </c>
      <c r="E3175" s="32"/>
      <c r="F3175" s="32"/>
      <c r="G3175" s="32"/>
      <c r="H3175" s="32"/>
      <c r="I3175" s="32"/>
      <c r="J3175" s="28">
        <f t="shared" si="2838"/>
        <v>0</v>
      </c>
      <c r="K3175" s="29"/>
      <c r="L3175" s="29"/>
      <c r="M3175" s="29"/>
      <c r="N3175" s="29"/>
      <c r="O3175" s="29"/>
      <c r="P3175" s="30">
        <f t="shared" si="2840"/>
        <v>0</v>
      </c>
      <c r="Q3175" s="31">
        <f t="shared" si="2839"/>
        <v>0</v>
      </c>
    </row>
    <row r="3176" spans="1:17" x14ac:dyDescent="0.2">
      <c r="A3176" s="10"/>
      <c r="B3176" s="26"/>
      <c r="C3176" s="11">
        <v>1987</v>
      </c>
      <c r="D3176" s="32">
        <f>SPFI_CLB14!$D$10</f>
        <v>0.71733499999999994</v>
      </c>
      <c r="E3176" s="32"/>
      <c r="F3176" s="32"/>
      <c r="G3176" s="32"/>
      <c r="H3176" s="32"/>
      <c r="I3176" s="32"/>
      <c r="J3176" s="28">
        <f t="shared" si="2838"/>
        <v>0</v>
      </c>
      <c r="K3176" s="29"/>
      <c r="L3176" s="29"/>
      <c r="M3176" s="29"/>
      <c r="N3176" s="29"/>
      <c r="O3176" s="29"/>
      <c r="P3176" s="30">
        <f t="shared" si="2840"/>
        <v>0</v>
      </c>
      <c r="Q3176" s="31">
        <f t="shared" si="2839"/>
        <v>0</v>
      </c>
    </row>
    <row r="3177" spans="1:17" x14ac:dyDescent="0.2">
      <c r="A3177" s="10"/>
      <c r="B3177" s="26"/>
      <c r="C3177" s="11">
        <v>1988</v>
      </c>
      <c r="D3177" s="32">
        <f>SPFI_CLB14!$D$11</f>
        <v>0.64558800000000005</v>
      </c>
      <c r="E3177" s="32"/>
      <c r="F3177" s="32"/>
      <c r="G3177" s="32"/>
      <c r="H3177" s="32"/>
      <c r="I3177" s="32"/>
      <c r="J3177" s="28">
        <f t="shared" si="2838"/>
        <v>0</v>
      </c>
      <c r="K3177" s="29"/>
      <c r="L3177" s="29"/>
      <c r="M3177" s="29"/>
      <c r="N3177" s="29"/>
      <c r="O3177" s="29"/>
      <c r="P3177" s="30">
        <f t="shared" si="2840"/>
        <v>0</v>
      </c>
      <c r="Q3177" s="31">
        <f t="shared" si="2839"/>
        <v>0</v>
      </c>
    </row>
    <row r="3178" spans="1:17" x14ac:dyDescent="0.2">
      <c r="A3178" s="10"/>
      <c r="B3178" s="26"/>
      <c r="C3178" s="11">
        <v>1989</v>
      </c>
      <c r="D3178" s="32">
        <f>SPFI_CLB14!$D$12</f>
        <v>0.65287700000000004</v>
      </c>
      <c r="E3178" s="32"/>
      <c r="F3178" s="32"/>
      <c r="G3178" s="32"/>
      <c r="H3178" s="32"/>
      <c r="I3178" s="32"/>
      <c r="J3178" s="28">
        <f t="shared" si="2838"/>
        <v>0</v>
      </c>
      <c r="K3178" s="29"/>
      <c r="L3178" s="29"/>
      <c r="M3178" s="29"/>
      <c r="N3178" s="29"/>
      <c r="O3178" s="29"/>
      <c r="P3178" s="30">
        <f t="shared" si="2840"/>
        <v>0</v>
      </c>
      <c r="Q3178" s="31">
        <f t="shared" si="2839"/>
        <v>0</v>
      </c>
    </row>
    <row r="3179" spans="1:17" x14ac:dyDescent="0.2">
      <c r="A3179" s="10"/>
      <c r="B3179" s="26"/>
      <c r="C3179" s="11">
        <v>1990</v>
      </c>
      <c r="D3179" s="32">
        <f>SPFI_CLB14!$D$13</f>
        <v>0.56965100000000002</v>
      </c>
      <c r="E3179" s="32"/>
      <c r="F3179" s="32"/>
      <c r="G3179" s="32"/>
      <c r="H3179" s="32"/>
      <c r="I3179" s="32"/>
      <c r="J3179" s="28">
        <f t="shared" si="2838"/>
        <v>0</v>
      </c>
      <c r="K3179" s="29"/>
      <c r="L3179" s="29"/>
      <c r="M3179" s="29"/>
      <c r="N3179" s="29"/>
      <c r="O3179" s="29"/>
      <c r="P3179" s="30">
        <f t="shared" si="2840"/>
        <v>0</v>
      </c>
      <c r="Q3179" s="31">
        <f t="shared" si="2839"/>
        <v>0</v>
      </c>
    </row>
    <row r="3180" spans="1:17" x14ac:dyDescent="0.2">
      <c r="A3180" s="10"/>
      <c r="B3180" s="26"/>
      <c r="C3180" s="11">
        <v>1991</v>
      </c>
      <c r="D3180" s="32">
        <f>SPFI_CLB14!$D$14</f>
        <v>0.62776900000000002</v>
      </c>
      <c r="E3180" s="32"/>
      <c r="F3180" s="32"/>
      <c r="G3180" s="32"/>
      <c r="H3180" s="32"/>
      <c r="I3180" s="32"/>
      <c r="J3180" s="28">
        <f t="shared" si="2838"/>
        <v>0</v>
      </c>
      <c r="K3180" s="29"/>
      <c r="L3180" s="29"/>
      <c r="M3180" s="29"/>
      <c r="N3180" s="29"/>
      <c r="O3180" s="29"/>
      <c r="P3180" s="30">
        <f t="shared" si="2840"/>
        <v>0</v>
      </c>
      <c r="Q3180" s="31">
        <f t="shared" si="2839"/>
        <v>0</v>
      </c>
    </row>
    <row r="3181" spans="1:17" x14ac:dyDescent="0.2">
      <c r="A3181" s="10"/>
      <c r="B3181" s="26"/>
      <c r="C3181" s="11">
        <v>1992</v>
      </c>
      <c r="D3181" s="32">
        <f>SPFI_CLB14!$D$15</f>
        <v>0.43504100000000001</v>
      </c>
      <c r="E3181" s="32"/>
      <c r="F3181" s="32"/>
      <c r="G3181" s="32"/>
      <c r="H3181" s="32"/>
      <c r="I3181" s="32"/>
      <c r="J3181" s="28">
        <f t="shared" si="2838"/>
        <v>0</v>
      </c>
      <c r="K3181" s="29"/>
      <c r="L3181" s="29"/>
      <c r="M3181" s="29"/>
      <c r="N3181" s="29"/>
      <c r="O3181" s="29"/>
      <c r="P3181" s="30">
        <f t="shared" si="2840"/>
        <v>0</v>
      </c>
      <c r="Q3181" s="31">
        <f t="shared" si="2839"/>
        <v>0</v>
      </c>
    </row>
    <row r="3182" spans="1:17" x14ac:dyDescent="0.2">
      <c r="A3182" s="10"/>
      <c r="B3182" s="26"/>
      <c r="C3182" s="11">
        <v>1993</v>
      </c>
      <c r="D3182" s="32">
        <f>SPFI_CLB14!$D$16</f>
        <v>0.499164</v>
      </c>
      <c r="E3182" s="32"/>
      <c r="F3182" s="32"/>
      <c r="G3182" s="32"/>
      <c r="H3182" s="32"/>
      <c r="I3182" s="32"/>
      <c r="J3182" s="28">
        <f t="shared" si="2838"/>
        <v>0</v>
      </c>
      <c r="K3182" s="29"/>
      <c r="L3182" s="29"/>
      <c r="M3182" s="29"/>
      <c r="N3182" s="29"/>
      <c r="O3182" s="29"/>
      <c r="P3182" s="30">
        <f t="shared" si="2840"/>
        <v>0</v>
      </c>
      <c r="Q3182" s="31">
        <f t="shared" si="2839"/>
        <v>0</v>
      </c>
    </row>
    <row r="3183" spans="1:17" x14ac:dyDescent="0.2">
      <c r="A3183" s="10"/>
      <c r="B3183" s="26"/>
      <c r="C3183" s="11">
        <v>1994</v>
      </c>
      <c r="D3183" s="32">
        <f>SPFI_CLB14!$D$17</f>
        <v>0.59591300000000003</v>
      </c>
      <c r="E3183" s="32"/>
      <c r="F3183" s="32"/>
      <c r="G3183" s="32"/>
      <c r="H3183" s="32"/>
      <c r="I3183" s="32"/>
      <c r="J3183" s="28">
        <f t="shared" si="2838"/>
        <v>0</v>
      </c>
      <c r="K3183" s="29"/>
      <c r="L3183" s="29"/>
      <c r="M3183" s="29"/>
      <c r="N3183" s="29"/>
      <c r="O3183" s="29"/>
      <c r="P3183" s="30">
        <f t="shared" si="2840"/>
        <v>0</v>
      </c>
      <c r="Q3183" s="31">
        <f t="shared" si="2839"/>
        <v>0</v>
      </c>
    </row>
    <row r="3184" spans="1:17" x14ac:dyDescent="0.2">
      <c r="A3184" s="10"/>
      <c r="B3184" s="26"/>
      <c r="C3184" s="11">
        <v>1995</v>
      </c>
      <c r="D3184" s="32">
        <f>SPFI_CLB14!$D$18</f>
        <v>0.25400800000000001</v>
      </c>
      <c r="E3184" s="32"/>
      <c r="F3184" s="32"/>
      <c r="G3184" s="32"/>
      <c r="H3184" s="32"/>
      <c r="I3184" s="32"/>
      <c r="J3184" s="28">
        <f t="shared" ref="J3184" si="2841">D3184*J$102</f>
        <v>0</v>
      </c>
      <c r="K3184" s="29"/>
      <c r="L3184" s="29"/>
      <c r="M3184" s="29"/>
      <c r="N3184" s="29"/>
      <c r="O3184" s="29"/>
      <c r="P3184" s="30">
        <f>SUM(J3184:O3184)</f>
        <v>0</v>
      </c>
      <c r="Q3184" s="31">
        <f t="shared" si="2839"/>
        <v>0</v>
      </c>
    </row>
    <row r="3185" spans="1:17" x14ac:dyDescent="0.2">
      <c r="A3185" s="10"/>
      <c r="B3185" s="26"/>
      <c r="C3185" s="11">
        <v>1996</v>
      </c>
      <c r="D3185" s="32">
        <f>SPFI_CLB14!$D$19</f>
        <v>0</v>
      </c>
      <c r="E3185" s="32"/>
      <c r="F3185" s="32"/>
      <c r="G3185" s="32"/>
      <c r="H3185" s="32"/>
      <c r="I3185" s="32"/>
      <c r="J3185" s="28">
        <f t="shared" ref="J3185" si="2842">D3185*J$102</f>
        <v>0</v>
      </c>
      <c r="K3185" s="29"/>
      <c r="L3185" s="29"/>
      <c r="M3185" s="29"/>
      <c r="N3185" s="29"/>
      <c r="O3185" s="29"/>
      <c r="P3185" s="30">
        <f>SUM(J3185:O3185)</f>
        <v>0</v>
      </c>
      <c r="Q3185" s="31">
        <f t="shared" si="2839"/>
        <v>0</v>
      </c>
    </row>
    <row r="3186" spans="1:17" x14ac:dyDescent="0.2">
      <c r="A3186" s="10"/>
      <c r="B3186" s="26"/>
      <c r="C3186" s="11">
        <v>1997</v>
      </c>
      <c r="D3186" s="32">
        <f>SPFI_CLB14!$D$20</f>
        <v>0.201487</v>
      </c>
      <c r="E3186" s="32"/>
      <c r="F3186" s="32"/>
      <c r="G3186" s="32"/>
      <c r="H3186" s="32"/>
      <c r="I3186" s="32"/>
      <c r="J3186" s="28">
        <f t="shared" ref="J3186" si="2843">D3186*J$102</f>
        <v>0</v>
      </c>
      <c r="K3186" s="29"/>
      <c r="L3186" s="29"/>
      <c r="M3186" s="29"/>
      <c r="N3186" s="29"/>
      <c r="O3186" s="29"/>
      <c r="P3186" s="30">
        <f>SUM(J3186:O3186)</f>
        <v>0</v>
      </c>
      <c r="Q3186" s="31">
        <f t="shared" si="2839"/>
        <v>0</v>
      </c>
    </row>
    <row r="3187" spans="1:17" x14ac:dyDescent="0.2">
      <c r="A3187" s="10"/>
      <c r="B3187" s="26"/>
      <c r="C3187" s="11">
        <v>1998</v>
      </c>
      <c r="D3187" s="32">
        <f>SPFI_CLB14!$D$21</f>
        <v>0.37506400000000001</v>
      </c>
      <c r="E3187" s="32"/>
      <c r="F3187" s="32"/>
      <c r="G3187" s="32"/>
      <c r="H3187" s="32"/>
      <c r="I3187" s="32"/>
      <c r="J3187" s="28">
        <f t="shared" ref="J3187" si="2844">D3187*J$102</f>
        <v>0</v>
      </c>
      <c r="K3187" s="29"/>
      <c r="L3187" s="29"/>
      <c r="M3187" s="29"/>
      <c r="N3187" s="29"/>
      <c r="O3187" s="29"/>
      <c r="P3187" s="30">
        <f>SUM(J3187:O3187)</f>
        <v>0</v>
      </c>
      <c r="Q3187" s="31">
        <f t="shared" si="2839"/>
        <v>0</v>
      </c>
    </row>
    <row r="3188" spans="1:17" x14ac:dyDescent="0.2">
      <c r="A3188" s="10"/>
      <c r="B3188" s="26"/>
      <c r="C3188" s="11">
        <v>1999</v>
      </c>
      <c r="D3188" s="32">
        <f>SPFI_CLB14!$D$22</f>
        <v>0.29823699999999997</v>
      </c>
      <c r="E3188" s="32"/>
      <c r="F3188" s="32"/>
      <c r="G3188" s="32"/>
      <c r="H3188" s="32"/>
      <c r="I3188" s="32"/>
      <c r="J3188" s="28">
        <f t="shared" ref="J3188" si="2845">D3188*J$102</f>
        <v>0</v>
      </c>
      <c r="K3188" s="29"/>
      <c r="L3188" s="29"/>
      <c r="M3188" s="29"/>
      <c r="N3188" s="29"/>
      <c r="O3188" s="29"/>
      <c r="P3188" s="30">
        <f>SUM(J3188:O3188)</f>
        <v>0</v>
      </c>
      <c r="Q3188" s="31">
        <f t="shared" ref="Q3188:Q3193" si="2846">IF(C$102&gt;0,P3188/C$102,0)</f>
        <v>0</v>
      </c>
    </row>
    <row r="3189" spans="1:17" x14ac:dyDescent="0.2">
      <c r="A3189" s="10"/>
      <c r="B3189" s="26"/>
      <c r="C3189" s="11">
        <v>2000</v>
      </c>
      <c r="D3189" s="32">
        <f>SPFI_CLB14!$D$23</f>
        <v>8.4414000000000003E-2</v>
      </c>
      <c r="E3189" s="32"/>
      <c r="F3189" s="32"/>
      <c r="G3189" s="32"/>
      <c r="H3189" s="32"/>
      <c r="I3189" s="32"/>
      <c r="J3189" s="28">
        <f t="shared" ref="J3189" si="2847">D3189*J$102</f>
        <v>0</v>
      </c>
      <c r="K3189" s="29"/>
      <c r="L3189" s="29"/>
      <c r="M3189" s="29"/>
      <c r="N3189" s="29"/>
      <c r="O3189" s="29"/>
      <c r="P3189" s="30">
        <f t="shared" ref="P3189:P3194" si="2848">SUM(J3189:O3189)</f>
        <v>0</v>
      </c>
      <c r="Q3189" s="31">
        <f t="shared" si="2846"/>
        <v>0</v>
      </c>
    </row>
    <row r="3190" spans="1:17" x14ac:dyDescent="0.2">
      <c r="A3190" s="10"/>
      <c r="B3190" s="26"/>
      <c r="C3190" s="11">
        <v>2001</v>
      </c>
      <c r="D3190" s="32">
        <f>SPFI_CLB14!$D$24</f>
        <v>7.8909000000000007E-2</v>
      </c>
      <c r="E3190" s="32"/>
      <c r="F3190" s="32"/>
      <c r="G3190" s="32"/>
      <c r="H3190" s="32"/>
      <c r="I3190" s="32"/>
      <c r="J3190" s="28">
        <f t="shared" ref="J3190" si="2849">D3190*J$102</f>
        <v>0</v>
      </c>
      <c r="K3190" s="29"/>
      <c r="L3190" s="29"/>
      <c r="M3190" s="29"/>
      <c r="N3190" s="29"/>
      <c r="O3190" s="29"/>
      <c r="P3190" s="30">
        <f t="shared" si="2848"/>
        <v>0</v>
      </c>
      <c r="Q3190" s="31">
        <f t="shared" si="2846"/>
        <v>0</v>
      </c>
    </row>
    <row r="3191" spans="1:17" x14ac:dyDescent="0.2">
      <c r="A3191" s="10"/>
      <c r="B3191" s="26"/>
      <c r="C3191" s="11">
        <v>2002</v>
      </c>
      <c r="D3191" s="32">
        <f>SPFI_CLB14!$D$25</f>
        <v>0.29974699999999999</v>
      </c>
      <c r="E3191" s="32"/>
      <c r="F3191" s="32"/>
      <c r="G3191" s="32"/>
      <c r="H3191" s="32"/>
      <c r="I3191" s="32"/>
      <c r="J3191" s="28">
        <f t="shared" ref="J3191" si="2850">D3191*J$102</f>
        <v>0</v>
      </c>
      <c r="K3191" s="29"/>
      <c r="L3191" s="29"/>
      <c r="M3191" s="29"/>
      <c r="N3191" s="29"/>
      <c r="O3191" s="29"/>
      <c r="P3191" s="30">
        <f t="shared" si="2848"/>
        <v>0</v>
      </c>
      <c r="Q3191" s="31">
        <f t="shared" si="2846"/>
        <v>0</v>
      </c>
    </row>
    <row r="3192" spans="1:17" x14ac:dyDescent="0.2">
      <c r="A3192" s="10"/>
      <c r="B3192" s="26"/>
      <c r="C3192" s="11">
        <v>2003</v>
      </c>
      <c r="D3192" s="32">
        <f>SPFI_CLB14!$D$26</f>
        <v>0.20691100000000001</v>
      </c>
      <c r="E3192" s="32"/>
      <c r="F3192" s="32"/>
      <c r="G3192" s="32"/>
      <c r="H3192" s="32"/>
      <c r="I3192" s="32"/>
      <c r="J3192" s="28">
        <f t="shared" ref="J3192" si="2851">D3192*J$102</f>
        <v>0</v>
      </c>
      <c r="K3192" s="29"/>
      <c r="L3192" s="29"/>
      <c r="M3192" s="29"/>
      <c r="N3192" s="29"/>
      <c r="O3192" s="29"/>
      <c r="P3192" s="30">
        <f t="shared" si="2848"/>
        <v>0</v>
      </c>
      <c r="Q3192" s="31">
        <f t="shared" si="2846"/>
        <v>0</v>
      </c>
    </row>
    <row r="3193" spans="1:17" x14ac:dyDescent="0.2">
      <c r="A3193" s="10"/>
      <c r="B3193" s="26"/>
      <c r="C3193" s="11">
        <v>2004</v>
      </c>
      <c r="D3193" s="32">
        <f>SPFI_CLB14!$D$27</f>
        <v>0.269237</v>
      </c>
      <c r="E3193" s="32"/>
      <c r="F3193" s="32"/>
      <c r="G3193" s="32"/>
      <c r="H3193" s="32"/>
      <c r="I3193" s="32"/>
      <c r="J3193" s="28">
        <f t="shared" ref="J3193" si="2852">D3193*J$102</f>
        <v>0</v>
      </c>
      <c r="K3193" s="29"/>
      <c r="L3193" s="29"/>
      <c r="M3193" s="29"/>
      <c r="N3193" s="29"/>
      <c r="O3193" s="29"/>
      <c r="P3193" s="30">
        <f t="shared" si="2848"/>
        <v>0</v>
      </c>
      <c r="Q3193" s="31">
        <f t="shared" si="2846"/>
        <v>0</v>
      </c>
    </row>
    <row r="3194" spans="1:17" x14ac:dyDescent="0.2">
      <c r="A3194" s="10"/>
      <c r="B3194" s="26"/>
      <c r="C3194" s="11">
        <v>2005</v>
      </c>
      <c r="D3194" s="32">
        <f>SPFI_CLB14!$D$28</f>
        <v>0.37848700000000002</v>
      </c>
      <c r="E3194" s="32"/>
      <c r="F3194" s="32"/>
      <c r="G3194" s="32"/>
      <c r="H3194" s="32"/>
      <c r="I3194" s="32"/>
      <c r="J3194" s="28">
        <f t="shared" ref="J3194" si="2853">D3194*J$102</f>
        <v>0</v>
      </c>
      <c r="K3194" s="29"/>
      <c r="L3194" s="29"/>
      <c r="M3194" s="29"/>
      <c r="N3194" s="29"/>
      <c r="O3194" s="29"/>
      <c r="P3194" s="30">
        <f t="shared" si="2848"/>
        <v>0</v>
      </c>
      <c r="Q3194" s="31">
        <f t="shared" ref="Q3194:Q3199" si="2854">IF(C$102&gt;0,P3194/C$102,0)</f>
        <v>0</v>
      </c>
    </row>
    <row r="3195" spans="1:17" x14ac:dyDescent="0.2">
      <c r="A3195" s="10"/>
      <c r="B3195" s="26"/>
      <c r="C3195" s="11">
        <v>2006</v>
      </c>
      <c r="D3195" s="32">
        <f>SPFI_CLB14!$D$29</f>
        <v>0.381023</v>
      </c>
      <c r="E3195" s="32"/>
      <c r="F3195" s="32"/>
      <c r="G3195" s="32"/>
      <c r="H3195" s="32"/>
      <c r="I3195" s="32"/>
      <c r="J3195" s="28">
        <f t="shared" ref="J3195" si="2855">D3195*J$102</f>
        <v>0</v>
      </c>
      <c r="K3195" s="29"/>
      <c r="L3195" s="29"/>
      <c r="M3195" s="29"/>
      <c r="N3195" s="29"/>
      <c r="O3195" s="29"/>
      <c r="P3195" s="30">
        <f t="shared" ref="P3195:P3202" si="2856">SUM(J3195:O3195)</f>
        <v>0</v>
      </c>
      <c r="Q3195" s="31">
        <f t="shared" si="2854"/>
        <v>0</v>
      </c>
    </row>
    <row r="3196" spans="1:17" x14ac:dyDescent="0.2">
      <c r="A3196" s="10"/>
      <c r="B3196" s="26"/>
      <c r="C3196" s="11">
        <v>2007</v>
      </c>
      <c r="D3196" s="32">
        <f>SPFI_CLB14!$D$30</f>
        <v>0.356512</v>
      </c>
      <c r="E3196" s="32"/>
      <c r="F3196" s="32"/>
      <c r="G3196" s="32"/>
      <c r="H3196" s="32"/>
      <c r="I3196" s="32"/>
      <c r="J3196" s="28">
        <f t="shared" ref="J3196" si="2857">D3196*J$102</f>
        <v>0</v>
      </c>
      <c r="K3196" s="29"/>
      <c r="L3196" s="29"/>
      <c r="M3196" s="29"/>
      <c r="N3196" s="29"/>
      <c r="O3196" s="29"/>
      <c r="P3196" s="30">
        <f t="shared" si="2856"/>
        <v>0</v>
      </c>
      <c r="Q3196" s="31">
        <f t="shared" si="2854"/>
        <v>0</v>
      </c>
    </row>
    <row r="3197" spans="1:17" x14ac:dyDescent="0.2">
      <c r="A3197" s="10"/>
      <c r="B3197" s="26"/>
      <c r="C3197" s="11">
        <v>2008</v>
      </c>
      <c r="D3197" s="32">
        <f>SPFI_CLB14!$D$31</f>
        <v>0.25494499999999998</v>
      </c>
      <c r="E3197" s="32"/>
      <c r="F3197" s="32"/>
      <c r="G3197" s="32"/>
      <c r="H3197" s="32"/>
      <c r="I3197" s="32"/>
      <c r="J3197" s="28">
        <f t="shared" ref="J3197" si="2858">D3197*J$102</f>
        <v>0</v>
      </c>
      <c r="K3197" s="29"/>
      <c r="L3197" s="29"/>
      <c r="M3197" s="29"/>
      <c r="N3197" s="29"/>
      <c r="O3197" s="29"/>
      <c r="P3197" s="30">
        <f t="shared" si="2856"/>
        <v>0</v>
      </c>
      <c r="Q3197" s="31">
        <f t="shared" si="2854"/>
        <v>0</v>
      </c>
    </row>
    <row r="3198" spans="1:17" x14ac:dyDescent="0.2">
      <c r="A3198" s="10"/>
      <c r="B3198" s="26"/>
      <c r="C3198" s="11">
        <v>2009</v>
      </c>
      <c r="D3198" s="32">
        <f>SPFI_CLB14!$D$32</f>
        <v>0.52383000000000002</v>
      </c>
      <c r="E3198" s="32"/>
      <c r="F3198" s="32"/>
      <c r="G3198" s="32"/>
      <c r="H3198" s="32"/>
      <c r="I3198" s="32"/>
      <c r="J3198" s="28">
        <f t="shared" ref="J3198" si="2859">D3198*J$102</f>
        <v>0</v>
      </c>
      <c r="K3198" s="29"/>
      <c r="L3198" s="29"/>
      <c r="M3198" s="29"/>
      <c r="N3198" s="29"/>
      <c r="O3198" s="29"/>
      <c r="P3198" s="30">
        <f t="shared" si="2856"/>
        <v>0</v>
      </c>
      <c r="Q3198" s="31">
        <f t="shared" si="2854"/>
        <v>0</v>
      </c>
    </row>
    <row r="3199" spans="1:17" x14ac:dyDescent="0.2">
      <c r="A3199" s="10"/>
      <c r="B3199" s="26"/>
      <c r="C3199" s="11">
        <v>2010</v>
      </c>
      <c r="D3199" s="32">
        <f>SPFI_CLB14!$D$33</f>
        <v>0.31394</v>
      </c>
      <c r="E3199" s="32"/>
      <c r="F3199" s="32"/>
      <c r="G3199" s="32"/>
      <c r="H3199" s="32"/>
      <c r="I3199" s="32"/>
      <c r="J3199" s="28">
        <f t="shared" ref="J3199" si="2860">D3199*J$102</f>
        <v>0</v>
      </c>
      <c r="K3199" s="29"/>
      <c r="L3199" s="29"/>
      <c r="M3199" s="29"/>
      <c r="N3199" s="29"/>
      <c r="O3199" s="29"/>
      <c r="P3199" s="30">
        <f t="shared" si="2856"/>
        <v>0</v>
      </c>
      <c r="Q3199" s="31">
        <f t="shared" si="2854"/>
        <v>0</v>
      </c>
    </row>
    <row r="3200" spans="1:17" x14ac:dyDescent="0.2">
      <c r="A3200" s="10"/>
      <c r="B3200" s="26"/>
      <c r="C3200" s="11">
        <v>2011</v>
      </c>
      <c r="D3200" s="32">
        <f>SPFI_CLB14!$D$34</f>
        <v>0.294348</v>
      </c>
      <c r="E3200" s="32"/>
      <c r="F3200" s="32"/>
      <c r="G3200" s="32"/>
      <c r="H3200" s="32"/>
      <c r="I3200" s="32"/>
      <c r="J3200" s="28">
        <f t="shared" ref="J3200" si="2861">D3200*J$102</f>
        <v>0</v>
      </c>
      <c r="K3200" s="29"/>
      <c r="L3200" s="29"/>
      <c r="M3200" s="29"/>
      <c r="N3200" s="29"/>
      <c r="O3200" s="29"/>
      <c r="P3200" s="30">
        <f t="shared" ref="P3200" si="2862">SUM(J3200:O3200)</f>
        <v>0</v>
      </c>
      <c r="Q3200" s="31">
        <f t="shared" ref="Q3200" si="2863">IF(C$102&gt;0,P3200/C$102,0)</f>
        <v>0</v>
      </c>
    </row>
    <row r="3201" spans="1:17" x14ac:dyDescent="0.2">
      <c r="A3201" s="10"/>
      <c r="B3201" s="26"/>
      <c r="C3201" s="11">
        <v>2012</v>
      </c>
      <c r="D3201" s="32">
        <f>SPFI_CLB14!$D$35</f>
        <v>0.34784100000000001</v>
      </c>
      <c r="E3201" s="32"/>
      <c r="F3201" s="32"/>
      <c r="G3201" s="32"/>
      <c r="H3201" s="32"/>
      <c r="I3201" s="32"/>
      <c r="J3201" s="28">
        <f t="shared" ref="J3201" si="2864">D3201*J$102</f>
        <v>0</v>
      </c>
      <c r="K3201" s="29"/>
      <c r="L3201" s="29"/>
      <c r="M3201" s="29"/>
      <c r="N3201" s="29"/>
      <c r="O3201" s="29"/>
      <c r="P3201" s="30">
        <f t="shared" ref="P3201" si="2865">SUM(J3201:O3201)</f>
        <v>0</v>
      </c>
      <c r="Q3201" s="31">
        <f t="shared" ref="Q3201" si="2866">IF(C$102&gt;0,P3201/C$102,0)</f>
        <v>0</v>
      </c>
    </row>
    <row r="3202" spans="1:17" x14ac:dyDescent="0.2">
      <c r="A3202" s="5" t="s">
        <v>30</v>
      </c>
      <c r="B3202" s="21">
        <v>5</v>
      </c>
      <c r="C3202" s="6">
        <v>1982</v>
      </c>
      <c r="D3202" s="27">
        <f>SPFI_CLB14!$D$5</f>
        <v>0.98153299999999999</v>
      </c>
      <c r="E3202" s="27"/>
      <c r="F3202" s="27"/>
      <c r="G3202" s="27"/>
      <c r="H3202" s="27"/>
      <c r="I3202" s="27"/>
      <c r="J3202" s="33">
        <f t="shared" ref="J3202:J3214" si="2867">D3202*J$103</f>
        <v>0</v>
      </c>
      <c r="K3202" s="27"/>
      <c r="L3202" s="27"/>
      <c r="M3202" s="27"/>
      <c r="N3202" s="27"/>
      <c r="O3202" s="27"/>
      <c r="P3202" s="34">
        <f t="shared" si="2856"/>
        <v>0</v>
      </c>
      <c r="Q3202" s="35">
        <f t="shared" ref="Q3202:Q3218" si="2868">IF(C$103&gt;0,P3202/C$103,0)</f>
        <v>0</v>
      </c>
    </row>
    <row r="3203" spans="1:17" x14ac:dyDescent="0.2">
      <c r="A3203" s="10"/>
      <c r="B3203" s="26"/>
      <c r="C3203" s="11">
        <v>1983</v>
      </c>
      <c r="D3203" s="32">
        <f>SPFI_CLB14!$D$6</f>
        <v>0.93659899999999996</v>
      </c>
      <c r="E3203" s="32"/>
      <c r="F3203" s="32"/>
      <c r="G3203" s="32"/>
      <c r="H3203" s="32"/>
      <c r="I3203" s="32"/>
      <c r="J3203" s="28">
        <f t="shared" si="2867"/>
        <v>0</v>
      </c>
      <c r="K3203" s="29"/>
      <c r="L3203" s="29"/>
      <c r="M3203" s="29"/>
      <c r="N3203" s="29"/>
      <c r="O3203" s="29"/>
      <c r="P3203" s="30">
        <f t="shared" ref="P3203:P3214" si="2869">SUM(J3203:O3203)</f>
        <v>0</v>
      </c>
      <c r="Q3203" s="31">
        <f t="shared" si="2868"/>
        <v>0</v>
      </c>
    </row>
    <row r="3204" spans="1:17" x14ac:dyDescent="0.2">
      <c r="A3204" s="10"/>
      <c r="B3204" s="26"/>
      <c r="C3204" s="11">
        <v>1984</v>
      </c>
      <c r="D3204" s="32">
        <f>SPFI_CLB14!$D$7</f>
        <v>0.92793599999999998</v>
      </c>
      <c r="E3204" s="32"/>
      <c r="F3204" s="32"/>
      <c r="G3204" s="32"/>
      <c r="H3204" s="32"/>
      <c r="I3204" s="32"/>
      <c r="J3204" s="28">
        <f t="shared" si="2867"/>
        <v>0</v>
      </c>
      <c r="K3204" s="29"/>
      <c r="L3204" s="29"/>
      <c r="M3204" s="29"/>
      <c r="N3204" s="29"/>
      <c r="O3204" s="29"/>
      <c r="P3204" s="30">
        <f t="shared" si="2869"/>
        <v>0</v>
      </c>
      <c r="Q3204" s="31">
        <f t="shared" si="2868"/>
        <v>0</v>
      </c>
    </row>
    <row r="3205" spans="1:17" x14ac:dyDescent="0.2">
      <c r="A3205" s="10"/>
      <c r="B3205" s="26"/>
      <c r="C3205" s="11">
        <v>1985</v>
      </c>
      <c r="D3205" s="32">
        <f>SPFI_CLB14!$D$8</f>
        <v>0.90386500000000003</v>
      </c>
      <c r="E3205" s="32"/>
      <c r="F3205" s="32"/>
      <c r="G3205" s="32"/>
      <c r="H3205" s="32"/>
      <c r="I3205" s="32"/>
      <c r="J3205" s="28">
        <f t="shared" si="2867"/>
        <v>0</v>
      </c>
      <c r="K3205" s="29"/>
      <c r="L3205" s="29"/>
      <c r="M3205" s="29"/>
      <c r="N3205" s="29"/>
      <c r="O3205" s="29"/>
      <c r="P3205" s="30">
        <f t="shared" si="2869"/>
        <v>0</v>
      </c>
      <c r="Q3205" s="31">
        <f t="shared" si="2868"/>
        <v>0</v>
      </c>
    </row>
    <row r="3206" spans="1:17" x14ac:dyDescent="0.2">
      <c r="A3206" s="10"/>
      <c r="B3206" s="26"/>
      <c r="C3206" s="11">
        <v>1986</v>
      </c>
      <c r="D3206" s="32">
        <f>SPFI_CLB14!$D$9</f>
        <v>0.73087500000000005</v>
      </c>
      <c r="E3206" s="32"/>
      <c r="F3206" s="32"/>
      <c r="G3206" s="32"/>
      <c r="H3206" s="32"/>
      <c r="I3206" s="32"/>
      <c r="J3206" s="28">
        <f t="shared" si="2867"/>
        <v>0</v>
      </c>
      <c r="K3206" s="29"/>
      <c r="L3206" s="29"/>
      <c r="M3206" s="29"/>
      <c r="N3206" s="29"/>
      <c r="O3206" s="29"/>
      <c r="P3206" s="30">
        <f t="shared" si="2869"/>
        <v>0</v>
      </c>
      <c r="Q3206" s="31">
        <f t="shared" si="2868"/>
        <v>0</v>
      </c>
    </row>
    <row r="3207" spans="1:17" x14ac:dyDescent="0.2">
      <c r="A3207" s="10"/>
      <c r="B3207" s="26"/>
      <c r="C3207" s="11">
        <v>1987</v>
      </c>
      <c r="D3207" s="32">
        <f>SPFI_CLB14!$D$10</f>
        <v>0.71733499999999994</v>
      </c>
      <c r="E3207" s="32"/>
      <c r="F3207" s="32"/>
      <c r="G3207" s="32"/>
      <c r="H3207" s="32"/>
      <c r="I3207" s="32"/>
      <c r="J3207" s="28">
        <f t="shared" si="2867"/>
        <v>0</v>
      </c>
      <c r="K3207" s="29"/>
      <c r="L3207" s="29"/>
      <c r="M3207" s="29"/>
      <c r="N3207" s="29"/>
      <c r="O3207" s="29"/>
      <c r="P3207" s="30">
        <f t="shared" si="2869"/>
        <v>0</v>
      </c>
      <c r="Q3207" s="31">
        <f t="shared" si="2868"/>
        <v>0</v>
      </c>
    </row>
    <row r="3208" spans="1:17" x14ac:dyDescent="0.2">
      <c r="A3208" s="10"/>
      <c r="B3208" s="26"/>
      <c r="C3208" s="11">
        <v>1988</v>
      </c>
      <c r="D3208" s="32">
        <f>SPFI_CLB14!$D$11</f>
        <v>0.64558800000000005</v>
      </c>
      <c r="E3208" s="32"/>
      <c r="F3208" s="32"/>
      <c r="G3208" s="32"/>
      <c r="H3208" s="32"/>
      <c r="I3208" s="32"/>
      <c r="J3208" s="28">
        <f t="shared" si="2867"/>
        <v>0</v>
      </c>
      <c r="K3208" s="29"/>
      <c r="L3208" s="29"/>
      <c r="M3208" s="29"/>
      <c r="N3208" s="29"/>
      <c r="O3208" s="29"/>
      <c r="P3208" s="30">
        <f t="shared" si="2869"/>
        <v>0</v>
      </c>
      <c r="Q3208" s="31">
        <f t="shared" si="2868"/>
        <v>0</v>
      </c>
    </row>
    <row r="3209" spans="1:17" x14ac:dyDescent="0.2">
      <c r="A3209" s="10"/>
      <c r="B3209" s="26"/>
      <c r="C3209" s="11">
        <v>1989</v>
      </c>
      <c r="D3209" s="32">
        <f>SPFI_CLB14!$D$12</f>
        <v>0.65287700000000004</v>
      </c>
      <c r="E3209" s="32"/>
      <c r="F3209" s="32"/>
      <c r="G3209" s="32"/>
      <c r="H3209" s="32"/>
      <c r="I3209" s="32"/>
      <c r="J3209" s="28">
        <f t="shared" si="2867"/>
        <v>0</v>
      </c>
      <c r="K3209" s="29"/>
      <c r="L3209" s="29"/>
      <c r="M3209" s="29"/>
      <c r="N3209" s="29"/>
      <c r="O3209" s="29"/>
      <c r="P3209" s="30">
        <f t="shared" si="2869"/>
        <v>0</v>
      </c>
      <c r="Q3209" s="31">
        <f t="shared" si="2868"/>
        <v>0</v>
      </c>
    </row>
    <row r="3210" spans="1:17" x14ac:dyDescent="0.2">
      <c r="A3210" s="10"/>
      <c r="B3210" s="26"/>
      <c r="C3210" s="11">
        <v>1990</v>
      </c>
      <c r="D3210" s="32">
        <f>SPFI_CLB14!$D$13</f>
        <v>0.56965100000000002</v>
      </c>
      <c r="E3210" s="32"/>
      <c r="F3210" s="32"/>
      <c r="G3210" s="32"/>
      <c r="H3210" s="32"/>
      <c r="I3210" s="32"/>
      <c r="J3210" s="28">
        <f t="shared" si="2867"/>
        <v>0</v>
      </c>
      <c r="K3210" s="29"/>
      <c r="L3210" s="29"/>
      <c r="M3210" s="29"/>
      <c r="N3210" s="29"/>
      <c r="O3210" s="29"/>
      <c r="P3210" s="30">
        <f t="shared" si="2869"/>
        <v>0</v>
      </c>
      <c r="Q3210" s="31">
        <f t="shared" si="2868"/>
        <v>0</v>
      </c>
    </row>
    <row r="3211" spans="1:17" x14ac:dyDescent="0.2">
      <c r="A3211" s="10"/>
      <c r="B3211" s="26"/>
      <c r="C3211" s="11">
        <v>1991</v>
      </c>
      <c r="D3211" s="32">
        <f>SPFI_CLB14!$D$14</f>
        <v>0.62776900000000002</v>
      </c>
      <c r="E3211" s="32"/>
      <c r="F3211" s="32"/>
      <c r="G3211" s="32"/>
      <c r="H3211" s="32"/>
      <c r="I3211" s="32"/>
      <c r="J3211" s="28">
        <f t="shared" si="2867"/>
        <v>0</v>
      </c>
      <c r="K3211" s="29"/>
      <c r="L3211" s="29"/>
      <c r="M3211" s="29"/>
      <c r="N3211" s="29"/>
      <c r="O3211" s="29"/>
      <c r="P3211" s="30">
        <f t="shared" si="2869"/>
        <v>0</v>
      </c>
      <c r="Q3211" s="31">
        <f t="shared" si="2868"/>
        <v>0</v>
      </c>
    </row>
    <row r="3212" spans="1:17" x14ac:dyDescent="0.2">
      <c r="A3212" s="10"/>
      <c r="B3212" s="26"/>
      <c r="C3212" s="11">
        <v>1992</v>
      </c>
      <c r="D3212" s="32">
        <f>SPFI_CLB14!$D$15</f>
        <v>0.43504100000000001</v>
      </c>
      <c r="E3212" s="32"/>
      <c r="F3212" s="32"/>
      <c r="G3212" s="32"/>
      <c r="H3212" s="32"/>
      <c r="I3212" s="32"/>
      <c r="J3212" s="28">
        <f t="shared" si="2867"/>
        <v>0</v>
      </c>
      <c r="K3212" s="29"/>
      <c r="L3212" s="29"/>
      <c r="M3212" s="29"/>
      <c r="N3212" s="29"/>
      <c r="O3212" s="29"/>
      <c r="P3212" s="30">
        <f t="shared" si="2869"/>
        <v>0</v>
      </c>
      <c r="Q3212" s="31">
        <f t="shared" si="2868"/>
        <v>0</v>
      </c>
    </row>
    <row r="3213" spans="1:17" x14ac:dyDescent="0.2">
      <c r="A3213" s="10"/>
      <c r="B3213" s="26"/>
      <c r="C3213" s="11">
        <v>1993</v>
      </c>
      <c r="D3213" s="32">
        <f>SPFI_CLB14!$D$16</f>
        <v>0.499164</v>
      </c>
      <c r="E3213" s="32"/>
      <c r="F3213" s="32"/>
      <c r="G3213" s="32"/>
      <c r="H3213" s="32"/>
      <c r="I3213" s="32"/>
      <c r="J3213" s="28">
        <f t="shared" si="2867"/>
        <v>0</v>
      </c>
      <c r="K3213" s="29"/>
      <c r="L3213" s="29"/>
      <c r="M3213" s="29"/>
      <c r="N3213" s="29"/>
      <c r="O3213" s="29"/>
      <c r="P3213" s="30">
        <f t="shared" si="2869"/>
        <v>0</v>
      </c>
      <c r="Q3213" s="31">
        <f t="shared" si="2868"/>
        <v>0</v>
      </c>
    </row>
    <row r="3214" spans="1:17" x14ac:dyDescent="0.2">
      <c r="A3214" s="10"/>
      <c r="B3214" s="26" t="s">
        <v>48</v>
      </c>
      <c r="C3214" s="11">
        <v>1994</v>
      </c>
      <c r="D3214" s="32">
        <f>SPFI_CLB14!$D$17</f>
        <v>0.59591300000000003</v>
      </c>
      <c r="E3214" s="32"/>
      <c r="F3214" s="32"/>
      <c r="G3214" s="32"/>
      <c r="H3214" s="32"/>
      <c r="I3214" s="32"/>
      <c r="J3214" s="28">
        <f t="shared" si="2867"/>
        <v>0</v>
      </c>
      <c r="K3214" s="29"/>
      <c r="L3214" s="29"/>
      <c r="M3214" s="29"/>
      <c r="N3214" s="29"/>
      <c r="O3214" s="29"/>
      <c r="P3214" s="30">
        <f t="shared" si="2869"/>
        <v>0</v>
      </c>
      <c r="Q3214" s="31">
        <f t="shared" si="2868"/>
        <v>0</v>
      </c>
    </row>
    <row r="3215" spans="1:17" x14ac:dyDescent="0.2">
      <c r="A3215" s="10"/>
      <c r="B3215" s="26"/>
      <c r="C3215" s="11">
        <v>1995</v>
      </c>
      <c r="D3215" s="32">
        <f>SPFI_CLB14!$D$18</f>
        <v>0.25400800000000001</v>
      </c>
      <c r="E3215" s="32"/>
      <c r="F3215" s="32"/>
      <c r="G3215" s="32"/>
      <c r="H3215" s="32"/>
      <c r="I3215" s="32"/>
      <c r="J3215" s="28">
        <f t="shared" ref="J3215" si="2870">D3215*J$103</f>
        <v>0</v>
      </c>
      <c r="K3215" s="29"/>
      <c r="L3215" s="29"/>
      <c r="M3215" s="29"/>
      <c r="N3215" s="29"/>
      <c r="O3215" s="29"/>
      <c r="P3215" s="30">
        <f>SUM(J3215:O3215)</f>
        <v>0</v>
      </c>
      <c r="Q3215" s="31">
        <f t="shared" si="2868"/>
        <v>0</v>
      </c>
    </row>
    <row r="3216" spans="1:17" x14ac:dyDescent="0.2">
      <c r="A3216" s="10"/>
      <c r="B3216" s="26"/>
      <c r="C3216" s="11">
        <v>1996</v>
      </c>
      <c r="D3216" s="32">
        <f>SPFI_CLB14!$D$19</f>
        <v>0</v>
      </c>
      <c r="E3216" s="32"/>
      <c r="F3216" s="32"/>
      <c r="G3216" s="32"/>
      <c r="H3216" s="32"/>
      <c r="I3216" s="32"/>
      <c r="J3216" s="28">
        <f t="shared" ref="J3216" si="2871">D3216*J$103</f>
        <v>0</v>
      </c>
      <c r="K3216" s="29"/>
      <c r="L3216" s="29"/>
      <c r="M3216" s="29"/>
      <c r="N3216" s="29"/>
      <c r="O3216" s="29"/>
      <c r="P3216" s="30">
        <f>SUM(J3216:O3216)</f>
        <v>0</v>
      </c>
      <c r="Q3216" s="31">
        <f t="shared" si="2868"/>
        <v>0</v>
      </c>
    </row>
    <row r="3217" spans="1:17" x14ac:dyDescent="0.2">
      <c r="A3217" s="10"/>
      <c r="B3217" s="26"/>
      <c r="C3217" s="11">
        <v>1997</v>
      </c>
      <c r="D3217" s="32">
        <f>SPFI_CLB14!$D$20</f>
        <v>0.201487</v>
      </c>
      <c r="E3217" s="32"/>
      <c r="F3217" s="32"/>
      <c r="G3217" s="32"/>
      <c r="H3217" s="32"/>
      <c r="I3217" s="32"/>
      <c r="J3217" s="28">
        <f t="shared" ref="J3217" si="2872">D3217*J$103</f>
        <v>0</v>
      </c>
      <c r="K3217" s="29"/>
      <c r="L3217" s="29"/>
      <c r="M3217" s="29"/>
      <c r="N3217" s="29"/>
      <c r="O3217" s="29"/>
      <c r="P3217" s="30">
        <f>SUM(J3217:O3217)</f>
        <v>0</v>
      </c>
      <c r="Q3217" s="31">
        <f t="shared" si="2868"/>
        <v>0</v>
      </c>
    </row>
    <row r="3218" spans="1:17" x14ac:dyDescent="0.2">
      <c r="A3218" s="10"/>
      <c r="B3218" s="26"/>
      <c r="C3218" s="11">
        <v>1998</v>
      </c>
      <c r="D3218" s="32">
        <f>SPFI_CLB14!$D$21</f>
        <v>0.37506400000000001</v>
      </c>
      <c r="E3218" s="32"/>
      <c r="F3218" s="32"/>
      <c r="G3218" s="32"/>
      <c r="H3218" s="32"/>
      <c r="I3218" s="32"/>
      <c r="J3218" s="28">
        <f t="shared" ref="J3218" si="2873">D3218*J$103</f>
        <v>0</v>
      </c>
      <c r="K3218" s="29"/>
      <c r="L3218" s="29"/>
      <c r="M3218" s="29"/>
      <c r="N3218" s="29"/>
      <c r="O3218" s="29"/>
      <c r="P3218" s="30">
        <f>SUM(J3218:O3218)</f>
        <v>0</v>
      </c>
      <c r="Q3218" s="31">
        <f t="shared" si="2868"/>
        <v>0</v>
      </c>
    </row>
    <row r="3219" spans="1:17" x14ac:dyDescent="0.2">
      <c r="A3219" s="10"/>
      <c r="B3219" s="26"/>
      <c r="C3219" s="11">
        <v>1999</v>
      </c>
      <c r="D3219" s="32">
        <f>SPFI_CLB14!$D$22</f>
        <v>0.29823699999999997</v>
      </c>
      <c r="E3219" s="32"/>
      <c r="F3219" s="32"/>
      <c r="G3219" s="32"/>
      <c r="H3219" s="32"/>
      <c r="I3219" s="32"/>
      <c r="J3219" s="28">
        <f t="shared" ref="J3219" si="2874">D3219*J$103</f>
        <v>0</v>
      </c>
      <c r="K3219" s="29"/>
      <c r="L3219" s="29"/>
      <c r="M3219" s="29"/>
      <c r="N3219" s="29"/>
      <c r="O3219" s="29"/>
      <c r="P3219" s="30">
        <f>SUM(J3219:O3219)</f>
        <v>0</v>
      </c>
      <c r="Q3219" s="31">
        <f t="shared" ref="Q3219:Q3224" si="2875">IF(C$103&gt;0,P3219/C$103,0)</f>
        <v>0</v>
      </c>
    </row>
    <row r="3220" spans="1:17" x14ac:dyDescent="0.2">
      <c r="A3220" s="10"/>
      <c r="B3220" s="26"/>
      <c r="C3220" s="11">
        <v>2000</v>
      </c>
      <c r="D3220" s="32">
        <f>SPFI_CLB14!$D$23</f>
        <v>8.4414000000000003E-2</v>
      </c>
      <c r="E3220" s="32"/>
      <c r="F3220" s="32"/>
      <c r="G3220" s="32"/>
      <c r="H3220" s="32"/>
      <c r="I3220" s="32"/>
      <c r="J3220" s="28">
        <f t="shared" ref="J3220" si="2876">D3220*J$103</f>
        <v>0</v>
      </c>
      <c r="K3220" s="29"/>
      <c r="L3220" s="29"/>
      <c r="M3220" s="29"/>
      <c r="N3220" s="29"/>
      <c r="O3220" s="29"/>
      <c r="P3220" s="30">
        <f t="shared" ref="P3220:P3225" si="2877">SUM(J3220:O3220)</f>
        <v>0</v>
      </c>
      <c r="Q3220" s="31">
        <f t="shared" si="2875"/>
        <v>0</v>
      </c>
    </row>
    <row r="3221" spans="1:17" x14ac:dyDescent="0.2">
      <c r="A3221" s="10"/>
      <c r="B3221" s="26"/>
      <c r="C3221" s="11">
        <v>2001</v>
      </c>
      <c r="D3221" s="32">
        <f>SPFI_CLB14!$D$24</f>
        <v>7.8909000000000007E-2</v>
      </c>
      <c r="E3221" s="32"/>
      <c r="F3221" s="32"/>
      <c r="G3221" s="32"/>
      <c r="H3221" s="32"/>
      <c r="I3221" s="32"/>
      <c r="J3221" s="28">
        <f t="shared" ref="J3221" si="2878">D3221*J$103</f>
        <v>0</v>
      </c>
      <c r="K3221" s="29"/>
      <c r="L3221" s="29"/>
      <c r="M3221" s="29"/>
      <c r="N3221" s="29"/>
      <c r="O3221" s="29"/>
      <c r="P3221" s="30">
        <f t="shared" si="2877"/>
        <v>0</v>
      </c>
      <c r="Q3221" s="31">
        <f t="shared" si="2875"/>
        <v>0</v>
      </c>
    </row>
    <row r="3222" spans="1:17" x14ac:dyDescent="0.2">
      <c r="A3222" s="10"/>
      <c r="B3222" s="26"/>
      <c r="C3222" s="11">
        <v>2002</v>
      </c>
      <c r="D3222" s="32">
        <f>SPFI_CLB14!$D$25</f>
        <v>0.29974699999999999</v>
      </c>
      <c r="E3222" s="32"/>
      <c r="F3222" s="32"/>
      <c r="G3222" s="32"/>
      <c r="H3222" s="32"/>
      <c r="I3222" s="32"/>
      <c r="J3222" s="28">
        <f t="shared" ref="J3222" si="2879">D3222*J$103</f>
        <v>0</v>
      </c>
      <c r="K3222" s="29"/>
      <c r="L3222" s="29"/>
      <c r="M3222" s="29"/>
      <c r="N3222" s="29"/>
      <c r="O3222" s="29"/>
      <c r="P3222" s="30">
        <f t="shared" si="2877"/>
        <v>0</v>
      </c>
      <c r="Q3222" s="31">
        <f t="shared" si="2875"/>
        <v>0</v>
      </c>
    </row>
    <row r="3223" spans="1:17" x14ac:dyDescent="0.2">
      <c r="A3223" s="10"/>
      <c r="B3223" s="26"/>
      <c r="C3223" s="11">
        <v>2003</v>
      </c>
      <c r="D3223" s="32">
        <f>SPFI_CLB14!$D$26</f>
        <v>0.20691100000000001</v>
      </c>
      <c r="E3223" s="32"/>
      <c r="F3223" s="32"/>
      <c r="G3223" s="32"/>
      <c r="H3223" s="32"/>
      <c r="I3223" s="32"/>
      <c r="J3223" s="28">
        <f t="shared" ref="J3223" si="2880">D3223*J$103</f>
        <v>0</v>
      </c>
      <c r="K3223" s="29"/>
      <c r="L3223" s="29"/>
      <c r="M3223" s="29"/>
      <c r="N3223" s="29"/>
      <c r="O3223" s="29"/>
      <c r="P3223" s="30">
        <f t="shared" si="2877"/>
        <v>0</v>
      </c>
      <c r="Q3223" s="31">
        <f t="shared" si="2875"/>
        <v>0</v>
      </c>
    </row>
    <row r="3224" spans="1:17" x14ac:dyDescent="0.2">
      <c r="A3224" s="10"/>
      <c r="B3224" s="26"/>
      <c r="C3224" s="11">
        <v>2004</v>
      </c>
      <c r="D3224" s="32">
        <f>SPFI_CLB14!$D$27</f>
        <v>0.269237</v>
      </c>
      <c r="E3224" s="32"/>
      <c r="F3224" s="32"/>
      <c r="G3224" s="32"/>
      <c r="H3224" s="32"/>
      <c r="I3224" s="32"/>
      <c r="J3224" s="28">
        <f t="shared" ref="J3224" si="2881">D3224*J$103</f>
        <v>0</v>
      </c>
      <c r="K3224" s="29"/>
      <c r="L3224" s="29"/>
      <c r="M3224" s="29"/>
      <c r="N3224" s="29"/>
      <c r="O3224" s="29"/>
      <c r="P3224" s="30">
        <f t="shared" si="2877"/>
        <v>0</v>
      </c>
      <c r="Q3224" s="31">
        <f t="shared" si="2875"/>
        <v>0</v>
      </c>
    </row>
    <row r="3225" spans="1:17" x14ac:dyDescent="0.2">
      <c r="A3225" s="10"/>
      <c r="B3225" s="26"/>
      <c r="C3225" s="11">
        <v>2005</v>
      </c>
      <c r="D3225" s="32">
        <f>SPFI_CLB14!$D$28</f>
        <v>0.37848700000000002</v>
      </c>
      <c r="E3225" s="32"/>
      <c r="F3225" s="32"/>
      <c r="G3225" s="32"/>
      <c r="H3225" s="32"/>
      <c r="I3225" s="32"/>
      <c r="J3225" s="28">
        <f t="shared" ref="J3225" si="2882">D3225*J$103</f>
        <v>0</v>
      </c>
      <c r="K3225" s="29"/>
      <c r="L3225" s="29"/>
      <c r="M3225" s="29"/>
      <c r="N3225" s="29"/>
      <c r="O3225" s="29"/>
      <c r="P3225" s="30">
        <f t="shared" si="2877"/>
        <v>0</v>
      </c>
      <c r="Q3225" s="31">
        <f t="shared" ref="Q3225:Q3230" si="2883">IF(C$103&gt;0,P3225/C$103,0)</f>
        <v>0</v>
      </c>
    </row>
    <row r="3226" spans="1:17" x14ac:dyDescent="0.2">
      <c r="A3226" s="10"/>
      <c r="B3226" s="26"/>
      <c r="C3226" s="11">
        <v>2006</v>
      </c>
      <c r="D3226" s="32">
        <f>SPFI_CLB14!$D$29</f>
        <v>0.381023</v>
      </c>
      <c r="E3226" s="32"/>
      <c r="F3226" s="32"/>
      <c r="G3226" s="32"/>
      <c r="H3226" s="32"/>
      <c r="I3226" s="32"/>
      <c r="J3226" s="28">
        <f t="shared" ref="J3226" si="2884">D3226*J$103</f>
        <v>0</v>
      </c>
      <c r="K3226" s="29"/>
      <c r="L3226" s="29"/>
      <c r="M3226" s="29"/>
      <c r="N3226" s="29"/>
      <c r="O3226" s="29"/>
      <c r="P3226" s="30">
        <f t="shared" ref="P3226:P3233" si="2885">SUM(J3226:O3226)</f>
        <v>0</v>
      </c>
      <c r="Q3226" s="31">
        <f t="shared" si="2883"/>
        <v>0</v>
      </c>
    </row>
    <row r="3227" spans="1:17" x14ac:dyDescent="0.2">
      <c r="A3227" s="10"/>
      <c r="B3227" s="26"/>
      <c r="C3227" s="11">
        <v>2007</v>
      </c>
      <c r="D3227" s="32">
        <f>SPFI_CLB14!$D$30</f>
        <v>0.356512</v>
      </c>
      <c r="E3227" s="32"/>
      <c r="F3227" s="32"/>
      <c r="G3227" s="32"/>
      <c r="H3227" s="32"/>
      <c r="I3227" s="32"/>
      <c r="J3227" s="28">
        <f t="shared" ref="J3227" si="2886">D3227*J$103</f>
        <v>0</v>
      </c>
      <c r="K3227" s="29"/>
      <c r="L3227" s="29"/>
      <c r="M3227" s="29"/>
      <c r="N3227" s="29"/>
      <c r="O3227" s="29"/>
      <c r="P3227" s="30">
        <f t="shared" si="2885"/>
        <v>0</v>
      </c>
      <c r="Q3227" s="31">
        <f t="shared" si="2883"/>
        <v>0</v>
      </c>
    </row>
    <row r="3228" spans="1:17" x14ac:dyDescent="0.2">
      <c r="A3228" s="10"/>
      <c r="B3228" s="26"/>
      <c r="C3228" s="11">
        <v>2008</v>
      </c>
      <c r="D3228" s="32">
        <f>SPFI_CLB14!$D$31</f>
        <v>0.25494499999999998</v>
      </c>
      <c r="E3228" s="32"/>
      <c r="F3228" s="32"/>
      <c r="G3228" s="32"/>
      <c r="H3228" s="32"/>
      <c r="I3228" s="32"/>
      <c r="J3228" s="28">
        <f t="shared" ref="J3228" si="2887">D3228*J$103</f>
        <v>0</v>
      </c>
      <c r="K3228" s="29"/>
      <c r="L3228" s="29"/>
      <c r="M3228" s="29"/>
      <c r="N3228" s="29"/>
      <c r="O3228" s="29"/>
      <c r="P3228" s="30">
        <f t="shared" si="2885"/>
        <v>0</v>
      </c>
      <c r="Q3228" s="31">
        <f t="shared" si="2883"/>
        <v>0</v>
      </c>
    </row>
    <row r="3229" spans="1:17" x14ac:dyDescent="0.2">
      <c r="A3229" s="10"/>
      <c r="B3229" s="26"/>
      <c r="C3229" s="11">
        <v>2009</v>
      </c>
      <c r="D3229" s="32">
        <f>SPFI_CLB14!$D$32</f>
        <v>0.52383000000000002</v>
      </c>
      <c r="E3229" s="32"/>
      <c r="F3229" s="32"/>
      <c r="G3229" s="32"/>
      <c r="H3229" s="32"/>
      <c r="I3229" s="32"/>
      <c r="J3229" s="28">
        <f t="shared" ref="J3229" si="2888">D3229*J$103</f>
        <v>0</v>
      </c>
      <c r="K3229" s="29"/>
      <c r="L3229" s="29"/>
      <c r="M3229" s="29"/>
      <c r="N3229" s="29"/>
      <c r="O3229" s="29"/>
      <c r="P3229" s="30">
        <f t="shared" si="2885"/>
        <v>0</v>
      </c>
      <c r="Q3229" s="31">
        <f t="shared" si="2883"/>
        <v>0</v>
      </c>
    </row>
    <row r="3230" spans="1:17" x14ac:dyDescent="0.2">
      <c r="A3230" s="10"/>
      <c r="B3230" s="26"/>
      <c r="C3230" s="11">
        <v>2010</v>
      </c>
      <c r="D3230" s="32">
        <f>SPFI_CLB14!$D$33</f>
        <v>0.31394</v>
      </c>
      <c r="E3230" s="32"/>
      <c r="F3230" s="32"/>
      <c r="G3230" s="32"/>
      <c r="H3230" s="32"/>
      <c r="I3230" s="32"/>
      <c r="J3230" s="28">
        <f t="shared" ref="J3230" si="2889">D3230*J$103</f>
        <v>0</v>
      </c>
      <c r="K3230" s="29"/>
      <c r="L3230" s="29"/>
      <c r="M3230" s="29"/>
      <c r="N3230" s="29"/>
      <c r="O3230" s="29"/>
      <c r="P3230" s="30">
        <f t="shared" si="2885"/>
        <v>0</v>
      </c>
      <c r="Q3230" s="31">
        <f t="shared" si="2883"/>
        <v>0</v>
      </c>
    </row>
    <row r="3231" spans="1:17" x14ac:dyDescent="0.2">
      <c r="A3231" s="10"/>
      <c r="B3231" s="26"/>
      <c r="C3231" s="11">
        <v>2011</v>
      </c>
      <c r="D3231" s="32">
        <f>SPFI_CLB14!$D$34</f>
        <v>0.294348</v>
      </c>
      <c r="E3231" s="32"/>
      <c r="F3231" s="32"/>
      <c r="G3231" s="32"/>
      <c r="H3231" s="32"/>
      <c r="I3231" s="32"/>
      <c r="J3231" s="28">
        <f t="shared" ref="J3231" si="2890">D3231*J$103</f>
        <v>0</v>
      </c>
      <c r="K3231" s="29"/>
      <c r="L3231" s="29"/>
      <c r="M3231" s="29"/>
      <c r="N3231" s="29"/>
      <c r="O3231" s="29"/>
      <c r="P3231" s="30">
        <f t="shared" ref="P3231" si="2891">SUM(J3231:O3231)</f>
        <v>0</v>
      </c>
      <c r="Q3231" s="31">
        <f t="shared" ref="Q3231" si="2892">IF(C$103&gt;0,P3231/C$103,0)</f>
        <v>0</v>
      </c>
    </row>
    <row r="3232" spans="1:17" x14ac:dyDescent="0.2">
      <c r="A3232" s="10"/>
      <c r="B3232" s="26"/>
      <c r="C3232" s="11">
        <v>2012</v>
      </c>
      <c r="D3232" s="32">
        <f>SPFI_CLB14!$D$35</f>
        <v>0.34784100000000001</v>
      </c>
      <c r="E3232" s="32"/>
      <c r="F3232" s="32"/>
      <c r="G3232" s="32"/>
      <c r="H3232" s="32"/>
      <c r="I3232" s="32"/>
      <c r="J3232" s="28">
        <f t="shared" ref="J3232" si="2893">D3232*J$103</f>
        <v>0</v>
      </c>
      <c r="K3232" s="29"/>
      <c r="L3232" s="29"/>
      <c r="M3232" s="29"/>
      <c r="N3232" s="29"/>
      <c r="O3232" s="29"/>
      <c r="P3232" s="30">
        <f t="shared" ref="P3232" si="2894">SUM(J3232:O3232)</f>
        <v>0</v>
      </c>
      <c r="Q3232" s="31">
        <f t="shared" ref="Q3232" si="2895">IF(C$103&gt;0,P3232/C$103,0)</f>
        <v>0</v>
      </c>
    </row>
    <row r="3233" spans="1:17" x14ac:dyDescent="0.2">
      <c r="A3233" s="5" t="s">
        <v>31</v>
      </c>
      <c r="B3233" s="21">
        <v>2</v>
      </c>
      <c r="C3233" s="6">
        <v>1982</v>
      </c>
      <c r="D3233" s="27">
        <f>SPFI_CLB14!$D$5</f>
        <v>0.98153299999999999</v>
      </c>
      <c r="E3233" s="27"/>
      <c r="F3233" s="27"/>
      <c r="G3233" s="27"/>
      <c r="H3233" s="27"/>
      <c r="I3233" s="27"/>
      <c r="J3233" s="33">
        <f t="shared" ref="J3233:J3245" si="2896">D3233*J$104</f>
        <v>0</v>
      </c>
      <c r="K3233" s="27"/>
      <c r="L3233" s="27"/>
      <c r="M3233" s="27"/>
      <c r="N3233" s="27"/>
      <c r="O3233" s="27"/>
      <c r="P3233" s="34">
        <f t="shared" si="2885"/>
        <v>0</v>
      </c>
      <c r="Q3233" s="35">
        <f t="shared" ref="Q3233:Q3249" si="2897">IF(C$104&gt;0,P3233/C$104,0)</f>
        <v>0</v>
      </c>
    </row>
    <row r="3234" spans="1:17" x14ac:dyDescent="0.2">
      <c r="A3234" s="10"/>
      <c r="B3234" s="26"/>
      <c r="C3234" s="11">
        <v>1983</v>
      </c>
      <c r="D3234" s="32">
        <f>SPFI_CLB14!$D$6</f>
        <v>0.93659899999999996</v>
      </c>
      <c r="E3234" s="32"/>
      <c r="F3234" s="32"/>
      <c r="G3234" s="32"/>
      <c r="H3234" s="32"/>
      <c r="I3234" s="32"/>
      <c r="J3234" s="28">
        <f t="shared" si="2896"/>
        <v>0</v>
      </c>
      <c r="K3234" s="29"/>
      <c r="L3234" s="29"/>
      <c r="M3234" s="29"/>
      <c r="N3234" s="29"/>
      <c r="O3234" s="29"/>
      <c r="P3234" s="30">
        <f t="shared" ref="P3234:P3245" si="2898">SUM(J3234:O3234)</f>
        <v>0</v>
      </c>
      <c r="Q3234" s="31">
        <f t="shared" si="2897"/>
        <v>0</v>
      </c>
    </row>
    <row r="3235" spans="1:17" x14ac:dyDescent="0.2">
      <c r="A3235" s="10"/>
      <c r="B3235" s="26"/>
      <c r="C3235" s="11">
        <v>1984</v>
      </c>
      <c r="D3235" s="32">
        <f>SPFI_CLB14!$D$7</f>
        <v>0.92793599999999998</v>
      </c>
      <c r="E3235" s="32"/>
      <c r="F3235" s="32"/>
      <c r="G3235" s="32"/>
      <c r="H3235" s="32"/>
      <c r="I3235" s="32"/>
      <c r="J3235" s="28">
        <f t="shared" si="2896"/>
        <v>0</v>
      </c>
      <c r="K3235" s="29"/>
      <c r="L3235" s="29"/>
      <c r="M3235" s="29"/>
      <c r="N3235" s="29"/>
      <c r="O3235" s="29"/>
      <c r="P3235" s="30">
        <f t="shared" si="2898"/>
        <v>0</v>
      </c>
      <c r="Q3235" s="31">
        <f t="shared" si="2897"/>
        <v>0</v>
      </c>
    </row>
    <row r="3236" spans="1:17" x14ac:dyDescent="0.2">
      <c r="A3236" s="10"/>
      <c r="B3236" s="26"/>
      <c r="C3236" s="11">
        <v>1985</v>
      </c>
      <c r="D3236" s="32">
        <f>SPFI_CLB14!$D$8</f>
        <v>0.90386500000000003</v>
      </c>
      <c r="E3236" s="32"/>
      <c r="F3236" s="32"/>
      <c r="G3236" s="32"/>
      <c r="H3236" s="32"/>
      <c r="I3236" s="32"/>
      <c r="J3236" s="28">
        <f t="shared" si="2896"/>
        <v>0</v>
      </c>
      <c r="K3236" s="29"/>
      <c r="L3236" s="29"/>
      <c r="M3236" s="29"/>
      <c r="N3236" s="29"/>
      <c r="O3236" s="29"/>
      <c r="P3236" s="30">
        <f t="shared" si="2898"/>
        <v>0</v>
      </c>
      <c r="Q3236" s="31">
        <f t="shared" si="2897"/>
        <v>0</v>
      </c>
    </row>
    <row r="3237" spans="1:17" x14ac:dyDescent="0.2">
      <c r="A3237" s="10"/>
      <c r="B3237" s="26"/>
      <c r="C3237" s="11">
        <v>1986</v>
      </c>
      <c r="D3237" s="32">
        <f>SPFI_CLB14!$D$9</f>
        <v>0.73087500000000005</v>
      </c>
      <c r="E3237" s="32"/>
      <c r="F3237" s="32"/>
      <c r="G3237" s="32"/>
      <c r="H3237" s="32"/>
      <c r="I3237" s="32"/>
      <c r="J3237" s="28">
        <f t="shared" si="2896"/>
        <v>0</v>
      </c>
      <c r="K3237" s="29"/>
      <c r="L3237" s="29"/>
      <c r="M3237" s="29"/>
      <c r="N3237" s="29"/>
      <c r="O3237" s="29"/>
      <c r="P3237" s="30">
        <f t="shared" si="2898"/>
        <v>0</v>
      </c>
      <c r="Q3237" s="31">
        <f t="shared" si="2897"/>
        <v>0</v>
      </c>
    </row>
    <row r="3238" spans="1:17" x14ac:dyDescent="0.2">
      <c r="A3238" s="10"/>
      <c r="B3238" s="26"/>
      <c r="C3238" s="11">
        <v>1987</v>
      </c>
      <c r="D3238" s="32">
        <f>SPFI_CLB14!$D$10</f>
        <v>0.71733499999999994</v>
      </c>
      <c r="E3238" s="32"/>
      <c r="F3238" s="32"/>
      <c r="G3238" s="32"/>
      <c r="H3238" s="32"/>
      <c r="I3238" s="32"/>
      <c r="J3238" s="28">
        <f t="shared" si="2896"/>
        <v>0</v>
      </c>
      <c r="K3238" s="29"/>
      <c r="L3238" s="29"/>
      <c r="M3238" s="29"/>
      <c r="N3238" s="29"/>
      <c r="O3238" s="29"/>
      <c r="P3238" s="30">
        <f t="shared" si="2898"/>
        <v>0</v>
      </c>
      <c r="Q3238" s="31">
        <f t="shared" si="2897"/>
        <v>0</v>
      </c>
    </row>
    <row r="3239" spans="1:17" x14ac:dyDescent="0.2">
      <c r="A3239" s="10"/>
      <c r="B3239" s="26"/>
      <c r="C3239" s="11">
        <v>1988</v>
      </c>
      <c r="D3239" s="32">
        <f>SPFI_CLB14!$D$11</f>
        <v>0.64558800000000005</v>
      </c>
      <c r="E3239" s="32"/>
      <c r="F3239" s="32"/>
      <c r="G3239" s="32"/>
      <c r="H3239" s="32"/>
      <c r="I3239" s="32"/>
      <c r="J3239" s="28">
        <f t="shared" si="2896"/>
        <v>0</v>
      </c>
      <c r="K3239" s="29"/>
      <c r="L3239" s="29"/>
      <c r="M3239" s="29"/>
      <c r="N3239" s="29"/>
      <c r="O3239" s="29"/>
      <c r="P3239" s="30">
        <f t="shared" si="2898"/>
        <v>0</v>
      </c>
      <c r="Q3239" s="31">
        <f t="shared" si="2897"/>
        <v>0</v>
      </c>
    </row>
    <row r="3240" spans="1:17" x14ac:dyDescent="0.2">
      <c r="A3240" s="10"/>
      <c r="B3240" s="26"/>
      <c r="C3240" s="11">
        <v>1989</v>
      </c>
      <c r="D3240" s="32">
        <f>SPFI_CLB14!$D$12</f>
        <v>0.65287700000000004</v>
      </c>
      <c r="E3240" s="32"/>
      <c r="F3240" s="32"/>
      <c r="G3240" s="32"/>
      <c r="H3240" s="32"/>
      <c r="I3240" s="32"/>
      <c r="J3240" s="28">
        <f t="shared" si="2896"/>
        <v>0</v>
      </c>
      <c r="K3240" s="29"/>
      <c r="L3240" s="29"/>
      <c r="M3240" s="29"/>
      <c r="N3240" s="29"/>
      <c r="O3240" s="29"/>
      <c r="P3240" s="30">
        <f t="shared" si="2898"/>
        <v>0</v>
      </c>
      <c r="Q3240" s="31">
        <f t="shared" si="2897"/>
        <v>0</v>
      </c>
    </row>
    <row r="3241" spans="1:17" x14ac:dyDescent="0.2">
      <c r="A3241" s="10"/>
      <c r="B3241" s="26"/>
      <c r="C3241" s="11">
        <v>1990</v>
      </c>
      <c r="D3241" s="32">
        <f>SPFI_CLB14!$D$13</f>
        <v>0.56965100000000002</v>
      </c>
      <c r="E3241" s="32"/>
      <c r="F3241" s="32"/>
      <c r="G3241" s="32"/>
      <c r="H3241" s="32"/>
      <c r="I3241" s="32"/>
      <c r="J3241" s="28">
        <f t="shared" si="2896"/>
        <v>0</v>
      </c>
      <c r="K3241" s="29"/>
      <c r="L3241" s="29"/>
      <c r="M3241" s="29"/>
      <c r="N3241" s="29"/>
      <c r="O3241" s="29"/>
      <c r="P3241" s="30">
        <f t="shared" si="2898"/>
        <v>0</v>
      </c>
      <c r="Q3241" s="31">
        <f t="shared" si="2897"/>
        <v>0</v>
      </c>
    </row>
    <row r="3242" spans="1:17" x14ac:dyDescent="0.2">
      <c r="A3242" s="10"/>
      <c r="B3242" s="26"/>
      <c r="C3242" s="11">
        <v>1991</v>
      </c>
      <c r="D3242" s="32">
        <f>SPFI_CLB14!$D$14</f>
        <v>0.62776900000000002</v>
      </c>
      <c r="E3242" s="32"/>
      <c r="F3242" s="32"/>
      <c r="G3242" s="32"/>
      <c r="H3242" s="32"/>
      <c r="I3242" s="32"/>
      <c r="J3242" s="28">
        <f t="shared" si="2896"/>
        <v>0</v>
      </c>
      <c r="K3242" s="29"/>
      <c r="L3242" s="29"/>
      <c r="M3242" s="29"/>
      <c r="N3242" s="29"/>
      <c r="O3242" s="29"/>
      <c r="P3242" s="30">
        <f t="shared" si="2898"/>
        <v>0</v>
      </c>
      <c r="Q3242" s="31">
        <f t="shared" si="2897"/>
        <v>0</v>
      </c>
    </row>
    <row r="3243" spans="1:17" x14ac:dyDescent="0.2">
      <c r="A3243" s="10"/>
      <c r="B3243" s="26"/>
      <c r="C3243" s="11">
        <v>1992</v>
      </c>
      <c r="D3243" s="32">
        <f>SPFI_CLB14!$D$15</f>
        <v>0.43504100000000001</v>
      </c>
      <c r="E3243" s="32"/>
      <c r="F3243" s="32"/>
      <c r="G3243" s="32"/>
      <c r="H3243" s="32"/>
      <c r="I3243" s="32"/>
      <c r="J3243" s="28">
        <f t="shared" si="2896"/>
        <v>0</v>
      </c>
      <c r="K3243" s="29"/>
      <c r="L3243" s="29"/>
      <c r="M3243" s="29"/>
      <c r="N3243" s="29"/>
      <c r="O3243" s="29"/>
      <c r="P3243" s="30">
        <f t="shared" si="2898"/>
        <v>0</v>
      </c>
      <c r="Q3243" s="31">
        <f t="shared" si="2897"/>
        <v>0</v>
      </c>
    </row>
    <row r="3244" spans="1:17" x14ac:dyDescent="0.2">
      <c r="A3244" s="10"/>
      <c r="B3244" s="26"/>
      <c r="C3244" s="11">
        <v>1993</v>
      </c>
      <c r="D3244" s="32">
        <f>SPFI_CLB14!$D$16</f>
        <v>0.499164</v>
      </c>
      <c r="E3244" s="32"/>
      <c r="F3244" s="32"/>
      <c r="G3244" s="32"/>
      <c r="H3244" s="32"/>
      <c r="I3244" s="32"/>
      <c r="J3244" s="28">
        <f t="shared" si="2896"/>
        <v>0</v>
      </c>
      <c r="K3244" s="29"/>
      <c r="L3244" s="29"/>
      <c r="M3244" s="29"/>
      <c r="N3244" s="29"/>
      <c r="O3244" s="29"/>
      <c r="P3244" s="30">
        <f t="shared" si="2898"/>
        <v>0</v>
      </c>
      <c r="Q3244" s="31">
        <f t="shared" si="2897"/>
        <v>0</v>
      </c>
    </row>
    <row r="3245" spans="1:17" x14ac:dyDescent="0.2">
      <c r="A3245" s="10"/>
      <c r="B3245" s="26"/>
      <c r="C3245" s="11">
        <v>1994</v>
      </c>
      <c r="D3245" s="32">
        <f>SPFI_CLB14!$D$17</f>
        <v>0.59591300000000003</v>
      </c>
      <c r="E3245" s="32"/>
      <c r="F3245" s="32"/>
      <c r="G3245" s="32"/>
      <c r="H3245" s="32"/>
      <c r="I3245" s="32"/>
      <c r="J3245" s="28">
        <f t="shared" si="2896"/>
        <v>0</v>
      </c>
      <c r="K3245" s="29"/>
      <c r="L3245" s="29"/>
      <c r="M3245" s="29"/>
      <c r="N3245" s="29"/>
      <c r="O3245" s="29"/>
      <c r="P3245" s="30">
        <f t="shared" si="2898"/>
        <v>0</v>
      </c>
      <c r="Q3245" s="31">
        <f t="shared" si="2897"/>
        <v>0</v>
      </c>
    </row>
    <row r="3246" spans="1:17" x14ac:dyDescent="0.2">
      <c r="A3246" s="10"/>
      <c r="B3246" s="26"/>
      <c r="C3246" s="11">
        <v>1995</v>
      </c>
      <c r="D3246" s="32">
        <f>SPFI_CLB14!$D$18</f>
        <v>0.25400800000000001</v>
      </c>
      <c r="E3246" s="32"/>
      <c r="F3246" s="32"/>
      <c r="G3246" s="32"/>
      <c r="H3246" s="32"/>
      <c r="I3246" s="32"/>
      <c r="J3246" s="28">
        <f t="shared" ref="J3246" si="2899">D3246*J$104</f>
        <v>0</v>
      </c>
      <c r="K3246" s="29"/>
      <c r="L3246" s="29"/>
      <c r="M3246" s="29"/>
      <c r="N3246" s="29"/>
      <c r="O3246" s="29"/>
      <c r="P3246" s="30">
        <f>SUM(J3246:O3246)</f>
        <v>0</v>
      </c>
      <c r="Q3246" s="31">
        <f t="shared" si="2897"/>
        <v>0</v>
      </c>
    </row>
    <row r="3247" spans="1:17" x14ac:dyDescent="0.2">
      <c r="A3247" s="10"/>
      <c r="B3247" s="26"/>
      <c r="C3247" s="11">
        <v>1996</v>
      </c>
      <c r="D3247" s="32">
        <f>SPFI_CLB14!$D$19</f>
        <v>0</v>
      </c>
      <c r="E3247" s="32"/>
      <c r="F3247" s="32"/>
      <c r="G3247" s="32"/>
      <c r="H3247" s="32"/>
      <c r="I3247" s="32"/>
      <c r="J3247" s="28">
        <f t="shared" ref="J3247" si="2900">D3247*J$104</f>
        <v>0</v>
      </c>
      <c r="K3247" s="29"/>
      <c r="L3247" s="29"/>
      <c r="M3247" s="29"/>
      <c r="N3247" s="29"/>
      <c r="O3247" s="29"/>
      <c r="P3247" s="30">
        <f>SUM(J3247:O3247)</f>
        <v>0</v>
      </c>
      <c r="Q3247" s="31">
        <f t="shared" si="2897"/>
        <v>0</v>
      </c>
    </row>
    <row r="3248" spans="1:17" x14ac:dyDescent="0.2">
      <c r="A3248" s="10"/>
      <c r="B3248" s="26"/>
      <c r="C3248" s="11">
        <v>1997</v>
      </c>
      <c r="D3248" s="32">
        <f>SPFI_CLB14!$D$20</f>
        <v>0.201487</v>
      </c>
      <c r="E3248" s="32"/>
      <c r="F3248" s="32"/>
      <c r="G3248" s="32"/>
      <c r="H3248" s="32"/>
      <c r="I3248" s="32"/>
      <c r="J3248" s="28">
        <f t="shared" ref="J3248" si="2901">D3248*J$104</f>
        <v>0</v>
      </c>
      <c r="K3248" s="29"/>
      <c r="L3248" s="29"/>
      <c r="M3248" s="29"/>
      <c r="N3248" s="29"/>
      <c r="O3248" s="29"/>
      <c r="P3248" s="30">
        <f>SUM(J3248:O3248)</f>
        <v>0</v>
      </c>
      <c r="Q3248" s="31">
        <f t="shared" si="2897"/>
        <v>0</v>
      </c>
    </row>
    <row r="3249" spans="1:17" x14ac:dyDescent="0.2">
      <c r="A3249" s="10"/>
      <c r="B3249" s="26"/>
      <c r="C3249" s="11">
        <v>1998</v>
      </c>
      <c r="D3249" s="32">
        <f>SPFI_CLB14!$D$21</f>
        <v>0.37506400000000001</v>
      </c>
      <c r="E3249" s="32"/>
      <c r="F3249" s="32"/>
      <c r="G3249" s="32"/>
      <c r="H3249" s="32"/>
      <c r="I3249" s="32"/>
      <c r="J3249" s="28">
        <f t="shared" ref="J3249" si="2902">D3249*J$104</f>
        <v>0</v>
      </c>
      <c r="K3249" s="29"/>
      <c r="L3249" s="29"/>
      <c r="M3249" s="29"/>
      <c r="N3249" s="29"/>
      <c r="O3249" s="29"/>
      <c r="P3249" s="30">
        <f>SUM(J3249:O3249)</f>
        <v>0</v>
      </c>
      <c r="Q3249" s="31">
        <f t="shared" si="2897"/>
        <v>0</v>
      </c>
    </row>
    <row r="3250" spans="1:17" x14ac:dyDescent="0.2">
      <c r="A3250" s="10"/>
      <c r="B3250" s="26"/>
      <c r="C3250" s="11">
        <v>1999</v>
      </c>
      <c r="D3250" s="32">
        <f>SPFI_CLB14!$D$22</f>
        <v>0.29823699999999997</v>
      </c>
      <c r="E3250" s="32"/>
      <c r="F3250" s="32"/>
      <c r="G3250" s="32"/>
      <c r="H3250" s="32"/>
      <c r="I3250" s="32"/>
      <c r="J3250" s="28">
        <f t="shared" ref="J3250" si="2903">D3250*J$104</f>
        <v>0</v>
      </c>
      <c r="K3250" s="29"/>
      <c r="L3250" s="29"/>
      <c r="M3250" s="29"/>
      <c r="N3250" s="29"/>
      <c r="O3250" s="29"/>
      <c r="P3250" s="30">
        <f>SUM(J3250:O3250)</f>
        <v>0</v>
      </c>
      <c r="Q3250" s="31">
        <f t="shared" ref="Q3250:Q3255" si="2904">IF(C$104&gt;0,P3250/C$104,0)</f>
        <v>0</v>
      </c>
    </row>
    <row r="3251" spans="1:17" x14ac:dyDescent="0.2">
      <c r="A3251" s="10"/>
      <c r="B3251" s="26"/>
      <c r="C3251" s="11">
        <v>2000</v>
      </c>
      <c r="D3251" s="32">
        <f>SPFI_CLB14!$D$23</f>
        <v>8.4414000000000003E-2</v>
      </c>
      <c r="E3251" s="32"/>
      <c r="F3251" s="32"/>
      <c r="G3251" s="32"/>
      <c r="H3251" s="32"/>
      <c r="I3251" s="32"/>
      <c r="J3251" s="28">
        <f t="shared" ref="J3251" si="2905">D3251*J$104</f>
        <v>0</v>
      </c>
      <c r="K3251" s="29"/>
      <c r="L3251" s="29"/>
      <c r="M3251" s="29"/>
      <c r="N3251" s="29"/>
      <c r="O3251" s="29"/>
      <c r="P3251" s="30">
        <f t="shared" ref="P3251:P3256" si="2906">SUM(J3251:O3251)</f>
        <v>0</v>
      </c>
      <c r="Q3251" s="31">
        <f t="shared" si="2904"/>
        <v>0</v>
      </c>
    </row>
    <row r="3252" spans="1:17" x14ac:dyDescent="0.2">
      <c r="A3252" s="10"/>
      <c r="B3252" s="26"/>
      <c r="C3252" s="11">
        <v>2001</v>
      </c>
      <c r="D3252" s="32">
        <f>SPFI_CLB14!$D$24</f>
        <v>7.8909000000000007E-2</v>
      </c>
      <c r="E3252" s="32"/>
      <c r="F3252" s="32"/>
      <c r="G3252" s="32"/>
      <c r="H3252" s="32"/>
      <c r="I3252" s="32"/>
      <c r="J3252" s="28">
        <f t="shared" ref="J3252" si="2907">D3252*J$104</f>
        <v>0</v>
      </c>
      <c r="K3252" s="29"/>
      <c r="L3252" s="29"/>
      <c r="M3252" s="29"/>
      <c r="N3252" s="29"/>
      <c r="O3252" s="29"/>
      <c r="P3252" s="30">
        <f t="shared" si="2906"/>
        <v>0</v>
      </c>
      <c r="Q3252" s="31">
        <f t="shared" si="2904"/>
        <v>0</v>
      </c>
    </row>
    <row r="3253" spans="1:17" x14ac:dyDescent="0.2">
      <c r="A3253" s="10"/>
      <c r="B3253" s="26"/>
      <c r="C3253" s="11">
        <v>2002</v>
      </c>
      <c r="D3253" s="32">
        <f>SPFI_CLB14!$D$25</f>
        <v>0.29974699999999999</v>
      </c>
      <c r="E3253" s="32"/>
      <c r="F3253" s="32"/>
      <c r="G3253" s="32"/>
      <c r="H3253" s="32"/>
      <c r="I3253" s="32"/>
      <c r="J3253" s="28">
        <f t="shared" ref="J3253" si="2908">D3253*J$104</f>
        <v>0</v>
      </c>
      <c r="K3253" s="29"/>
      <c r="L3253" s="29"/>
      <c r="M3253" s="29"/>
      <c r="N3253" s="29"/>
      <c r="O3253" s="29"/>
      <c r="P3253" s="30">
        <f t="shared" si="2906"/>
        <v>0</v>
      </c>
      <c r="Q3253" s="31">
        <f t="shared" si="2904"/>
        <v>0</v>
      </c>
    </row>
    <row r="3254" spans="1:17" x14ac:dyDescent="0.2">
      <c r="A3254" s="10"/>
      <c r="B3254" s="26"/>
      <c r="C3254" s="11">
        <v>2003</v>
      </c>
      <c r="D3254" s="32">
        <f>SPFI_CLB14!$D$26</f>
        <v>0.20691100000000001</v>
      </c>
      <c r="E3254" s="32"/>
      <c r="F3254" s="32"/>
      <c r="G3254" s="32"/>
      <c r="H3254" s="32"/>
      <c r="I3254" s="32"/>
      <c r="J3254" s="28">
        <f t="shared" ref="J3254" si="2909">D3254*J$104</f>
        <v>0</v>
      </c>
      <c r="K3254" s="29"/>
      <c r="L3254" s="29"/>
      <c r="M3254" s="29"/>
      <c r="N3254" s="29"/>
      <c r="O3254" s="29"/>
      <c r="P3254" s="30">
        <f t="shared" si="2906"/>
        <v>0</v>
      </c>
      <c r="Q3254" s="31">
        <f t="shared" si="2904"/>
        <v>0</v>
      </c>
    </row>
    <row r="3255" spans="1:17" x14ac:dyDescent="0.2">
      <c r="A3255" s="10"/>
      <c r="B3255" s="26"/>
      <c r="C3255" s="11">
        <v>2004</v>
      </c>
      <c r="D3255" s="32">
        <f>SPFI_CLB14!$D$27</f>
        <v>0.269237</v>
      </c>
      <c r="E3255" s="32"/>
      <c r="F3255" s="32"/>
      <c r="G3255" s="32"/>
      <c r="H3255" s="32"/>
      <c r="I3255" s="32"/>
      <c r="J3255" s="28">
        <f t="shared" ref="J3255" si="2910">D3255*J$104</f>
        <v>0</v>
      </c>
      <c r="K3255" s="29"/>
      <c r="L3255" s="29"/>
      <c r="M3255" s="29"/>
      <c r="N3255" s="29"/>
      <c r="O3255" s="29"/>
      <c r="P3255" s="30">
        <f t="shared" si="2906"/>
        <v>0</v>
      </c>
      <c r="Q3255" s="31">
        <f t="shared" si="2904"/>
        <v>0</v>
      </c>
    </row>
    <row r="3256" spans="1:17" x14ac:dyDescent="0.2">
      <c r="A3256" s="10"/>
      <c r="B3256" s="26"/>
      <c r="C3256" s="11">
        <v>2005</v>
      </c>
      <c r="D3256" s="32">
        <f>SPFI_CLB14!$D$28</f>
        <v>0.37848700000000002</v>
      </c>
      <c r="E3256" s="32"/>
      <c r="F3256" s="32"/>
      <c r="G3256" s="32"/>
      <c r="H3256" s="32"/>
      <c r="I3256" s="32"/>
      <c r="J3256" s="28">
        <f t="shared" ref="J3256" si="2911">D3256*J$104</f>
        <v>0</v>
      </c>
      <c r="K3256" s="29"/>
      <c r="L3256" s="29"/>
      <c r="M3256" s="29"/>
      <c r="N3256" s="29"/>
      <c r="O3256" s="29"/>
      <c r="P3256" s="30">
        <f t="shared" si="2906"/>
        <v>0</v>
      </c>
      <c r="Q3256" s="31">
        <f t="shared" ref="Q3256:Q3261" si="2912">IF(C$104&gt;0,P3256/C$104,0)</f>
        <v>0</v>
      </c>
    </row>
    <row r="3257" spans="1:17" x14ac:dyDescent="0.2">
      <c r="A3257" s="10"/>
      <c r="B3257" s="26"/>
      <c r="C3257" s="11">
        <v>2006</v>
      </c>
      <c r="D3257" s="32">
        <f>SPFI_CLB14!$D$29</f>
        <v>0.381023</v>
      </c>
      <c r="E3257" s="32"/>
      <c r="F3257" s="32"/>
      <c r="G3257" s="32"/>
      <c r="H3257" s="32"/>
      <c r="I3257" s="32"/>
      <c r="J3257" s="28">
        <f t="shared" ref="J3257" si="2913">D3257*J$104</f>
        <v>0</v>
      </c>
      <c r="K3257" s="29"/>
      <c r="L3257" s="29"/>
      <c r="M3257" s="29"/>
      <c r="N3257" s="29"/>
      <c r="O3257" s="29"/>
      <c r="P3257" s="30">
        <f t="shared" ref="P3257:P3264" si="2914">SUM(J3257:O3257)</f>
        <v>0</v>
      </c>
      <c r="Q3257" s="31">
        <f t="shared" si="2912"/>
        <v>0</v>
      </c>
    </row>
    <row r="3258" spans="1:17" x14ac:dyDescent="0.2">
      <c r="A3258" s="10"/>
      <c r="B3258" s="26"/>
      <c r="C3258" s="11">
        <v>2007</v>
      </c>
      <c r="D3258" s="32">
        <f>SPFI_CLB14!$D$30</f>
        <v>0.356512</v>
      </c>
      <c r="E3258" s="32"/>
      <c r="F3258" s="32"/>
      <c r="G3258" s="32"/>
      <c r="H3258" s="32"/>
      <c r="I3258" s="32"/>
      <c r="J3258" s="28">
        <f t="shared" ref="J3258" si="2915">D3258*J$104</f>
        <v>0</v>
      </c>
      <c r="K3258" s="29"/>
      <c r="L3258" s="29"/>
      <c r="M3258" s="29"/>
      <c r="N3258" s="29"/>
      <c r="O3258" s="29"/>
      <c r="P3258" s="30">
        <f t="shared" si="2914"/>
        <v>0</v>
      </c>
      <c r="Q3258" s="31">
        <f t="shared" si="2912"/>
        <v>0</v>
      </c>
    </row>
    <row r="3259" spans="1:17" x14ac:dyDescent="0.2">
      <c r="A3259" s="10"/>
      <c r="B3259" s="26"/>
      <c r="C3259" s="11">
        <v>2008</v>
      </c>
      <c r="D3259" s="32">
        <f>SPFI_CLB14!$D$31</f>
        <v>0.25494499999999998</v>
      </c>
      <c r="E3259" s="32"/>
      <c r="F3259" s="32"/>
      <c r="G3259" s="32"/>
      <c r="H3259" s="32"/>
      <c r="I3259" s="32"/>
      <c r="J3259" s="28">
        <f t="shared" ref="J3259" si="2916">D3259*J$104</f>
        <v>0</v>
      </c>
      <c r="K3259" s="29"/>
      <c r="L3259" s="29"/>
      <c r="M3259" s="29"/>
      <c r="N3259" s="29"/>
      <c r="O3259" s="29"/>
      <c r="P3259" s="30">
        <f t="shared" si="2914"/>
        <v>0</v>
      </c>
      <c r="Q3259" s="31">
        <f t="shared" si="2912"/>
        <v>0</v>
      </c>
    </row>
    <row r="3260" spans="1:17" x14ac:dyDescent="0.2">
      <c r="A3260" s="10"/>
      <c r="B3260" s="26"/>
      <c r="C3260" s="11">
        <v>2009</v>
      </c>
      <c r="D3260" s="32">
        <f>SPFI_CLB14!$D$32</f>
        <v>0.52383000000000002</v>
      </c>
      <c r="E3260" s="32"/>
      <c r="F3260" s="32"/>
      <c r="G3260" s="32"/>
      <c r="H3260" s="32"/>
      <c r="I3260" s="32"/>
      <c r="J3260" s="28">
        <f t="shared" ref="J3260" si="2917">D3260*J$104</f>
        <v>0</v>
      </c>
      <c r="K3260" s="29"/>
      <c r="L3260" s="29"/>
      <c r="M3260" s="29"/>
      <c r="N3260" s="29"/>
      <c r="O3260" s="29"/>
      <c r="P3260" s="30">
        <f t="shared" si="2914"/>
        <v>0</v>
      </c>
      <c r="Q3260" s="31">
        <f t="shared" si="2912"/>
        <v>0</v>
      </c>
    </row>
    <row r="3261" spans="1:17" x14ac:dyDescent="0.2">
      <c r="A3261" s="10"/>
      <c r="B3261" s="26"/>
      <c r="C3261" s="11">
        <v>2010</v>
      </c>
      <c r="D3261" s="32">
        <f>SPFI_CLB14!$D$33</f>
        <v>0.31394</v>
      </c>
      <c r="E3261" s="32"/>
      <c r="F3261" s="32"/>
      <c r="G3261" s="32"/>
      <c r="H3261" s="32"/>
      <c r="I3261" s="32"/>
      <c r="J3261" s="28">
        <f t="shared" ref="J3261" si="2918">D3261*J$104</f>
        <v>0</v>
      </c>
      <c r="K3261" s="29"/>
      <c r="L3261" s="29"/>
      <c r="M3261" s="29"/>
      <c r="N3261" s="29"/>
      <c r="O3261" s="29"/>
      <c r="P3261" s="30">
        <f t="shared" si="2914"/>
        <v>0</v>
      </c>
      <c r="Q3261" s="31">
        <f t="shared" si="2912"/>
        <v>0</v>
      </c>
    </row>
    <row r="3262" spans="1:17" x14ac:dyDescent="0.2">
      <c r="A3262" s="10"/>
      <c r="B3262" s="26"/>
      <c r="C3262" s="11">
        <v>2011</v>
      </c>
      <c r="D3262" s="32">
        <f>SPFI_CLB14!$D$34</f>
        <v>0.294348</v>
      </c>
      <c r="E3262" s="32"/>
      <c r="F3262" s="32"/>
      <c r="G3262" s="32"/>
      <c r="H3262" s="32"/>
      <c r="I3262" s="32"/>
      <c r="J3262" s="28">
        <f t="shared" ref="J3262" si="2919">D3262*J$104</f>
        <v>0</v>
      </c>
      <c r="K3262" s="29"/>
      <c r="L3262" s="29"/>
      <c r="M3262" s="29"/>
      <c r="N3262" s="29"/>
      <c r="O3262" s="29"/>
      <c r="P3262" s="30">
        <f t="shared" ref="P3262" si="2920">SUM(J3262:O3262)</f>
        <v>0</v>
      </c>
      <c r="Q3262" s="31">
        <f t="shared" ref="Q3262" si="2921">IF(C$104&gt;0,P3262/C$104,0)</f>
        <v>0</v>
      </c>
    </row>
    <row r="3263" spans="1:17" x14ac:dyDescent="0.2">
      <c r="A3263" s="10"/>
      <c r="B3263" s="26"/>
      <c r="C3263" s="11">
        <v>2012</v>
      </c>
      <c r="D3263" s="32">
        <f>SPFI_CLB14!$D$35</f>
        <v>0.34784100000000001</v>
      </c>
      <c r="E3263" s="32"/>
      <c r="F3263" s="32"/>
      <c r="G3263" s="32"/>
      <c r="H3263" s="32"/>
      <c r="I3263" s="32"/>
      <c r="J3263" s="28">
        <f t="shared" ref="J3263" si="2922">D3263*J$104</f>
        <v>0</v>
      </c>
      <c r="K3263" s="29"/>
      <c r="L3263" s="29"/>
      <c r="M3263" s="29"/>
      <c r="N3263" s="29"/>
      <c r="O3263" s="29"/>
      <c r="P3263" s="30">
        <f t="shared" ref="P3263" si="2923">SUM(J3263:O3263)</f>
        <v>0</v>
      </c>
      <c r="Q3263" s="31">
        <f t="shared" ref="Q3263" si="2924">IF(C$104&gt;0,P3263/C$104,0)</f>
        <v>0</v>
      </c>
    </row>
    <row r="3264" spans="1:17" x14ac:dyDescent="0.2">
      <c r="A3264" s="5" t="s">
        <v>31</v>
      </c>
      <c r="B3264" s="21">
        <v>3</v>
      </c>
      <c r="C3264" s="6">
        <v>1982</v>
      </c>
      <c r="D3264" s="27">
        <f>SPFI_CLB14!$D$5</f>
        <v>0.98153299999999999</v>
      </c>
      <c r="E3264" s="27"/>
      <c r="F3264" s="27"/>
      <c r="G3264" s="27"/>
      <c r="H3264" s="27"/>
      <c r="I3264" s="27"/>
      <c r="J3264" s="33">
        <f t="shared" ref="J3264:J3276" si="2925">D3264*J$105</f>
        <v>0</v>
      </c>
      <c r="K3264" s="27"/>
      <c r="L3264" s="27"/>
      <c r="M3264" s="27"/>
      <c r="N3264" s="27"/>
      <c r="O3264" s="27"/>
      <c r="P3264" s="34">
        <f t="shared" si="2914"/>
        <v>0</v>
      </c>
      <c r="Q3264" s="35">
        <f t="shared" ref="Q3264:Q3280" si="2926">IF(C$105&gt;0,P3264/C$105,0)</f>
        <v>0</v>
      </c>
    </row>
    <row r="3265" spans="1:17" x14ac:dyDescent="0.2">
      <c r="A3265" s="10"/>
      <c r="B3265" s="26"/>
      <c r="C3265" s="11">
        <v>1983</v>
      </c>
      <c r="D3265" s="32">
        <f>SPFI_CLB14!$D$6</f>
        <v>0.93659899999999996</v>
      </c>
      <c r="E3265" s="32"/>
      <c r="F3265" s="32"/>
      <c r="G3265" s="32"/>
      <c r="H3265" s="32"/>
      <c r="I3265" s="32"/>
      <c r="J3265" s="28">
        <f t="shared" si="2925"/>
        <v>0</v>
      </c>
      <c r="K3265" s="29"/>
      <c r="L3265" s="29"/>
      <c r="M3265" s="29"/>
      <c r="N3265" s="29"/>
      <c r="O3265" s="29"/>
      <c r="P3265" s="30">
        <f t="shared" ref="P3265:P3276" si="2927">SUM(J3265:O3265)</f>
        <v>0</v>
      </c>
      <c r="Q3265" s="31">
        <f t="shared" si="2926"/>
        <v>0</v>
      </c>
    </row>
    <row r="3266" spans="1:17" x14ac:dyDescent="0.2">
      <c r="A3266" s="10"/>
      <c r="B3266" s="26"/>
      <c r="C3266" s="11">
        <v>1984</v>
      </c>
      <c r="D3266" s="32">
        <f>SPFI_CLB14!$D$7</f>
        <v>0.92793599999999998</v>
      </c>
      <c r="E3266" s="32"/>
      <c r="F3266" s="32"/>
      <c r="G3266" s="32"/>
      <c r="H3266" s="32"/>
      <c r="I3266" s="32"/>
      <c r="J3266" s="28">
        <f t="shared" si="2925"/>
        <v>0</v>
      </c>
      <c r="K3266" s="29"/>
      <c r="L3266" s="29"/>
      <c r="M3266" s="29"/>
      <c r="N3266" s="29"/>
      <c r="O3266" s="29"/>
      <c r="P3266" s="30">
        <f t="shared" si="2927"/>
        <v>0</v>
      </c>
      <c r="Q3266" s="31">
        <f t="shared" si="2926"/>
        <v>0</v>
      </c>
    </row>
    <row r="3267" spans="1:17" x14ac:dyDescent="0.2">
      <c r="A3267" s="10"/>
      <c r="B3267" s="26"/>
      <c r="C3267" s="11">
        <v>1985</v>
      </c>
      <c r="D3267" s="32">
        <f>SPFI_CLB14!$D$8</f>
        <v>0.90386500000000003</v>
      </c>
      <c r="E3267" s="32"/>
      <c r="F3267" s="32"/>
      <c r="G3267" s="32"/>
      <c r="H3267" s="32"/>
      <c r="I3267" s="32"/>
      <c r="J3267" s="28">
        <f t="shared" si="2925"/>
        <v>0</v>
      </c>
      <c r="K3267" s="29"/>
      <c r="L3267" s="29"/>
      <c r="M3267" s="29"/>
      <c r="N3267" s="29"/>
      <c r="O3267" s="29"/>
      <c r="P3267" s="30">
        <f t="shared" si="2927"/>
        <v>0</v>
      </c>
      <c r="Q3267" s="31">
        <f t="shared" si="2926"/>
        <v>0</v>
      </c>
    </row>
    <row r="3268" spans="1:17" x14ac:dyDescent="0.2">
      <c r="A3268" s="10"/>
      <c r="B3268" s="26"/>
      <c r="C3268" s="11">
        <v>1986</v>
      </c>
      <c r="D3268" s="32">
        <f>SPFI_CLB14!$D$9</f>
        <v>0.73087500000000005</v>
      </c>
      <c r="E3268" s="32"/>
      <c r="F3268" s="32"/>
      <c r="G3268" s="32"/>
      <c r="H3268" s="32"/>
      <c r="I3268" s="32"/>
      <c r="J3268" s="28">
        <f t="shared" si="2925"/>
        <v>0</v>
      </c>
      <c r="K3268" s="29"/>
      <c r="L3268" s="29"/>
      <c r="M3268" s="29"/>
      <c r="N3268" s="29"/>
      <c r="O3268" s="29"/>
      <c r="P3268" s="30">
        <f t="shared" si="2927"/>
        <v>0</v>
      </c>
      <c r="Q3268" s="31">
        <f t="shared" si="2926"/>
        <v>0</v>
      </c>
    </row>
    <row r="3269" spans="1:17" x14ac:dyDescent="0.2">
      <c r="A3269" s="10"/>
      <c r="B3269" s="26"/>
      <c r="C3269" s="11">
        <v>1987</v>
      </c>
      <c r="D3269" s="32">
        <f>SPFI_CLB14!$D$10</f>
        <v>0.71733499999999994</v>
      </c>
      <c r="E3269" s="32"/>
      <c r="F3269" s="32"/>
      <c r="G3269" s="32"/>
      <c r="H3269" s="32"/>
      <c r="I3269" s="32"/>
      <c r="J3269" s="28">
        <f t="shared" si="2925"/>
        <v>0</v>
      </c>
      <c r="K3269" s="29"/>
      <c r="L3269" s="29"/>
      <c r="M3269" s="29"/>
      <c r="N3269" s="29"/>
      <c r="O3269" s="29"/>
      <c r="P3269" s="30">
        <f t="shared" si="2927"/>
        <v>0</v>
      </c>
      <c r="Q3269" s="31">
        <f t="shared" si="2926"/>
        <v>0</v>
      </c>
    </row>
    <row r="3270" spans="1:17" x14ac:dyDescent="0.2">
      <c r="A3270" s="10"/>
      <c r="B3270" s="26"/>
      <c r="C3270" s="11">
        <v>1988</v>
      </c>
      <c r="D3270" s="32">
        <f>SPFI_CLB14!$D$11</f>
        <v>0.64558800000000005</v>
      </c>
      <c r="E3270" s="32"/>
      <c r="F3270" s="32"/>
      <c r="G3270" s="32"/>
      <c r="H3270" s="32"/>
      <c r="I3270" s="32"/>
      <c r="J3270" s="28">
        <f t="shared" si="2925"/>
        <v>0</v>
      </c>
      <c r="K3270" s="29"/>
      <c r="L3270" s="29"/>
      <c r="M3270" s="29"/>
      <c r="N3270" s="29"/>
      <c r="O3270" s="29"/>
      <c r="P3270" s="30">
        <f t="shared" si="2927"/>
        <v>0</v>
      </c>
      <c r="Q3270" s="31">
        <f t="shared" si="2926"/>
        <v>0</v>
      </c>
    </row>
    <row r="3271" spans="1:17" x14ac:dyDescent="0.2">
      <c r="A3271" s="10"/>
      <c r="B3271" s="26"/>
      <c r="C3271" s="11">
        <v>1989</v>
      </c>
      <c r="D3271" s="32">
        <f>SPFI_CLB14!$D$12</f>
        <v>0.65287700000000004</v>
      </c>
      <c r="E3271" s="32"/>
      <c r="F3271" s="32"/>
      <c r="G3271" s="32"/>
      <c r="H3271" s="32"/>
      <c r="I3271" s="32"/>
      <c r="J3271" s="28">
        <f t="shared" si="2925"/>
        <v>0</v>
      </c>
      <c r="K3271" s="29"/>
      <c r="L3271" s="29"/>
      <c r="M3271" s="29"/>
      <c r="N3271" s="29"/>
      <c r="O3271" s="29"/>
      <c r="P3271" s="30">
        <f t="shared" si="2927"/>
        <v>0</v>
      </c>
      <c r="Q3271" s="31">
        <f t="shared" si="2926"/>
        <v>0</v>
      </c>
    </row>
    <row r="3272" spans="1:17" x14ac:dyDescent="0.2">
      <c r="A3272" s="10"/>
      <c r="B3272" s="26"/>
      <c r="C3272" s="11">
        <v>1990</v>
      </c>
      <c r="D3272" s="32">
        <f>SPFI_CLB14!$D$13</f>
        <v>0.56965100000000002</v>
      </c>
      <c r="E3272" s="32"/>
      <c r="F3272" s="32"/>
      <c r="G3272" s="32"/>
      <c r="H3272" s="32"/>
      <c r="I3272" s="32"/>
      <c r="J3272" s="28">
        <f t="shared" si="2925"/>
        <v>0</v>
      </c>
      <c r="K3272" s="29"/>
      <c r="L3272" s="29"/>
      <c r="M3272" s="29"/>
      <c r="N3272" s="29"/>
      <c r="O3272" s="29"/>
      <c r="P3272" s="30">
        <f t="shared" si="2927"/>
        <v>0</v>
      </c>
      <c r="Q3272" s="31">
        <f t="shared" si="2926"/>
        <v>0</v>
      </c>
    </row>
    <row r="3273" spans="1:17" x14ac:dyDescent="0.2">
      <c r="A3273" s="10"/>
      <c r="B3273" s="26"/>
      <c r="C3273" s="11">
        <v>1991</v>
      </c>
      <c r="D3273" s="32">
        <f>SPFI_CLB14!$D$14</f>
        <v>0.62776900000000002</v>
      </c>
      <c r="E3273" s="32"/>
      <c r="F3273" s="32"/>
      <c r="G3273" s="32"/>
      <c r="H3273" s="32"/>
      <c r="I3273" s="32"/>
      <c r="J3273" s="28">
        <f t="shared" si="2925"/>
        <v>0</v>
      </c>
      <c r="K3273" s="29"/>
      <c r="L3273" s="29"/>
      <c r="M3273" s="29"/>
      <c r="N3273" s="29"/>
      <c r="O3273" s="29"/>
      <c r="P3273" s="30">
        <f t="shared" si="2927"/>
        <v>0</v>
      </c>
      <c r="Q3273" s="31">
        <f t="shared" si="2926"/>
        <v>0</v>
      </c>
    </row>
    <row r="3274" spans="1:17" x14ac:dyDescent="0.2">
      <c r="A3274" s="10"/>
      <c r="B3274" s="26"/>
      <c r="C3274" s="11">
        <v>1992</v>
      </c>
      <c r="D3274" s="32">
        <f>SPFI_CLB14!$D$15</f>
        <v>0.43504100000000001</v>
      </c>
      <c r="E3274" s="32"/>
      <c r="F3274" s="32"/>
      <c r="G3274" s="32"/>
      <c r="H3274" s="32"/>
      <c r="I3274" s="32"/>
      <c r="J3274" s="28">
        <f t="shared" si="2925"/>
        <v>0</v>
      </c>
      <c r="K3274" s="29"/>
      <c r="L3274" s="29"/>
      <c r="M3274" s="29"/>
      <c r="N3274" s="29"/>
      <c r="O3274" s="29"/>
      <c r="P3274" s="30">
        <f t="shared" si="2927"/>
        <v>0</v>
      </c>
      <c r="Q3274" s="31">
        <f t="shared" si="2926"/>
        <v>0</v>
      </c>
    </row>
    <row r="3275" spans="1:17" x14ac:dyDescent="0.2">
      <c r="A3275" s="10"/>
      <c r="B3275" s="26"/>
      <c r="C3275" s="11">
        <v>1993</v>
      </c>
      <c r="D3275" s="32">
        <f>SPFI_CLB14!$D$16</f>
        <v>0.499164</v>
      </c>
      <c r="E3275" s="32"/>
      <c r="F3275" s="32"/>
      <c r="G3275" s="32"/>
      <c r="H3275" s="32"/>
      <c r="I3275" s="32"/>
      <c r="J3275" s="28">
        <f t="shared" si="2925"/>
        <v>0</v>
      </c>
      <c r="K3275" s="29"/>
      <c r="L3275" s="29"/>
      <c r="M3275" s="29"/>
      <c r="N3275" s="29"/>
      <c r="O3275" s="29"/>
      <c r="P3275" s="30">
        <f t="shared" si="2927"/>
        <v>0</v>
      </c>
      <c r="Q3275" s="31">
        <f t="shared" si="2926"/>
        <v>0</v>
      </c>
    </row>
    <row r="3276" spans="1:17" x14ac:dyDescent="0.2">
      <c r="A3276" s="10"/>
      <c r="B3276" s="26"/>
      <c r="C3276" s="11">
        <v>1994</v>
      </c>
      <c r="D3276" s="32">
        <f>SPFI_CLB14!$D$17</f>
        <v>0.59591300000000003</v>
      </c>
      <c r="E3276" s="32"/>
      <c r="F3276" s="32"/>
      <c r="G3276" s="32"/>
      <c r="H3276" s="32"/>
      <c r="I3276" s="32"/>
      <c r="J3276" s="28">
        <f t="shared" si="2925"/>
        <v>0</v>
      </c>
      <c r="K3276" s="29"/>
      <c r="L3276" s="29"/>
      <c r="M3276" s="29"/>
      <c r="N3276" s="29"/>
      <c r="O3276" s="29"/>
      <c r="P3276" s="30">
        <f t="shared" si="2927"/>
        <v>0</v>
      </c>
      <c r="Q3276" s="31">
        <f t="shared" si="2926"/>
        <v>0</v>
      </c>
    </row>
    <row r="3277" spans="1:17" x14ac:dyDescent="0.2">
      <c r="A3277" s="10"/>
      <c r="B3277" s="26"/>
      <c r="C3277" s="11">
        <v>1995</v>
      </c>
      <c r="D3277" s="32">
        <f>SPFI_CLB14!$D$18</f>
        <v>0.25400800000000001</v>
      </c>
      <c r="E3277" s="32"/>
      <c r="F3277" s="32"/>
      <c r="G3277" s="32"/>
      <c r="H3277" s="32"/>
      <c r="I3277" s="32"/>
      <c r="J3277" s="28">
        <f t="shared" ref="J3277" si="2928">D3277*J$105</f>
        <v>0</v>
      </c>
      <c r="K3277" s="29"/>
      <c r="L3277" s="29"/>
      <c r="M3277" s="29"/>
      <c r="N3277" s="29"/>
      <c r="O3277" s="29"/>
      <c r="P3277" s="30">
        <f>SUM(J3277:O3277)</f>
        <v>0</v>
      </c>
      <c r="Q3277" s="31">
        <f t="shared" si="2926"/>
        <v>0</v>
      </c>
    </row>
    <row r="3278" spans="1:17" x14ac:dyDescent="0.2">
      <c r="A3278" s="10"/>
      <c r="B3278" s="26"/>
      <c r="C3278" s="11">
        <v>1996</v>
      </c>
      <c r="D3278" s="32">
        <f>SPFI_CLB14!$D$19</f>
        <v>0</v>
      </c>
      <c r="E3278" s="32"/>
      <c r="F3278" s="32"/>
      <c r="G3278" s="32"/>
      <c r="H3278" s="32"/>
      <c r="I3278" s="32"/>
      <c r="J3278" s="28">
        <f t="shared" ref="J3278" si="2929">D3278*J$105</f>
        <v>0</v>
      </c>
      <c r="K3278" s="29"/>
      <c r="L3278" s="29"/>
      <c r="M3278" s="29"/>
      <c r="N3278" s="29"/>
      <c r="O3278" s="29"/>
      <c r="P3278" s="30">
        <f>SUM(J3278:O3278)</f>
        <v>0</v>
      </c>
      <c r="Q3278" s="31">
        <f t="shared" si="2926"/>
        <v>0</v>
      </c>
    </row>
    <row r="3279" spans="1:17" x14ac:dyDescent="0.2">
      <c r="A3279" s="10"/>
      <c r="B3279" s="26"/>
      <c r="C3279" s="11">
        <v>1997</v>
      </c>
      <c r="D3279" s="32">
        <f>SPFI_CLB14!$D$20</f>
        <v>0.201487</v>
      </c>
      <c r="E3279" s="32"/>
      <c r="F3279" s="32"/>
      <c r="G3279" s="32"/>
      <c r="H3279" s="32"/>
      <c r="I3279" s="32"/>
      <c r="J3279" s="28">
        <f t="shared" ref="J3279" si="2930">D3279*J$105</f>
        <v>0</v>
      </c>
      <c r="K3279" s="29"/>
      <c r="L3279" s="29"/>
      <c r="M3279" s="29"/>
      <c r="N3279" s="29"/>
      <c r="O3279" s="29"/>
      <c r="P3279" s="30">
        <f>SUM(J3279:O3279)</f>
        <v>0</v>
      </c>
      <c r="Q3279" s="31">
        <f t="shared" si="2926"/>
        <v>0</v>
      </c>
    </row>
    <row r="3280" spans="1:17" x14ac:dyDescent="0.2">
      <c r="A3280" s="10"/>
      <c r="B3280" s="26"/>
      <c r="C3280" s="11">
        <v>1998</v>
      </c>
      <c r="D3280" s="32">
        <f>SPFI_CLB14!$D$21</f>
        <v>0.37506400000000001</v>
      </c>
      <c r="E3280" s="32"/>
      <c r="F3280" s="32"/>
      <c r="G3280" s="32"/>
      <c r="H3280" s="32"/>
      <c r="I3280" s="32"/>
      <c r="J3280" s="28">
        <f t="shared" ref="J3280" si="2931">D3280*J$105</f>
        <v>0</v>
      </c>
      <c r="K3280" s="29"/>
      <c r="L3280" s="29"/>
      <c r="M3280" s="29"/>
      <c r="N3280" s="29"/>
      <c r="O3280" s="29"/>
      <c r="P3280" s="30">
        <f>SUM(J3280:O3280)</f>
        <v>0</v>
      </c>
      <c r="Q3280" s="31">
        <f t="shared" si="2926"/>
        <v>0</v>
      </c>
    </row>
    <row r="3281" spans="1:17" x14ac:dyDescent="0.2">
      <c r="A3281" s="10"/>
      <c r="B3281" s="26"/>
      <c r="C3281" s="11">
        <v>1999</v>
      </c>
      <c r="D3281" s="32">
        <f>SPFI_CLB14!$D$22</f>
        <v>0.29823699999999997</v>
      </c>
      <c r="E3281" s="32"/>
      <c r="F3281" s="32"/>
      <c r="G3281" s="32"/>
      <c r="H3281" s="32"/>
      <c r="I3281" s="32"/>
      <c r="J3281" s="28">
        <f t="shared" ref="J3281" si="2932">D3281*J$105</f>
        <v>0</v>
      </c>
      <c r="K3281" s="29"/>
      <c r="L3281" s="29"/>
      <c r="M3281" s="29"/>
      <c r="N3281" s="29"/>
      <c r="O3281" s="29"/>
      <c r="P3281" s="30">
        <f>SUM(J3281:O3281)</f>
        <v>0</v>
      </c>
      <c r="Q3281" s="31">
        <f t="shared" ref="Q3281:Q3286" si="2933">IF(C$105&gt;0,P3281/C$105,0)</f>
        <v>0</v>
      </c>
    </row>
    <row r="3282" spans="1:17" x14ac:dyDescent="0.2">
      <c r="A3282" s="10"/>
      <c r="B3282" s="26"/>
      <c r="C3282" s="11">
        <v>2000</v>
      </c>
      <c r="D3282" s="32">
        <f>SPFI_CLB14!$D$23</f>
        <v>8.4414000000000003E-2</v>
      </c>
      <c r="E3282" s="32"/>
      <c r="F3282" s="32"/>
      <c r="G3282" s="32"/>
      <c r="H3282" s="32"/>
      <c r="I3282" s="32"/>
      <c r="J3282" s="28">
        <f t="shared" ref="J3282" si="2934">D3282*J$105</f>
        <v>0</v>
      </c>
      <c r="K3282" s="29"/>
      <c r="L3282" s="29"/>
      <c r="M3282" s="29"/>
      <c r="N3282" s="29"/>
      <c r="O3282" s="29"/>
      <c r="P3282" s="30">
        <f t="shared" ref="P3282:P3287" si="2935">SUM(J3282:O3282)</f>
        <v>0</v>
      </c>
      <c r="Q3282" s="31">
        <f t="shared" si="2933"/>
        <v>0</v>
      </c>
    </row>
    <row r="3283" spans="1:17" x14ac:dyDescent="0.2">
      <c r="A3283" s="10"/>
      <c r="B3283" s="26"/>
      <c r="C3283" s="11">
        <v>2001</v>
      </c>
      <c r="D3283" s="32">
        <f>SPFI_CLB14!$D$24</f>
        <v>7.8909000000000007E-2</v>
      </c>
      <c r="E3283" s="32"/>
      <c r="F3283" s="32"/>
      <c r="G3283" s="32"/>
      <c r="H3283" s="32"/>
      <c r="I3283" s="32"/>
      <c r="J3283" s="28">
        <f t="shared" ref="J3283" si="2936">D3283*J$105</f>
        <v>0</v>
      </c>
      <c r="K3283" s="29"/>
      <c r="L3283" s="29"/>
      <c r="M3283" s="29"/>
      <c r="N3283" s="29"/>
      <c r="O3283" s="29"/>
      <c r="P3283" s="30">
        <f t="shared" si="2935"/>
        <v>0</v>
      </c>
      <c r="Q3283" s="31">
        <f t="shared" si="2933"/>
        <v>0</v>
      </c>
    </row>
    <row r="3284" spans="1:17" x14ac:dyDescent="0.2">
      <c r="A3284" s="10"/>
      <c r="B3284" s="26"/>
      <c r="C3284" s="11">
        <v>2002</v>
      </c>
      <c r="D3284" s="32">
        <f>SPFI_CLB14!$D$25</f>
        <v>0.29974699999999999</v>
      </c>
      <c r="E3284" s="32"/>
      <c r="F3284" s="32"/>
      <c r="G3284" s="32"/>
      <c r="H3284" s="32"/>
      <c r="I3284" s="32"/>
      <c r="J3284" s="28">
        <f t="shared" ref="J3284" si="2937">D3284*J$105</f>
        <v>0</v>
      </c>
      <c r="K3284" s="29"/>
      <c r="L3284" s="29"/>
      <c r="M3284" s="29"/>
      <c r="N3284" s="29"/>
      <c r="O3284" s="29"/>
      <c r="P3284" s="30">
        <f t="shared" si="2935"/>
        <v>0</v>
      </c>
      <c r="Q3284" s="31">
        <f t="shared" si="2933"/>
        <v>0</v>
      </c>
    </row>
    <row r="3285" spans="1:17" x14ac:dyDescent="0.2">
      <c r="A3285" s="10"/>
      <c r="B3285" s="26"/>
      <c r="C3285" s="11">
        <v>2003</v>
      </c>
      <c r="D3285" s="32">
        <f>SPFI_CLB14!$D$26</f>
        <v>0.20691100000000001</v>
      </c>
      <c r="E3285" s="32"/>
      <c r="F3285" s="32"/>
      <c r="G3285" s="32"/>
      <c r="H3285" s="32"/>
      <c r="I3285" s="32"/>
      <c r="J3285" s="28">
        <f t="shared" ref="J3285" si="2938">D3285*J$105</f>
        <v>0</v>
      </c>
      <c r="K3285" s="29"/>
      <c r="L3285" s="29"/>
      <c r="M3285" s="29"/>
      <c r="N3285" s="29"/>
      <c r="O3285" s="29"/>
      <c r="P3285" s="30">
        <f t="shared" si="2935"/>
        <v>0</v>
      </c>
      <c r="Q3285" s="31">
        <f t="shared" si="2933"/>
        <v>0</v>
      </c>
    </row>
    <row r="3286" spans="1:17" x14ac:dyDescent="0.2">
      <c r="A3286" s="10"/>
      <c r="B3286" s="26"/>
      <c r="C3286" s="11">
        <v>2004</v>
      </c>
      <c r="D3286" s="32">
        <f>SPFI_CLB14!$D$27</f>
        <v>0.269237</v>
      </c>
      <c r="E3286" s="32"/>
      <c r="F3286" s="32"/>
      <c r="G3286" s="32"/>
      <c r="H3286" s="32"/>
      <c r="I3286" s="32"/>
      <c r="J3286" s="28">
        <f t="shared" ref="J3286" si="2939">D3286*J$105</f>
        <v>0</v>
      </c>
      <c r="K3286" s="29"/>
      <c r="L3286" s="29"/>
      <c r="M3286" s="29"/>
      <c r="N3286" s="29"/>
      <c r="O3286" s="29"/>
      <c r="P3286" s="30">
        <f t="shared" si="2935"/>
        <v>0</v>
      </c>
      <c r="Q3286" s="31">
        <f t="shared" si="2933"/>
        <v>0</v>
      </c>
    </row>
    <row r="3287" spans="1:17" x14ac:dyDescent="0.2">
      <c r="A3287" s="10"/>
      <c r="B3287" s="26"/>
      <c r="C3287" s="11">
        <v>2005</v>
      </c>
      <c r="D3287" s="32">
        <f>SPFI_CLB14!$D$28</f>
        <v>0.37848700000000002</v>
      </c>
      <c r="E3287" s="32"/>
      <c r="F3287" s="32"/>
      <c r="G3287" s="32"/>
      <c r="H3287" s="32"/>
      <c r="I3287" s="32"/>
      <c r="J3287" s="28">
        <f t="shared" ref="J3287" si="2940">D3287*J$105</f>
        <v>0</v>
      </c>
      <c r="K3287" s="29"/>
      <c r="L3287" s="29"/>
      <c r="M3287" s="29"/>
      <c r="N3287" s="29"/>
      <c r="O3287" s="29"/>
      <c r="P3287" s="30">
        <f t="shared" si="2935"/>
        <v>0</v>
      </c>
      <c r="Q3287" s="31">
        <f t="shared" ref="Q3287:Q3292" si="2941">IF(C$105&gt;0,P3287/C$105,0)</f>
        <v>0</v>
      </c>
    </row>
    <row r="3288" spans="1:17" x14ac:dyDescent="0.2">
      <c r="A3288" s="10"/>
      <c r="B3288" s="26"/>
      <c r="C3288" s="11">
        <v>2006</v>
      </c>
      <c r="D3288" s="32">
        <f>SPFI_CLB14!$D$29</f>
        <v>0.381023</v>
      </c>
      <c r="E3288" s="32"/>
      <c r="F3288" s="32"/>
      <c r="G3288" s="32"/>
      <c r="H3288" s="32"/>
      <c r="I3288" s="32"/>
      <c r="J3288" s="28">
        <f t="shared" ref="J3288" si="2942">D3288*J$105</f>
        <v>0</v>
      </c>
      <c r="K3288" s="29"/>
      <c r="L3288" s="29"/>
      <c r="M3288" s="29"/>
      <c r="N3288" s="29"/>
      <c r="O3288" s="29"/>
      <c r="P3288" s="30">
        <f t="shared" ref="P3288:P3295" si="2943">SUM(J3288:O3288)</f>
        <v>0</v>
      </c>
      <c r="Q3288" s="31">
        <f t="shared" si="2941"/>
        <v>0</v>
      </c>
    </row>
    <row r="3289" spans="1:17" x14ac:dyDescent="0.2">
      <c r="A3289" s="10"/>
      <c r="B3289" s="26"/>
      <c r="C3289" s="11">
        <v>2007</v>
      </c>
      <c r="D3289" s="32">
        <f>SPFI_CLB14!$D$30</f>
        <v>0.356512</v>
      </c>
      <c r="E3289" s="32"/>
      <c r="F3289" s="32"/>
      <c r="G3289" s="32"/>
      <c r="H3289" s="32"/>
      <c r="I3289" s="32"/>
      <c r="J3289" s="28">
        <f t="shared" ref="J3289" si="2944">D3289*J$105</f>
        <v>0</v>
      </c>
      <c r="K3289" s="29"/>
      <c r="L3289" s="29"/>
      <c r="M3289" s="29"/>
      <c r="N3289" s="29"/>
      <c r="O3289" s="29"/>
      <c r="P3289" s="30">
        <f t="shared" si="2943"/>
        <v>0</v>
      </c>
      <c r="Q3289" s="31">
        <f t="shared" si="2941"/>
        <v>0</v>
      </c>
    </row>
    <row r="3290" spans="1:17" x14ac:dyDescent="0.2">
      <c r="A3290" s="10"/>
      <c r="B3290" s="26"/>
      <c r="C3290" s="11">
        <v>2008</v>
      </c>
      <c r="D3290" s="32">
        <f>SPFI_CLB14!$D$31</f>
        <v>0.25494499999999998</v>
      </c>
      <c r="E3290" s="32"/>
      <c r="F3290" s="32"/>
      <c r="G3290" s="32"/>
      <c r="H3290" s="32"/>
      <c r="I3290" s="32"/>
      <c r="J3290" s="28">
        <f t="shared" ref="J3290" si="2945">D3290*J$105</f>
        <v>0</v>
      </c>
      <c r="K3290" s="29"/>
      <c r="L3290" s="29"/>
      <c r="M3290" s="29"/>
      <c r="N3290" s="29"/>
      <c r="O3290" s="29"/>
      <c r="P3290" s="30">
        <f t="shared" si="2943"/>
        <v>0</v>
      </c>
      <c r="Q3290" s="31">
        <f t="shared" si="2941"/>
        <v>0</v>
      </c>
    </row>
    <row r="3291" spans="1:17" x14ac:dyDescent="0.2">
      <c r="A3291" s="10"/>
      <c r="B3291" s="26"/>
      <c r="C3291" s="11">
        <v>2009</v>
      </c>
      <c r="D3291" s="32">
        <f>SPFI_CLB14!$D$32</f>
        <v>0.52383000000000002</v>
      </c>
      <c r="E3291" s="32"/>
      <c r="F3291" s="32"/>
      <c r="G3291" s="32"/>
      <c r="H3291" s="32"/>
      <c r="I3291" s="32"/>
      <c r="J3291" s="28">
        <f t="shared" ref="J3291" si="2946">D3291*J$105</f>
        <v>0</v>
      </c>
      <c r="K3291" s="29"/>
      <c r="L3291" s="29"/>
      <c r="M3291" s="29"/>
      <c r="N3291" s="29"/>
      <c r="O3291" s="29"/>
      <c r="P3291" s="30">
        <f t="shared" si="2943"/>
        <v>0</v>
      </c>
      <c r="Q3291" s="31">
        <f t="shared" si="2941"/>
        <v>0</v>
      </c>
    </row>
    <row r="3292" spans="1:17" x14ac:dyDescent="0.2">
      <c r="A3292" s="10"/>
      <c r="B3292" s="26"/>
      <c r="C3292" s="11">
        <v>2010</v>
      </c>
      <c r="D3292" s="32">
        <f>SPFI_CLB14!$D$33</f>
        <v>0.31394</v>
      </c>
      <c r="E3292" s="32"/>
      <c r="F3292" s="32"/>
      <c r="G3292" s="32"/>
      <c r="H3292" s="32"/>
      <c r="I3292" s="32"/>
      <c r="J3292" s="28">
        <f t="shared" ref="J3292" si="2947">D3292*J$105</f>
        <v>0</v>
      </c>
      <c r="K3292" s="29"/>
      <c r="L3292" s="29"/>
      <c r="M3292" s="29"/>
      <c r="N3292" s="29"/>
      <c r="O3292" s="29"/>
      <c r="P3292" s="30">
        <f t="shared" si="2943"/>
        <v>0</v>
      </c>
      <c r="Q3292" s="31">
        <f t="shared" si="2941"/>
        <v>0</v>
      </c>
    </row>
    <row r="3293" spans="1:17" x14ac:dyDescent="0.2">
      <c r="A3293" s="10"/>
      <c r="B3293" s="26"/>
      <c r="C3293" s="11">
        <v>2011</v>
      </c>
      <c r="D3293" s="32">
        <f>SPFI_CLB14!$D$34</f>
        <v>0.294348</v>
      </c>
      <c r="E3293" s="32"/>
      <c r="F3293" s="32"/>
      <c r="G3293" s="32"/>
      <c r="H3293" s="32"/>
      <c r="I3293" s="32"/>
      <c r="J3293" s="28">
        <f t="shared" ref="J3293" si="2948">D3293*J$105</f>
        <v>0</v>
      </c>
      <c r="K3293" s="29"/>
      <c r="L3293" s="29"/>
      <c r="M3293" s="29"/>
      <c r="N3293" s="29"/>
      <c r="O3293" s="29"/>
      <c r="P3293" s="30">
        <f t="shared" ref="P3293" si="2949">SUM(J3293:O3293)</f>
        <v>0</v>
      </c>
      <c r="Q3293" s="31">
        <f t="shared" ref="Q3293" si="2950">IF(C$105&gt;0,P3293/C$105,0)</f>
        <v>0</v>
      </c>
    </row>
    <row r="3294" spans="1:17" x14ac:dyDescent="0.2">
      <c r="A3294" s="10"/>
      <c r="B3294" s="26"/>
      <c r="C3294" s="11">
        <v>2012</v>
      </c>
      <c r="D3294" s="32">
        <f>SPFI_CLB14!$D$35</f>
        <v>0.34784100000000001</v>
      </c>
      <c r="E3294" s="32"/>
      <c r="F3294" s="32"/>
      <c r="G3294" s="32"/>
      <c r="H3294" s="32"/>
      <c r="I3294" s="32"/>
      <c r="J3294" s="28">
        <f t="shared" ref="J3294" si="2951">D3294*J$105</f>
        <v>0</v>
      </c>
      <c r="K3294" s="29"/>
      <c r="L3294" s="29"/>
      <c r="M3294" s="29"/>
      <c r="N3294" s="29"/>
      <c r="O3294" s="29"/>
      <c r="P3294" s="30">
        <f t="shared" ref="P3294" si="2952">SUM(J3294:O3294)</f>
        <v>0</v>
      </c>
      <c r="Q3294" s="31">
        <f t="shared" ref="Q3294" si="2953">IF(C$105&gt;0,P3294/C$105,0)</f>
        <v>0</v>
      </c>
    </row>
    <row r="3295" spans="1:17" x14ac:dyDescent="0.2">
      <c r="A3295" s="5" t="s">
        <v>31</v>
      </c>
      <c r="B3295" s="21">
        <v>4</v>
      </c>
      <c r="C3295" s="6">
        <v>1982</v>
      </c>
      <c r="D3295" s="27">
        <f>SPFI_CLB14!$D$5</f>
        <v>0.98153299999999999</v>
      </c>
      <c r="E3295" s="27"/>
      <c r="F3295" s="27"/>
      <c r="G3295" s="27"/>
      <c r="H3295" s="27"/>
      <c r="I3295" s="27"/>
      <c r="J3295" s="33">
        <f t="shared" ref="J3295:J3307" si="2954">D3295*J$106</f>
        <v>0</v>
      </c>
      <c r="K3295" s="27"/>
      <c r="L3295" s="27"/>
      <c r="M3295" s="27"/>
      <c r="N3295" s="27"/>
      <c r="O3295" s="27"/>
      <c r="P3295" s="34">
        <f t="shared" si="2943"/>
        <v>0</v>
      </c>
      <c r="Q3295" s="35">
        <f t="shared" ref="Q3295:Q3311" si="2955">IF(C$106&gt;0,P3295/C$106,0)</f>
        <v>0</v>
      </c>
    </row>
    <row r="3296" spans="1:17" x14ac:dyDescent="0.2">
      <c r="A3296" s="10"/>
      <c r="B3296" s="26"/>
      <c r="C3296" s="11">
        <v>1983</v>
      </c>
      <c r="D3296" s="32">
        <f>SPFI_CLB14!$D$6</f>
        <v>0.93659899999999996</v>
      </c>
      <c r="E3296" s="32"/>
      <c r="F3296" s="32"/>
      <c r="G3296" s="32"/>
      <c r="H3296" s="32"/>
      <c r="I3296" s="32"/>
      <c r="J3296" s="28">
        <f t="shared" si="2954"/>
        <v>0</v>
      </c>
      <c r="K3296" s="29"/>
      <c r="L3296" s="29"/>
      <c r="M3296" s="29"/>
      <c r="N3296" s="29"/>
      <c r="O3296" s="29"/>
      <c r="P3296" s="30">
        <f t="shared" ref="P3296:P3307" si="2956">SUM(J3296:O3296)</f>
        <v>0</v>
      </c>
      <c r="Q3296" s="31">
        <f t="shared" si="2955"/>
        <v>0</v>
      </c>
    </row>
    <row r="3297" spans="1:17" x14ac:dyDescent="0.2">
      <c r="A3297" s="10"/>
      <c r="B3297" s="26"/>
      <c r="C3297" s="11">
        <v>1984</v>
      </c>
      <c r="D3297" s="32">
        <f>SPFI_CLB14!$D$7</f>
        <v>0.92793599999999998</v>
      </c>
      <c r="E3297" s="32"/>
      <c r="F3297" s="32"/>
      <c r="G3297" s="32"/>
      <c r="H3297" s="32"/>
      <c r="I3297" s="32"/>
      <c r="J3297" s="28">
        <f t="shared" si="2954"/>
        <v>0</v>
      </c>
      <c r="K3297" s="29"/>
      <c r="L3297" s="29"/>
      <c r="M3297" s="29"/>
      <c r="N3297" s="29"/>
      <c r="O3297" s="29"/>
      <c r="P3297" s="30">
        <f t="shared" si="2956"/>
        <v>0</v>
      </c>
      <c r="Q3297" s="31">
        <f t="shared" si="2955"/>
        <v>0</v>
      </c>
    </row>
    <row r="3298" spans="1:17" x14ac:dyDescent="0.2">
      <c r="A3298" s="10"/>
      <c r="B3298" s="26"/>
      <c r="C3298" s="11">
        <v>1985</v>
      </c>
      <c r="D3298" s="32">
        <f>SPFI_CLB14!$D$8</f>
        <v>0.90386500000000003</v>
      </c>
      <c r="E3298" s="32"/>
      <c r="F3298" s="32"/>
      <c r="G3298" s="32"/>
      <c r="H3298" s="32"/>
      <c r="I3298" s="32"/>
      <c r="J3298" s="28">
        <f t="shared" si="2954"/>
        <v>0</v>
      </c>
      <c r="K3298" s="29"/>
      <c r="L3298" s="29"/>
      <c r="M3298" s="29"/>
      <c r="N3298" s="29"/>
      <c r="O3298" s="29"/>
      <c r="P3298" s="30">
        <f t="shared" si="2956"/>
        <v>0</v>
      </c>
      <c r="Q3298" s="31">
        <f t="shared" si="2955"/>
        <v>0</v>
      </c>
    </row>
    <row r="3299" spans="1:17" x14ac:dyDescent="0.2">
      <c r="A3299" s="10"/>
      <c r="B3299" s="26"/>
      <c r="C3299" s="11">
        <v>1986</v>
      </c>
      <c r="D3299" s="32">
        <f>SPFI_CLB14!$D$9</f>
        <v>0.73087500000000005</v>
      </c>
      <c r="E3299" s="32"/>
      <c r="F3299" s="32"/>
      <c r="G3299" s="32"/>
      <c r="H3299" s="32"/>
      <c r="I3299" s="32"/>
      <c r="J3299" s="28">
        <f t="shared" si="2954"/>
        <v>0</v>
      </c>
      <c r="K3299" s="29"/>
      <c r="L3299" s="29"/>
      <c r="M3299" s="29"/>
      <c r="N3299" s="29"/>
      <c r="O3299" s="29"/>
      <c r="P3299" s="30">
        <f t="shared" si="2956"/>
        <v>0</v>
      </c>
      <c r="Q3299" s="31">
        <f t="shared" si="2955"/>
        <v>0</v>
      </c>
    </row>
    <row r="3300" spans="1:17" x14ac:dyDescent="0.2">
      <c r="A3300" s="10"/>
      <c r="B3300" s="26"/>
      <c r="C3300" s="11">
        <v>1987</v>
      </c>
      <c r="D3300" s="32">
        <f>SPFI_CLB14!$D$10</f>
        <v>0.71733499999999994</v>
      </c>
      <c r="E3300" s="32"/>
      <c r="F3300" s="32"/>
      <c r="G3300" s="32"/>
      <c r="H3300" s="32"/>
      <c r="I3300" s="32"/>
      <c r="J3300" s="28">
        <f t="shared" si="2954"/>
        <v>0</v>
      </c>
      <c r="K3300" s="29"/>
      <c r="L3300" s="29"/>
      <c r="M3300" s="29"/>
      <c r="N3300" s="29"/>
      <c r="O3300" s="29"/>
      <c r="P3300" s="30">
        <f t="shared" si="2956"/>
        <v>0</v>
      </c>
      <c r="Q3300" s="31">
        <f t="shared" si="2955"/>
        <v>0</v>
      </c>
    </row>
    <row r="3301" spans="1:17" x14ac:dyDescent="0.2">
      <c r="A3301" s="10"/>
      <c r="B3301" s="26"/>
      <c r="C3301" s="11">
        <v>1988</v>
      </c>
      <c r="D3301" s="32">
        <f>SPFI_CLB14!$D$11</f>
        <v>0.64558800000000005</v>
      </c>
      <c r="E3301" s="32"/>
      <c r="F3301" s="32"/>
      <c r="G3301" s="32"/>
      <c r="H3301" s="32"/>
      <c r="I3301" s="32"/>
      <c r="J3301" s="28">
        <f t="shared" si="2954"/>
        <v>0</v>
      </c>
      <c r="K3301" s="29"/>
      <c r="L3301" s="29"/>
      <c r="M3301" s="29"/>
      <c r="N3301" s="29"/>
      <c r="O3301" s="29"/>
      <c r="P3301" s="30">
        <f t="shared" si="2956"/>
        <v>0</v>
      </c>
      <c r="Q3301" s="31">
        <f t="shared" si="2955"/>
        <v>0</v>
      </c>
    </row>
    <row r="3302" spans="1:17" x14ac:dyDescent="0.2">
      <c r="A3302" s="10"/>
      <c r="B3302" s="26"/>
      <c r="C3302" s="11">
        <v>1989</v>
      </c>
      <c r="D3302" s="32">
        <f>SPFI_CLB14!$D$12</f>
        <v>0.65287700000000004</v>
      </c>
      <c r="E3302" s="32"/>
      <c r="F3302" s="32"/>
      <c r="G3302" s="32"/>
      <c r="H3302" s="32"/>
      <c r="I3302" s="32"/>
      <c r="J3302" s="28">
        <f t="shared" si="2954"/>
        <v>0</v>
      </c>
      <c r="K3302" s="29"/>
      <c r="L3302" s="29"/>
      <c r="M3302" s="29"/>
      <c r="N3302" s="29"/>
      <c r="O3302" s="29"/>
      <c r="P3302" s="30">
        <f t="shared" si="2956"/>
        <v>0</v>
      </c>
      <c r="Q3302" s="31">
        <f t="shared" si="2955"/>
        <v>0</v>
      </c>
    </row>
    <row r="3303" spans="1:17" x14ac:dyDescent="0.2">
      <c r="A3303" s="10"/>
      <c r="B3303" s="26"/>
      <c r="C3303" s="11">
        <v>1990</v>
      </c>
      <c r="D3303" s="32">
        <f>SPFI_CLB14!$D$13</f>
        <v>0.56965100000000002</v>
      </c>
      <c r="E3303" s="32"/>
      <c r="F3303" s="32"/>
      <c r="G3303" s="32"/>
      <c r="H3303" s="32"/>
      <c r="I3303" s="32"/>
      <c r="J3303" s="28">
        <f t="shared" si="2954"/>
        <v>0</v>
      </c>
      <c r="K3303" s="29"/>
      <c r="L3303" s="29"/>
      <c r="M3303" s="29"/>
      <c r="N3303" s="29"/>
      <c r="O3303" s="29"/>
      <c r="P3303" s="30">
        <f t="shared" si="2956"/>
        <v>0</v>
      </c>
      <c r="Q3303" s="31">
        <f t="shared" si="2955"/>
        <v>0</v>
      </c>
    </row>
    <row r="3304" spans="1:17" x14ac:dyDescent="0.2">
      <c r="A3304" s="10"/>
      <c r="B3304" s="26"/>
      <c r="C3304" s="11">
        <v>1991</v>
      </c>
      <c r="D3304" s="32">
        <f>SPFI_CLB14!$D$14</f>
        <v>0.62776900000000002</v>
      </c>
      <c r="E3304" s="32"/>
      <c r="F3304" s="32"/>
      <c r="G3304" s="32"/>
      <c r="H3304" s="32"/>
      <c r="I3304" s="32"/>
      <c r="J3304" s="28">
        <f t="shared" si="2954"/>
        <v>0</v>
      </c>
      <c r="K3304" s="29"/>
      <c r="L3304" s="29"/>
      <c r="M3304" s="29"/>
      <c r="N3304" s="29"/>
      <c r="O3304" s="29"/>
      <c r="P3304" s="30">
        <f t="shared" si="2956"/>
        <v>0</v>
      </c>
      <c r="Q3304" s="31">
        <f t="shared" si="2955"/>
        <v>0</v>
      </c>
    </row>
    <row r="3305" spans="1:17" x14ac:dyDescent="0.2">
      <c r="A3305" s="10"/>
      <c r="B3305" s="26"/>
      <c r="C3305" s="11">
        <v>1992</v>
      </c>
      <c r="D3305" s="32">
        <f>SPFI_CLB14!$D$15</f>
        <v>0.43504100000000001</v>
      </c>
      <c r="E3305" s="32"/>
      <c r="F3305" s="32"/>
      <c r="G3305" s="32"/>
      <c r="H3305" s="32"/>
      <c r="I3305" s="32"/>
      <c r="J3305" s="28">
        <f t="shared" si="2954"/>
        <v>0</v>
      </c>
      <c r="K3305" s="29"/>
      <c r="L3305" s="29"/>
      <c r="M3305" s="29"/>
      <c r="N3305" s="29"/>
      <c r="O3305" s="29"/>
      <c r="P3305" s="30">
        <f t="shared" si="2956"/>
        <v>0</v>
      </c>
      <c r="Q3305" s="31">
        <f t="shared" si="2955"/>
        <v>0</v>
      </c>
    </row>
    <row r="3306" spans="1:17" x14ac:dyDescent="0.2">
      <c r="A3306" s="10"/>
      <c r="B3306" s="26"/>
      <c r="C3306" s="11">
        <v>1993</v>
      </c>
      <c r="D3306" s="32">
        <f>SPFI_CLB14!$D$16</f>
        <v>0.499164</v>
      </c>
      <c r="E3306" s="32"/>
      <c r="F3306" s="32"/>
      <c r="G3306" s="32"/>
      <c r="H3306" s="32"/>
      <c r="I3306" s="32"/>
      <c r="J3306" s="28">
        <f t="shared" si="2954"/>
        <v>0</v>
      </c>
      <c r="K3306" s="29"/>
      <c r="L3306" s="29"/>
      <c r="M3306" s="29"/>
      <c r="N3306" s="29"/>
      <c r="O3306" s="29"/>
      <c r="P3306" s="30">
        <f t="shared" si="2956"/>
        <v>0</v>
      </c>
      <c r="Q3306" s="31">
        <f t="shared" si="2955"/>
        <v>0</v>
      </c>
    </row>
    <row r="3307" spans="1:17" x14ac:dyDescent="0.2">
      <c r="A3307" s="10"/>
      <c r="B3307" s="26"/>
      <c r="C3307" s="11">
        <v>1994</v>
      </c>
      <c r="D3307" s="32">
        <f>SPFI_CLB14!$D$17</f>
        <v>0.59591300000000003</v>
      </c>
      <c r="E3307" s="32"/>
      <c r="F3307" s="32"/>
      <c r="G3307" s="32"/>
      <c r="H3307" s="32"/>
      <c r="I3307" s="32"/>
      <c r="J3307" s="28">
        <f t="shared" si="2954"/>
        <v>0</v>
      </c>
      <c r="K3307" s="29"/>
      <c r="L3307" s="29"/>
      <c r="M3307" s="29"/>
      <c r="N3307" s="29"/>
      <c r="O3307" s="29"/>
      <c r="P3307" s="30">
        <f t="shared" si="2956"/>
        <v>0</v>
      </c>
      <c r="Q3307" s="31">
        <f t="shared" si="2955"/>
        <v>0</v>
      </c>
    </row>
    <row r="3308" spans="1:17" x14ac:dyDescent="0.2">
      <c r="A3308" s="10"/>
      <c r="B3308" s="26"/>
      <c r="C3308" s="11">
        <v>1995</v>
      </c>
      <c r="D3308" s="32">
        <f>SPFI_CLB14!$D$18</f>
        <v>0.25400800000000001</v>
      </c>
      <c r="E3308" s="32"/>
      <c r="F3308" s="32"/>
      <c r="G3308" s="32"/>
      <c r="H3308" s="32"/>
      <c r="I3308" s="32"/>
      <c r="J3308" s="28">
        <f t="shared" ref="J3308" si="2957">D3308*J$106</f>
        <v>0</v>
      </c>
      <c r="K3308" s="29"/>
      <c r="L3308" s="29"/>
      <c r="M3308" s="29"/>
      <c r="N3308" s="29"/>
      <c r="O3308" s="29"/>
      <c r="P3308" s="30">
        <f>SUM(J3308:O3308)</f>
        <v>0</v>
      </c>
      <c r="Q3308" s="31">
        <f t="shared" si="2955"/>
        <v>0</v>
      </c>
    </row>
    <row r="3309" spans="1:17" x14ac:dyDescent="0.2">
      <c r="A3309" s="10"/>
      <c r="B3309" s="26"/>
      <c r="C3309" s="11">
        <v>1996</v>
      </c>
      <c r="D3309" s="32">
        <f>SPFI_CLB14!$D$19</f>
        <v>0</v>
      </c>
      <c r="E3309" s="32"/>
      <c r="F3309" s="32"/>
      <c r="G3309" s="32"/>
      <c r="H3309" s="32"/>
      <c r="I3309" s="32"/>
      <c r="J3309" s="28">
        <f t="shared" ref="J3309" si="2958">D3309*J$106</f>
        <v>0</v>
      </c>
      <c r="K3309" s="29"/>
      <c r="L3309" s="29"/>
      <c r="M3309" s="29"/>
      <c r="N3309" s="29"/>
      <c r="O3309" s="29"/>
      <c r="P3309" s="30">
        <f>SUM(J3309:O3309)</f>
        <v>0</v>
      </c>
      <c r="Q3309" s="31">
        <f t="shared" si="2955"/>
        <v>0</v>
      </c>
    </row>
    <row r="3310" spans="1:17" x14ac:dyDescent="0.2">
      <c r="A3310" s="10"/>
      <c r="B3310" s="26"/>
      <c r="C3310" s="11">
        <v>1997</v>
      </c>
      <c r="D3310" s="32">
        <f>SPFI_CLB14!$D$20</f>
        <v>0.201487</v>
      </c>
      <c r="E3310" s="32"/>
      <c r="F3310" s="32"/>
      <c r="G3310" s="32"/>
      <c r="H3310" s="32"/>
      <c r="I3310" s="32"/>
      <c r="J3310" s="28">
        <f t="shared" ref="J3310" si="2959">D3310*J$106</f>
        <v>0</v>
      </c>
      <c r="K3310" s="29"/>
      <c r="L3310" s="29"/>
      <c r="M3310" s="29"/>
      <c r="N3310" s="29"/>
      <c r="O3310" s="29"/>
      <c r="P3310" s="30">
        <f>SUM(J3310:O3310)</f>
        <v>0</v>
      </c>
      <c r="Q3310" s="31">
        <f t="shared" si="2955"/>
        <v>0</v>
      </c>
    </row>
    <row r="3311" spans="1:17" x14ac:dyDescent="0.2">
      <c r="A3311" s="10"/>
      <c r="B3311" s="26"/>
      <c r="C3311" s="11">
        <v>1998</v>
      </c>
      <c r="D3311" s="32">
        <f>SPFI_CLB14!$D$21</f>
        <v>0.37506400000000001</v>
      </c>
      <c r="E3311" s="32"/>
      <c r="F3311" s="32"/>
      <c r="G3311" s="32"/>
      <c r="H3311" s="32"/>
      <c r="I3311" s="32"/>
      <c r="J3311" s="28">
        <f t="shared" ref="J3311" si="2960">D3311*J$106</f>
        <v>0</v>
      </c>
      <c r="K3311" s="29"/>
      <c r="L3311" s="29"/>
      <c r="M3311" s="29"/>
      <c r="N3311" s="29"/>
      <c r="O3311" s="29"/>
      <c r="P3311" s="30">
        <f>SUM(J3311:O3311)</f>
        <v>0</v>
      </c>
      <c r="Q3311" s="31">
        <f t="shared" si="2955"/>
        <v>0</v>
      </c>
    </row>
    <row r="3312" spans="1:17" x14ac:dyDescent="0.2">
      <c r="A3312" s="10"/>
      <c r="B3312" s="26"/>
      <c r="C3312" s="11">
        <v>1999</v>
      </c>
      <c r="D3312" s="32">
        <f>SPFI_CLB14!$D$22</f>
        <v>0.29823699999999997</v>
      </c>
      <c r="E3312" s="32"/>
      <c r="F3312" s="32"/>
      <c r="G3312" s="32"/>
      <c r="H3312" s="32"/>
      <c r="I3312" s="32"/>
      <c r="J3312" s="28">
        <f t="shared" ref="J3312" si="2961">D3312*J$106</f>
        <v>0</v>
      </c>
      <c r="K3312" s="29"/>
      <c r="L3312" s="29"/>
      <c r="M3312" s="29"/>
      <c r="N3312" s="29"/>
      <c r="O3312" s="29"/>
      <c r="P3312" s="30">
        <f>SUM(J3312:O3312)</f>
        <v>0</v>
      </c>
      <c r="Q3312" s="31">
        <f t="shared" ref="Q3312:Q3317" si="2962">IF(C$106&gt;0,P3312/C$106,0)</f>
        <v>0</v>
      </c>
    </row>
    <row r="3313" spans="1:17" x14ac:dyDescent="0.2">
      <c r="A3313" s="10"/>
      <c r="B3313" s="26"/>
      <c r="C3313" s="11">
        <v>2000</v>
      </c>
      <c r="D3313" s="32">
        <f>SPFI_CLB14!$D$23</f>
        <v>8.4414000000000003E-2</v>
      </c>
      <c r="E3313" s="32"/>
      <c r="F3313" s="32"/>
      <c r="G3313" s="32"/>
      <c r="H3313" s="32"/>
      <c r="I3313" s="32"/>
      <c r="J3313" s="28">
        <f t="shared" ref="J3313" si="2963">D3313*J$106</f>
        <v>0</v>
      </c>
      <c r="K3313" s="29"/>
      <c r="L3313" s="29"/>
      <c r="M3313" s="29"/>
      <c r="N3313" s="29"/>
      <c r="O3313" s="29"/>
      <c r="P3313" s="30">
        <f t="shared" ref="P3313:P3318" si="2964">SUM(J3313:O3313)</f>
        <v>0</v>
      </c>
      <c r="Q3313" s="31">
        <f t="shared" si="2962"/>
        <v>0</v>
      </c>
    </row>
    <row r="3314" spans="1:17" x14ac:dyDescent="0.2">
      <c r="A3314" s="10"/>
      <c r="B3314" s="26"/>
      <c r="C3314" s="11">
        <v>2001</v>
      </c>
      <c r="D3314" s="32">
        <f>SPFI_CLB14!$D$24</f>
        <v>7.8909000000000007E-2</v>
      </c>
      <c r="E3314" s="32"/>
      <c r="F3314" s="32"/>
      <c r="G3314" s="32"/>
      <c r="H3314" s="32"/>
      <c r="I3314" s="32"/>
      <c r="J3314" s="28">
        <f t="shared" ref="J3314" si="2965">D3314*J$106</f>
        <v>0</v>
      </c>
      <c r="K3314" s="29"/>
      <c r="L3314" s="29"/>
      <c r="M3314" s="29"/>
      <c r="N3314" s="29"/>
      <c r="O3314" s="29"/>
      <c r="P3314" s="30">
        <f t="shared" si="2964"/>
        <v>0</v>
      </c>
      <c r="Q3314" s="31">
        <f t="shared" si="2962"/>
        <v>0</v>
      </c>
    </row>
    <row r="3315" spans="1:17" x14ac:dyDescent="0.2">
      <c r="A3315" s="10"/>
      <c r="B3315" s="26"/>
      <c r="C3315" s="11">
        <v>2002</v>
      </c>
      <c r="D3315" s="32">
        <f>SPFI_CLB14!$D$25</f>
        <v>0.29974699999999999</v>
      </c>
      <c r="E3315" s="32"/>
      <c r="F3315" s="32"/>
      <c r="G3315" s="32"/>
      <c r="H3315" s="32"/>
      <c r="I3315" s="32"/>
      <c r="J3315" s="28">
        <f t="shared" ref="J3315" si="2966">D3315*J$106</f>
        <v>0</v>
      </c>
      <c r="K3315" s="29"/>
      <c r="L3315" s="29"/>
      <c r="M3315" s="29"/>
      <c r="N3315" s="29"/>
      <c r="O3315" s="29"/>
      <c r="P3315" s="30">
        <f t="shared" si="2964"/>
        <v>0</v>
      </c>
      <c r="Q3315" s="31">
        <f t="shared" si="2962"/>
        <v>0</v>
      </c>
    </row>
    <row r="3316" spans="1:17" x14ac:dyDescent="0.2">
      <c r="A3316" s="10"/>
      <c r="B3316" s="26"/>
      <c r="C3316" s="11">
        <v>2003</v>
      </c>
      <c r="D3316" s="32">
        <f>SPFI_CLB14!$D$26</f>
        <v>0.20691100000000001</v>
      </c>
      <c r="E3316" s="32"/>
      <c r="F3316" s="32"/>
      <c r="G3316" s="32"/>
      <c r="H3316" s="32"/>
      <c r="I3316" s="32"/>
      <c r="J3316" s="28">
        <f t="shared" ref="J3316" si="2967">D3316*J$106</f>
        <v>0</v>
      </c>
      <c r="K3316" s="29"/>
      <c r="L3316" s="29"/>
      <c r="M3316" s="29"/>
      <c r="N3316" s="29"/>
      <c r="O3316" s="29"/>
      <c r="P3316" s="30">
        <f t="shared" si="2964"/>
        <v>0</v>
      </c>
      <c r="Q3316" s="31">
        <f t="shared" si="2962"/>
        <v>0</v>
      </c>
    </row>
    <row r="3317" spans="1:17" x14ac:dyDescent="0.2">
      <c r="A3317" s="10"/>
      <c r="B3317" s="26"/>
      <c r="C3317" s="11">
        <v>2004</v>
      </c>
      <c r="D3317" s="32">
        <f>SPFI_CLB14!$D$27</f>
        <v>0.269237</v>
      </c>
      <c r="E3317" s="32"/>
      <c r="F3317" s="32"/>
      <c r="G3317" s="32"/>
      <c r="H3317" s="32"/>
      <c r="I3317" s="32"/>
      <c r="J3317" s="28">
        <f t="shared" ref="J3317" si="2968">D3317*J$106</f>
        <v>0</v>
      </c>
      <c r="K3317" s="29"/>
      <c r="L3317" s="29"/>
      <c r="M3317" s="29"/>
      <c r="N3317" s="29"/>
      <c r="O3317" s="29"/>
      <c r="P3317" s="30">
        <f t="shared" si="2964"/>
        <v>0</v>
      </c>
      <c r="Q3317" s="31">
        <f t="shared" si="2962"/>
        <v>0</v>
      </c>
    </row>
    <row r="3318" spans="1:17" x14ac:dyDescent="0.2">
      <c r="A3318" s="10"/>
      <c r="B3318" s="26"/>
      <c r="C3318" s="11">
        <v>2005</v>
      </c>
      <c r="D3318" s="32">
        <f>SPFI_CLB14!$D$28</f>
        <v>0.37848700000000002</v>
      </c>
      <c r="E3318" s="32"/>
      <c r="F3318" s="32"/>
      <c r="G3318" s="32"/>
      <c r="H3318" s="32"/>
      <c r="I3318" s="32"/>
      <c r="J3318" s="28">
        <f t="shared" ref="J3318" si="2969">D3318*J$106</f>
        <v>0</v>
      </c>
      <c r="K3318" s="29"/>
      <c r="L3318" s="29"/>
      <c r="M3318" s="29"/>
      <c r="N3318" s="29"/>
      <c r="O3318" s="29"/>
      <c r="P3318" s="30">
        <f t="shared" si="2964"/>
        <v>0</v>
      </c>
      <c r="Q3318" s="31">
        <f t="shared" ref="Q3318:Q3323" si="2970">IF(C$106&gt;0,P3318/C$106,0)</f>
        <v>0</v>
      </c>
    </row>
    <row r="3319" spans="1:17" x14ac:dyDescent="0.2">
      <c r="A3319" s="10"/>
      <c r="B3319" s="26"/>
      <c r="C3319" s="11">
        <v>2006</v>
      </c>
      <c r="D3319" s="32">
        <f>SPFI_CLB14!$D$29</f>
        <v>0.381023</v>
      </c>
      <c r="E3319" s="32"/>
      <c r="F3319" s="32"/>
      <c r="G3319" s="32"/>
      <c r="H3319" s="32"/>
      <c r="I3319" s="32"/>
      <c r="J3319" s="28">
        <f t="shared" ref="J3319" si="2971">D3319*J$106</f>
        <v>0</v>
      </c>
      <c r="K3319" s="29"/>
      <c r="L3319" s="29"/>
      <c r="M3319" s="29"/>
      <c r="N3319" s="29"/>
      <c r="O3319" s="29"/>
      <c r="P3319" s="30">
        <f t="shared" ref="P3319:P3326" si="2972">SUM(J3319:O3319)</f>
        <v>0</v>
      </c>
      <c r="Q3319" s="31">
        <f t="shared" si="2970"/>
        <v>0</v>
      </c>
    </row>
    <row r="3320" spans="1:17" x14ac:dyDescent="0.2">
      <c r="A3320" s="10"/>
      <c r="B3320" s="26"/>
      <c r="C3320" s="11">
        <v>2007</v>
      </c>
      <c r="D3320" s="32">
        <f>SPFI_CLB14!$D$30</f>
        <v>0.356512</v>
      </c>
      <c r="E3320" s="32"/>
      <c r="F3320" s="32"/>
      <c r="G3320" s="32"/>
      <c r="H3320" s="32"/>
      <c r="I3320" s="32"/>
      <c r="J3320" s="28">
        <f t="shared" ref="J3320" si="2973">D3320*J$106</f>
        <v>0</v>
      </c>
      <c r="K3320" s="29"/>
      <c r="L3320" s="29"/>
      <c r="M3320" s="29"/>
      <c r="N3320" s="29"/>
      <c r="O3320" s="29"/>
      <c r="P3320" s="30">
        <f t="shared" si="2972"/>
        <v>0</v>
      </c>
      <c r="Q3320" s="31">
        <f t="shared" si="2970"/>
        <v>0</v>
      </c>
    </row>
    <row r="3321" spans="1:17" x14ac:dyDescent="0.2">
      <c r="A3321" s="10"/>
      <c r="B3321" s="26"/>
      <c r="C3321" s="11">
        <v>2008</v>
      </c>
      <c r="D3321" s="32">
        <f>SPFI_CLB14!$D$31</f>
        <v>0.25494499999999998</v>
      </c>
      <c r="E3321" s="32"/>
      <c r="F3321" s="32"/>
      <c r="G3321" s="32"/>
      <c r="H3321" s="32"/>
      <c r="I3321" s="32"/>
      <c r="J3321" s="28">
        <f t="shared" ref="J3321" si="2974">D3321*J$106</f>
        <v>0</v>
      </c>
      <c r="K3321" s="29"/>
      <c r="L3321" s="29"/>
      <c r="M3321" s="29"/>
      <c r="N3321" s="29"/>
      <c r="O3321" s="29"/>
      <c r="P3321" s="30">
        <f t="shared" si="2972"/>
        <v>0</v>
      </c>
      <c r="Q3321" s="31">
        <f t="shared" si="2970"/>
        <v>0</v>
      </c>
    </row>
    <row r="3322" spans="1:17" x14ac:dyDescent="0.2">
      <c r="A3322" s="10"/>
      <c r="B3322" s="26"/>
      <c r="C3322" s="11">
        <v>2009</v>
      </c>
      <c r="D3322" s="32">
        <f>SPFI_CLB14!$D$32</f>
        <v>0.52383000000000002</v>
      </c>
      <c r="E3322" s="32"/>
      <c r="F3322" s="32"/>
      <c r="G3322" s="32"/>
      <c r="H3322" s="32"/>
      <c r="I3322" s="32"/>
      <c r="J3322" s="28">
        <f t="shared" ref="J3322" si="2975">D3322*J$106</f>
        <v>0</v>
      </c>
      <c r="K3322" s="29"/>
      <c r="L3322" s="29"/>
      <c r="M3322" s="29"/>
      <c r="N3322" s="29"/>
      <c r="O3322" s="29"/>
      <c r="P3322" s="30">
        <f t="shared" si="2972"/>
        <v>0</v>
      </c>
      <c r="Q3322" s="31">
        <f t="shared" si="2970"/>
        <v>0</v>
      </c>
    </row>
    <row r="3323" spans="1:17" x14ac:dyDescent="0.2">
      <c r="A3323" s="10"/>
      <c r="B3323" s="26"/>
      <c r="C3323" s="11">
        <v>2010</v>
      </c>
      <c r="D3323" s="32">
        <f>SPFI_CLB14!$D$33</f>
        <v>0.31394</v>
      </c>
      <c r="E3323" s="32"/>
      <c r="F3323" s="32"/>
      <c r="G3323" s="32"/>
      <c r="H3323" s="32"/>
      <c r="I3323" s="32"/>
      <c r="J3323" s="28">
        <f t="shared" ref="J3323" si="2976">D3323*J$106</f>
        <v>0</v>
      </c>
      <c r="K3323" s="29"/>
      <c r="L3323" s="29"/>
      <c r="M3323" s="29"/>
      <c r="N3323" s="29"/>
      <c r="O3323" s="29"/>
      <c r="P3323" s="30">
        <f t="shared" si="2972"/>
        <v>0</v>
      </c>
      <c r="Q3323" s="31">
        <f t="shared" si="2970"/>
        <v>0</v>
      </c>
    </row>
    <row r="3324" spans="1:17" x14ac:dyDescent="0.2">
      <c r="A3324" s="10"/>
      <c r="B3324" s="26"/>
      <c r="C3324" s="11">
        <v>2011</v>
      </c>
      <c r="D3324" s="32">
        <f>SPFI_CLB14!$D$34</f>
        <v>0.294348</v>
      </c>
      <c r="E3324" s="32"/>
      <c r="F3324" s="32"/>
      <c r="G3324" s="32"/>
      <c r="H3324" s="32"/>
      <c r="I3324" s="32"/>
      <c r="J3324" s="28">
        <f t="shared" ref="J3324" si="2977">D3324*J$106</f>
        <v>0</v>
      </c>
      <c r="K3324" s="29"/>
      <c r="L3324" s="29"/>
      <c r="M3324" s="29"/>
      <c r="N3324" s="29"/>
      <c r="O3324" s="29"/>
      <c r="P3324" s="30">
        <f t="shared" ref="P3324" si="2978">SUM(J3324:O3324)</f>
        <v>0</v>
      </c>
      <c r="Q3324" s="31">
        <f t="shared" ref="Q3324" si="2979">IF(C$106&gt;0,P3324/C$106,0)</f>
        <v>0</v>
      </c>
    </row>
    <row r="3325" spans="1:17" x14ac:dyDescent="0.2">
      <c r="A3325" s="10"/>
      <c r="B3325" s="26"/>
      <c r="C3325" s="11">
        <v>2012</v>
      </c>
      <c r="D3325" s="32">
        <f>SPFI_CLB14!$D$35</f>
        <v>0.34784100000000001</v>
      </c>
      <c r="E3325" s="32"/>
      <c r="F3325" s="32"/>
      <c r="G3325" s="32"/>
      <c r="H3325" s="32"/>
      <c r="I3325" s="32"/>
      <c r="J3325" s="28">
        <f t="shared" ref="J3325" si="2980">D3325*J$106</f>
        <v>0</v>
      </c>
      <c r="K3325" s="29"/>
      <c r="L3325" s="29"/>
      <c r="M3325" s="29"/>
      <c r="N3325" s="29"/>
      <c r="O3325" s="29"/>
      <c r="P3325" s="30">
        <f t="shared" ref="P3325" si="2981">SUM(J3325:O3325)</f>
        <v>0</v>
      </c>
      <c r="Q3325" s="31">
        <f t="shared" ref="Q3325" si="2982">IF(C$106&gt;0,P3325/C$106,0)</f>
        <v>0</v>
      </c>
    </row>
    <row r="3326" spans="1:17" x14ac:dyDescent="0.2">
      <c r="A3326" s="5" t="s">
        <v>31</v>
      </c>
      <c r="B3326" s="21">
        <v>5</v>
      </c>
      <c r="C3326" s="6">
        <v>1982</v>
      </c>
      <c r="D3326" s="27">
        <f>SPFI_CLB14!$D$5</f>
        <v>0.98153299999999999</v>
      </c>
      <c r="E3326" s="27"/>
      <c r="F3326" s="27"/>
      <c r="G3326" s="27"/>
      <c r="H3326" s="27"/>
      <c r="I3326" s="27"/>
      <c r="J3326" s="33">
        <f t="shared" ref="J3326:J3338" si="2983">D3326*J$107</f>
        <v>0</v>
      </c>
      <c r="K3326" s="27"/>
      <c r="L3326" s="27"/>
      <c r="M3326" s="27"/>
      <c r="N3326" s="27"/>
      <c r="O3326" s="27"/>
      <c r="P3326" s="34">
        <f t="shared" si="2972"/>
        <v>0</v>
      </c>
      <c r="Q3326" s="35">
        <f t="shared" ref="Q3326:Q3342" si="2984">IF(C$107&gt;0,P3326/C$107,0)</f>
        <v>0</v>
      </c>
    </row>
    <row r="3327" spans="1:17" x14ac:dyDescent="0.2">
      <c r="A3327" s="10"/>
      <c r="B3327" s="26"/>
      <c r="C3327" s="11">
        <v>1983</v>
      </c>
      <c r="D3327" s="32">
        <f>SPFI_CLB14!$D$6</f>
        <v>0.93659899999999996</v>
      </c>
      <c r="E3327" s="32"/>
      <c r="F3327" s="32"/>
      <c r="G3327" s="32"/>
      <c r="H3327" s="32"/>
      <c r="I3327" s="32"/>
      <c r="J3327" s="28">
        <f t="shared" si="2983"/>
        <v>0</v>
      </c>
      <c r="K3327" s="29"/>
      <c r="L3327" s="29"/>
      <c r="M3327" s="29"/>
      <c r="N3327" s="29"/>
      <c r="O3327" s="29"/>
      <c r="P3327" s="30">
        <f t="shared" ref="P3327:P3338" si="2985">SUM(J3327:O3327)</f>
        <v>0</v>
      </c>
      <c r="Q3327" s="31">
        <f t="shared" si="2984"/>
        <v>0</v>
      </c>
    </row>
    <row r="3328" spans="1:17" x14ac:dyDescent="0.2">
      <c r="A3328" s="10"/>
      <c r="B3328" s="26"/>
      <c r="C3328" s="11">
        <v>1984</v>
      </c>
      <c r="D3328" s="32">
        <f>SPFI_CLB14!$D$7</f>
        <v>0.92793599999999998</v>
      </c>
      <c r="E3328" s="32"/>
      <c r="F3328" s="32"/>
      <c r="G3328" s="32"/>
      <c r="H3328" s="32"/>
      <c r="I3328" s="32"/>
      <c r="J3328" s="28">
        <f t="shared" si="2983"/>
        <v>0</v>
      </c>
      <c r="K3328" s="29"/>
      <c r="L3328" s="29"/>
      <c r="M3328" s="29"/>
      <c r="N3328" s="29"/>
      <c r="O3328" s="29"/>
      <c r="P3328" s="30">
        <f t="shared" si="2985"/>
        <v>0</v>
      </c>
      <c r="Q3328" s="31">
        <f t="shared" si="2984"/>
        <v>0</v>
      </c>
    </row>
    <row r="3329" spans="1:17" x14ac:dyDescent="0.2">
      <c r="A3329" s="10"/>
      <c r="B3329" s="26"/>
      <c r="C3329" s="11">
        <v>1985</v>
      </c>
      <c r="D3329" s="32">
        <f>SPFI_CLB14!$D$8</f>
        <v>0.90386500000000003</v>
      </c>
      <c r="E3329" s="32"/>
      <c r="F3329" s="32"/>
      <c r="G3329" s="32"/>
      <c r="H3329" s="32"/>
      <c r="I3329" s="32"/>
      <c r="J3329" s="28">
        <f t="shared" si="2983"/>
        <v>0</v>
      </c>
      <c r="K3329" s="29"/>
      <c r="L3329" s="29"/>
      <c r="M3329" s="29"/>
      <c r="N3329" s="29"/>
      <c r="O3329" s="29"/>
      <c r="P3329" s="30">
        <f t="shared" si="2985"/>
        <v>0</v>
      </c>
      <c r="Q3329" s="31">
        <f t="shared" si="2984"/>
        <v>0</v>
      </c>
    </row>
    <row r="3330" spans="1:17" x14ac:dyDescent="0.2">
      <c r="A3330" s="10"/>
      <c r="B3330" s="26"/>
      <c r="C3330" s="11">
        <v>1986</v>
      </c>
      <c r="D3330" s="32">
        <f>SPFI_CLB14!$D$9</f>
        <v>0.73087500000000005</v>
      </c>
      <c r="E3330" s="32"/>
      <c r="F3330" s="32"/>
      <c r="G3330" s="32"/>
      <c r="H3330" s="32"/>
      <c r="I3330" s="32"/>
      <c r="J3330" s="28">
        <f t="shared" si="2983"/>
        <v>0</v>
      </c>
      <c r="K3330" s="29"/>
      <c r="L3330" s="29"/>
      <c r="M3330" s="29"/>
      <c r="N3330" s="29"/>
      <c r="O3330" s="29"/>
      <c r="P3330" s="30">
        <f t="shared" si="2985"/>
        <v>0</v>
      </c>
      <c r="Q3330" s="31">
        <f t="shared" si="2984"/>
        <v>0</v>
      </c>
    </row>
    <row r="3331" spans="1:17" x14ac:dyDescent="0.2">
      <c r="A3331" s="10"/>
      <c r="B3331" s="26"/>
      <c r="C3331" s="11">
        <v>1987</v>
      </c>
      <c r="D3331" s="32">
        <f>SPFI_CLB14!$D$10</f>
        <v>0.71733499999999994</v>
      </c>
      <c r="E3331" s="32"/>
      <c r="F3331" s="32"/>
      <c r="G3331" s="32"/>
      <c r="H3331" s="32"/>
      <c r="I3331" s="32"/>
      <c r="J3331" s="28">
        <f t="shared" si="2983"/>
        <v>0</v>
      </c>
      <c r="K3331" s="29"/>
      <c r="L3331" s="29"/>
      <c r="M3331" s="29"/>
      <c r="N3331" s="29"/>
      <c r="O3331" s="29"/>
      <c r="P3331" s="30">
        <f t="shared" si="2985"/>
        <v>0</v>
      </c>
      <c r="Q3331" s="31">
        <f t="shared" si="2984"/>
        <v>0</v>
      </c>
    </row>
    <row r="3332" spans="1:17" x14ac:dyDescent="0.2">
      <c r="A3332" s="10"/>
      <c r="B3332" s="26"/>
      <c r="C3332" s="11">
        <v>1988</v>
      </c>
      <c r="D3332" s="32">
        <f>SPFI_CLB14!$D$11</f>
        <v>0.64558800000000005</v>
      </c>
      <c r="E3332" s="32"/>
      <c r="F3332" s="32"/>
      <c r="G3332" s="32"/>
      <c r="H3332" s="32"/>
      <c r="I3332" s="32"/>
      <c r="J3332" s="28">
        <f t="shared" si="2983"/>
        <v>0</v>
      </c>
      <c r="K3332" s="29"/>
      <c r="L3332" s="29"/>
      <c r="M3332" s="29"/>
      <c r="N3332" s="29"/>
      <c r="O3332" s="29"/>
      <c r="P3332" s="30">
        <f t="shared" si="2985"/>
        <v>0</v>
      </c>
      <c r="Q3332" s="31">
        <f t="shared" si="2984"/>
        <v>0</v>
      </c>
    </row>
    <row r="3333" spans="1:17" x14ac:dyDescent="0.2">
      <c r="A3333" s="10"/>
      <c r="B3333" s="26"/>
      <c r="C3333" s="11">
        <v>1989</v>
      </c>
      <c r="D3333" s="32">
        <f>SPFI_CLB14!$D$12</f>
        <v>0.65287700000000004</v>
      </c>
      <c r="E3333" s="32"/>
      <c r="F3333" s="32"/>
      <c r="G3333" s="32"/>
      <c r="H3333" s="32"/>
      <c r="I3333" s="32"/>
      <c r="J3333" s="28">
        <f t="shared" si="2983"/>
        <v>0</v>
      </c>
      <c r="K3333" s="29"/>
      <c r="L3333" s="29"/>
      <c r="M3333" s="29"/>
      <c r="N3333" s="29"/>
      <c r="O3333" s="29"/>
      <c r="P3333" s="30">
        <f t="shared" si="2985"/>
        <v>0</v>
      </c>
      <c r="Q3333" s="31">
        <f t="shared" si="2984"/>
        <v>0</v>
      </c>
    </row>
    <row r="3334" spans="1:17" x14ac:dyDescent="0.2">
      <c r="A3334" s="10"/>
      <c r="B3334" s="26"/>
      <c r="C3334" s="11">
        <v>1990</v>
      </c>
      <c r="D3334" s="32">
        <f>SPFI_CLB14!$D$13</f>
        <v>0.56965100000000002</v>
      </c>
      <c r="E3334" s="32"/>
      <c r="F3334" s="32"/>
      <c r="G3334" s="32"/>
      <c r="H3334" s="32"/>
      <c r="I3334" s="32"/>
      <c r="J3334" s="28">
        <f t="shared" si="2983"/>
        <v>0</v>
      </c>
      <c r="K3334" s="29"/>
      <c r="L3334" s="29"/>
      <c r="M3334" s="29"/>
      <c r="N3334" s="29"/>
      <c r="O3334" s="29"/>
      <c r="P3334" s="30">
        <f t="shared" si="2985"/>
        <v>0</v>
      </c>
      <c r="Q3334" s="31">
        <f t="shared" si="2984"/>
        <v>0</v>
      </c>
    </row>
    <row r="3335" spans="1:17" x14ac:dyDescent="0.2">
      <c r="A3335" s="10"/>
      <c r="B3335" s="26"/>
      <c r="C3335" s="11">
        <v>1991</v>
      </c>
      <c r="D3335" s="32">
        <f>SPFI_CLB14!$D$14</f>
        <v>0.62776900000000002</v>
      </c>
      <c r="E3335" s="32"/>
      <c r="F3335" s="32"/>
      <c r="G3335" s="32"/>
      <c r="H3335" s="32"/>
      <c r="I3335" s="32"/>
      <c r="J3335" s="28">
        <f t="shared" si="2983"/>
        <v>0</v>
      </c>
      <c r="K3335" s="29"/>
      <c r="L3335" s="29"/>
      <c r="M3335" s="29"/>
      <c r="N3335" s="29"/>
      <c r="O3335" s="29"/>
      <c r="P3335" s="30">
        <f t="shared" si="2985"/>
        <v>0</v>
      </c>
      <c r="Q3335" s="31">
        <f t="shared" si="2984"/>
        <v>0</v>
      </c>
    </row>
    <row r="3336" spans="1:17" x14ac:dyDescent="0.2">
      <c r="A3336" s="10"/>
      <c r="B3336" s="26"/>
      <c r="C3336" s="11">
        <v>1992</v>
      </c>
      <c r="D3336" s="32">
        <f>SPFI_CLB14!$D$15</f>
        <v>0.43504100000000001</v>
      </c>
      <c r="E3336" s="32"/>
      <c r="F3336" s="32"/>
      <c r="G3336" s="32"/>
      <c r="H3336" s="32"/>
      <c r="I3336" s="32"/>
      <c r="J3336" s="28">
        <f t="shared" si="2983"/>
        <v>0</v>
      </c>
      <c r="K3336" s="29"/>
      <c r="L3336" s="29"/>
      <c r="M3336" s="29"/>
      <c r="N3336" s="29"/>
      <c r="O3336" s="29"/>
      <c r="P3336" s="30">
        <f t="shared" si="2985"/>
        <v>0</v>
      </c>
      <c r="Q3336" s="31">
        <f t="shared" si="2984"/>
        <v>0</v>
      </c>
    </row>
    <row r="3337" spans="1:17" x14ac:dyDescent="0.2">
      <c r="A3337" s="10"/>
      <c r="B3337" s="26"/>
      <c r="C3337" s="11">
        <v>1993</v>
      </c>
      <c r="D3337" s="32">
        <f>SPFI_CLB14!$D$16</f>
        <v>0.499164</v>
      </c>
      <c r="E3337" s="32"/>
      <c r="F3337" s="32"/>
      <c r="G3337" s="32"/>
      <c r="H3337" s="32"/>
      <c r="I3337" s="32"/>
      <c r="J3337" s="28">
        <f t="shared" si="2983"/>
        <v>0</v>
      </c>
      <c r="K3337" s="29"/>
      <c r="L3337" s="29"/>
      <c r="M3337" s="29"/>
      <c r="N3337" s="29"/>
      <c r="O3337" s="29"/>
      <c r="P3337" s="30">
        <f t="shared" si="2985"/>
        <v>0</v>
      </c>
      <c r="Q3337" s="31">
        <f t="shared" si="2984"/>
        <v>0</v>
      </c>
    </row>
    <row r="3338" spans="1:17" x14ac:dyDescent="0.2">
      <c r="A3338" s="10"/>
      <c r="B3338" s="26" t="s">
        <v>48</v>
      </c>
      <c r="C3338" s="11">
        <v>1994</v>
      </c>
      <c r="D3338" s="32">
        <f>SPFI_CLB14!$D$17</f>
        <v>0.59591300000000003</v>
      </c>
      <c r="E3338" s="32"/>
      <c r="F3338" s="32"/>
      <c r="G3338" s="32"/>
      <c r="H3338" s="32"/>
      <c r="I3338" s="32"/>
      <c r="J3338" s="28">
        <f t="shared" si="2983"/>
        <v>0</v>
      </c>
      <c r="K3338" s="29"/>
      <c r="L3338" s="29"/>
      <c r="M3338" s="29"/>
      <c r="N3338" s="29"/>
      <c r="O3338" s="29"/>
      <c r="P3338" s="30">
        <f t="shared" si="2985"/>
        <v>0</v>
      </c>
      <c r="Q3338" s="31">
        <f t="shared" si="2984"/>
        <v>0</v>
      </c>
    </row>
    <row r="3339" spans="1:17" x14ac:dyDescent="0.2">
      <c r="A3339" s="10"/>
      <c r="B3339" s="26"/>
      <c r="C3339" s="11">
        <v>1995</v>
      </c>
      <c r="D3339" s="32">
        <f>SPFI_CLB14!$D$18</f>
        <v>0.25400800000000001</v>
      </c>
      <c r="E3339" s="32"/>
      <c r="F3339" s="32"/>
      <c r="G3339" s="32"/>
      <c r="H3339" s="32"/>
      <c r="I3339" s="32"/>
      <c r="J3339" s="28">
        <f t="shared" ref="J3339" si="2986">D3339*J$107</f>
        <v>0</v>
      </c>
      <c r="K3339" s="29"/>
      <c r="L3339" s="29"/>
      <c r="M3339" s="29"/>
      <c r="N3339" s="29"/>
      <c r="O3339" s="29"/>
      <c r="P3339" s="30">
        <f>SUM(J3339:O3339)</f>
        <v>0</v>
      </c>
      <c r="Q3339" s="31">
        <f t="shared" si="2984"/>
        <v>0</v>
      </c>
    </row>
    <row r="3340" spans="1:17" x14ac:dyDescent="0.2">
      <c r="A3340" s="10"/>
      <c r="B3340" s="26"/>
      <c r="C3340" s="11">
        <v>1996</v>
      </c>
      <c r="D3340" s="32">
        <f>SPFI_CLB14!$D$19</f>
        <v>0</v>
      </c>
      <c r="E3340" s="32"/>
      <c r="F3340" s="32"/>
      <c r="G3340" s="32"/>
      <c r="H3340" s="32"/>
      <c r="I3340" s="32"/>
      <c r="J3340" s="28">
        <f t="shared" ref="J3340" si="2987">D3340*J$107</f>
        <v>0</v>
      </c>
      <c r="K3340" s="29"/>
      <c r="L3340" s="29"/>
      <c r="M3340" s="29"/>
      <c r="N3340" s="29"/>
      <c r="O3340" s="29"/>
      <c r="P3340" s="30">
        <f>SUM(J3340:O3340)</f>
        <v>0</v>
      </c>
      <c r="Q3340" s="31">
        <f t="shared" si="2984"/>
        <v>0</v>
      </c>
    </row>
    <row r="3341" spans="1:17" x14ac:dyDescent="0.2">
      <c r="A3341" s="10"/>
      <c r="B3341" s="26"/>
      <c r="C3341" s="11">
        <v>1997</v>
      </c>
      <c r="D3341" s="32">
        <f>SPFI_CLB14!$D$20</f>
        <v>0.201487</v>
      </c>
      <c r="E3341" s="32"/>
      <c r="F3341" s="32"/>
      <c r="G3341" s="32"/>
      <c r="H3341" s="32"/>
      <c r="I3341" s="32"/>
      <c r="J3341" s="28">
        <f t="shared" ref="J3341" si="2988">D3341*J$107</f>
        <v>0</v>
      </c>
      <c r="K3341" s="29"/>
      <c r="L3341" s="29"/>
      <c r="M3341" s="29"/>
      <c r="N3341" s="29"/>
      <c r="O3341" s="29"/>
      <c r="P3341" s="30">
        <f>SUM(J3341:O3341)</f>
        <v>0</v>
      </c>
      <c r="Q3341" s="31">
        <f t="shared" si="2984"/>
        <v>0</v>
      </c>
    </row>
    <row r="3342" spans="1:17" x14ac:dyDescent="0.2">
      <c r="A3342" s="10"/>
      <c r="B3342" s="26"/>
      <c r="C3342" s="11">
        <v>1998</v>
      </c>
      <c r="D3342" s="32">
        <f>SPFI_CLB14!$D$21</f>
        <v>0.37506400000000001</v>
      </c>
      <c r="E3342" s="32"/>
      <c r="F3342" s="32"/>
      <c r="G3342" s="32"/>
      <c r="H3342" s="32"/>
      <c r="I3342" s="32"/>
      <c r="J3342" s="28">
        <f t="shared" ref="J3342" si="2989">D3342*J$107</f>
        <v>0</v>
      </c>
      <c r="K3342" s="29"/>
      <c r="L3342" s="29"/>
      <c r="M3342" s="29"/>
      <c r="N3342" s="29"/>
      <c r="O3342" s="29"/>
      <c r="P3342" s="30">
        <f>SUM(J3342:O3342)</f>
        <v>0</v>
      </c>
      <c r="Q3342" s="31">
        <f t="shared" si="2984"/>
        <v>0</v>
      </c>
    </row>
    <row r="3343" spans="1:17" x14ac:dyDescent="0.2">
      <c r="A3343" s="10"/>
      <c r="B3343" s="26"/>
      <c r="C3343" s="11">
        <v>1999</v>
      </c>
      <c r="D3343" s="32">
        <f>SPFI_CLB14!$D$22</f>
        <v>0.29823699999999997</v>
      </c>
      <c r="E3343" s="32"/>
      <c r="F3343" s="32"/>
      <c r="G3343" s="32"/>
      <c r="H3343" s="32"/>
      <c r="I3343" s="32"/>
      <c r="J3343" s="28">
        <f t="shared" ref="J3343" si="2990">D3343*J$107</f>
        <v>0</v>
      </c>
      <c r="K3343" s="29"/>
      <c r="L3343" s="29"/>
      <c r="M3343" s="29"/>
      <c r="N3343" s="29"/>
      <c r="O3343" s="29"/>
      <c r="P3343" s="30">
        <f>SUM(J3343:O3343)</f>
        <v>0</v>
      </c>
      <c r="Q3343" s="31">
        <f t="shared" ref="Q3343:Q3348" si="2991">IF(C$107&gt;0,P3343/C$107,0)</f>
        <v>0</v>
      </c>
    </row>
    <row r="3344" spans="1:17" x14ac:dyDescent="0.2">
      <c r="A3344" s="10"/>
      <c r="B3344" s="26"/>
      <c r="C3344" s="11">
        <v>2000</v>
      </c>
      <c r="D3344" s="32">
        <f>SPFI_CLB14!$D$23</f>
        <v>8.4414000000000003E-2</v>
      </c>
      <c r="E3344" s="32"/>
      <c r="F3344" s="32"/>
      <c r="G3344" s="32"/>
      <c r="H3344" s="32"/>
      <c r="I3344" s="32"/>
      <c r="J3344" s="28">
        <f t="shared" ref="J3344" si="2992">D3344*J$107</f>
        <v>0</v>
      </c>
      <c r="K3344" s="29"/>
      <c r="L3344" s="29"/>
      <c r="M3344" s="29"/>
      <c r="N3344" s="29"/>
      <c r="O3344" s="29"/>
      <c r="P3344" s="30">
        <f t="shared" ref="P3344:P3349" si="2993">SUM(J3344:O3344)</f>
        <v>0</v>
      </c>
      <c r="Q3344" s="31">
        <f t="shared" si="2991"/>
        <v>0</v>
      </c>
    </row>
    <row r="3345" spans="1:17" x14ac:dyDescent="0.2">
      <c r="A3345" s="10"/>
      <c r="B3345" s="26"/>
      <c r="C3345" s="11">
        <v>2001</v>
      </c>
      <c r="D3345" s="32">
        <f>SPFI_CLB14!$D$24</f>
        <v>7.8909000000000007E-2</v>
      </c>
      <c r="E3345" s="32"/>
      <c r="F3345" s="32"/>
      <c r="G3345" s="32"/>
      <c r="H3345" s="32"/>
      <c r="I3345" s="32"/>
      <c r="J3345" s="28">
        <f t="shared" ref="J3345" si="2994">D3345*J$107</f>
        <v>0</v>
      </c>
      <c r="K3345" s="29"/>
      <c r="L3345" s="29"/>
      <c r="M3345" s="29"/>
      <c r="N3345" s="29"/>
      <c r="O3345" s="29"/>
      <c r="P3345" s="30">
        <f t="shared" si="2993"/>
        <v>0</v>
      </c>
      <c r="Q3345" s="31">
        <f t="shared" si="2991"/>
        <v>0</v>
      </c>
    </row>
    <row r="3346" spans="1:17" x14ac:dyDescent="0.2">
      <c r="A3346" s="10"/>
      <c r="B3346" s="26"/>
      <c r="C3346" s="11">
        <v>2002</v>
      </c>
      <c r="D3346" s="32">
        <f>SPFI_CLB14!$D$25</f>
        <v>0.29974699999999999</v>
      </c>
      <c r="E3346" s="32"/>
      <c r="F3346" s="32"/>
      <c r="G3346" s="32"/>
      <c r="H3346" s="32"/>
      <c r="I3346" s="32"/>
      <c r="J3346" s="28">
        <f t="shared" ref="J3346" si="2995">D3346*J$107</f>
        <v>0</v>
      </c>
      <c r="K3346" s="29"/>
      <c r="L3346" s="29"/>
      <c r="M3346" s="29"/>
      <c r="N3346" s="29"/>
      <c r="O3346" s="29"/>
      <c r="P3346" s="30">
        <f t="shared" si="2993"/>
        <v>0</v>
      </c>
      <c r="Q3346" s="31">
        <f t="shared" si="2991"/>
        <v>0</v>
      </c>
    </row>
    <row r="3347" spans="1:17" x14ac:dyDescent="0.2">
      <c r="A3347" s="10"/>
      <c r="B3347" s="26"/>
      <c r="C3347" s="11">
        <v>2003</v>
      </c>
      <c r="D3347" s="32">
        <f>SPFI_CLB14!$D$26</f>
        <v>0.20691100000000001</v>
      </c>
      <c r="E3347" s="32"/>
      <c r="F3347" s="32"/>
      <c r="G3347" s="32"/>
      <c r="H3347" s="32"/>
      <c r="I3347" s="32"/>
      <c r="J3347" s="28">
        <f t="shared" ref="J3347" si="2996">D3347*J$107</f>
        <v>0</v>
      </c>
      <c r="K3347" s="29"/>
      <c r="L3347" s="29"/>
      <c r="M3347" s="29"/>
      <c r="N3347" s="29"/>
      <c r="O3347" s="29"/>
      <c r="P3347" s="30">
        <f t="shared" si="2993"/>
        <v>0</v>
      </c>
      <c r="Q3347" s="31">
        <f t="shared" si="2991"/>
        <v>0</v>
      </c>
    </row>
    <row r="3348" spans="1:17" x14ac:dyDescent="0.2">
      <c r="A3348" s="10"/>
      <c r="B3348" s="26"/>
      <c r="C3348" s="11">
        <v>2004</v>
      </c>
      <c r="D3348" s="32">
        <f>SPFI_CLB14!$D$27</f>
        <v>0.269237</v>
      </c>
      <c r="E3348" s="32"/>
      <c r="F3348" s="32"/>
      <c r="G3348" s="32"/>
      <c r="H3348" s="32"/>
      <c r="I3348" s="32"/>
      <c r="J3348" s="28">
        <f t="shared" ref="J3348" si="2997">D3348*J$107</f>
        <v>0</v>
      </c>
      <c r="K3348" s="29"/>
      <c r="L3348" s="29"/>
      <c r="M3348" s="29"/>
      <c r="N3348" s="29"/>
      <c r="O3348" s="29"/>
      <c r="P3348" s="30">
        <f t="shared" si="2993"/>
        <v>0</v>
      </c>
      <c r="Q3348" s="31">
        <f t="shared" si="2991"/>
        <v>0</v>
      </c>
    </row>
    <row r="3349" spans="1:17" x14ac:dyDescent="0.2">
      <c r="A3349" s="10"/>
      <c r="B3349" s="26"/>
      <c r="C3349" s="11">
        <v>2005</v>
      </c>
      <c r="D3349" s="32">
        <f>SPFI_CLB14!$D$28</f>
        <v>0.37848700000000002</v>
      </c>
      <c r="E3349" s="32"/>
      <c r="F3349" s="32"/>
      <c r="G3349" s="32"/>
      <c r="H3349" s="32"/>
      <c r="I3349" s="32"/>
      <c r="J3349" s="28">
        <f t="shared" ref="J3349" si="2998">D3349*J$107</f>
        <v>0</v>
      </c>
      <c r="K3349" s="29"/>
      <c r="L3349" s="29"/>
      <c r="M3349" s="29"/>
      <c r="N3349" s="29"/>
      <c r="O3349" s="29"/>
      <c r="P3349" s="30">
        <f t="shared" si="2993"/>
        <v>0</v>
      </c>
      <c r="Q3349" s="31">
        <f t="shared" ref="Q3349:Q3354" si="2999">IF(C$107&gt;0,P3349/C$107,0)</f>
        <v>0</v>
      </c>
    </row>
    <row r="3350" spans="1:17" x14ac:dyDescent="0.2">
      <c r="A3350" s="10"/>
      <c r="B3350" s="26"/>
      <c r="C3350" s="11">
        <v>2006</v>
      </c>
      <c r="D3350" s="32">
        <f>SPFI_CLB14!$D$29</f>
        <v>0.381023</v>
      </c>
      <c r="E3350" s="32"/>
      <c r="F3350" s="32"/>
      <c r="G3350" s="32"/>
      <c r="H3350" s="32"/>
      <c r="I3350" s="32"/>
      <c r="J3350" s="28">
        <f t="shared" ref="J3350" si="3000">D3350*J$107</f>
        <v>0</v>
      </c>
      <c r="K3350" s="29"/>
      <c r="L3350" s="29"/>
      <c r="M3350" s="29"/>
      <c r="N3350" s="29"/>
      <c r="O3350" s="29"/>
      <c r="P3350" s="30">
        <f t="shared" ref="P3350:P3357" si="3001">SUM(J3350:O3350)</f>
        <v>0</v>
      </c>
      <c r="Q3350" s="31">
        <f t="shared" si="2999"/>
        <v>0</v>
      </c>
    </row>
    <row r="3351" spans="1:17" x14ac:dyDescent="0.2">
      <c r="A3351" s="10"/>
      <c r="B3351" s="26"/>
      <c r="C3351" s="11">
        <v>2007</v>
      </c>
      <c r="D3351" s="32">
        <f>SPFI_CLB14!$D$30</f>
        <v>0.356512</v>
      </c>
      <c r="E3351" s="32"/>
      <c r="F3351" s="32"/>
      <c r="G3351" s="32"/>
      <c r="H3351" s="32"/>
      <c r="I3351" s="32"/>
      <c r="J3351" s="28">
        <f t="shared" ref="J3351" si="3002">D3351*J$107</f>
        <v>0</v>
      </c>
      <c r="K3351" s="29"/>
      <c r="L3351" s="29"/>
      <c r="M3351" s="29"/>
      <c r="N3351" s="29"/>
      <c r="O3351" s="29"/>
      <c r="P3351" s="30">
        <f t="shared" si="3001"/>
        <v>0</v>
      </c>
      <c r="Q3351" s="31">
        <f t="shared" si="2999"/>
        <v>0</v>
      </c>
    </row>
    <row r="3352" spans="1:17" x14ac:dyDescent="0.2">
      <c r="A3352" s="10"/>
      <c r="B3352" s="26"/>
      <c r="C3352" s="11">
        <v>2008</v>
      </c>
      <c r="D3352" s="32">
        <f>SPFI_CLB14!$D$31</f>
        <v>0.25494499999999998</v>
      </c>
      <c r="E3352" s="32"/>
      <c r="F3352" s="32"/>
      <c r="G3352" s="32"/>
      <c r="H3352" s="32"/>
      <c r="I3352" s="32"/>
      <c r="J3352" s="28">
        <f t="shared" ref="J3352" si="3003">D3352*J$107</f>
        <v>0</v>
      </c>
      <c r="K3352" s="29"/>
      <c r="L3352" s="29"/>
      <c r="M3352" s="29"/>
      <c r="N3352" s="29"/>
      <c r="O3352" s="29"/>
      <c r="P3352" s="30">
        <f t="shared" si="3001"/>
        <v>0</v>
      </c>
      <c r="Q3352" s="31">
        <f t="shared" si="2999"/>
        <v>0</v>
      </c>
    </row>
    <row r="3353" spans="1:17" x14ac:dyDescent="0.2">
      <c r="A3353" s="10"/>
      <c r="B3353" s="26"/>
      <c r="C3353" s="11">
        <v>2009</v>
      </c>
      <c r="D3353" s="32">
        <f>SPFI_CLB14!$D$32</f>
        <v>0.52383000000000002</v>
      </c>
      <c r="E3353" s="32"/>
      <c r="F3353" s="32"/>
      <c r="G3353" s="32"/>
      <c r="H3353" s="32"/>
      <c r="I3353" s="32"/>
      <c r="J3353" s="28">
        <f t="shared" ref="J3353" si="3004">D3353*J$107</f>
        <v>0</v>
      </c>
      <c r="K3353" s="29"/>
      <c r="L3353" s="29"/>
      <c r="M3353" s="29"/>
      <c r="N3353" s="29"/>
      <c r="O3353" s="29"/>
      <c r="P3353" s="30">
        <f t="shared" si="3001"/>
        <v>0</v>
      </c>
      <c r="Q3353" s="31">
        <f t="shared" si="2999"/>
        <v>0</v>
      </c>
    </row>
    <row r="3354" spans="1:17" x14ac:dyDescent="0.2">
      <c r="A3354" s="10"/>
      <c r="B3354" s="26"/>
      <c r="C3354" s="11">
        <v>2010</v>
      </c>
      <c r="D3354" s="32">
        <f>SPFI_CLB14!$D$33</f>
        <v>0.31394</v>
      </c>
      <c r="E3354" s="32"/>
      <c r="F3354" s="32"/>
      <c r="G3354" s="32"/>
      <c r="H3354" s="32"/>
      <c r="I3354" s="32"/>
      <c r="J3354" s="28">
        <f t="shared" ref="J3354" si="3005">D3354*J$107</f>
        <v>0</v>
      </c>
      <c r="K3354" s="29"/>
      <c r="L3354" s="29"/>
      <c r="M3354" s="29"/>
      <c r="N3354" s="29"/>
      <c r="O3354" s="29"/>
      <c r="P3354" s="30">
        <f t="shared" si="3001"/>
        <v>0</v>
      </c>
      <c r="Q3354" s="31">
        <f t="shared" si="2999"/>
        <v>0</v>
      </c>
    </row>
    <row r="3355" spans="1:17" x14ac:dyDescent="0.2">
      <c r="A3355" s="10"/>
      <c r="B3355" s="26"/>
      <c r="C3355" s="11">
        <v>2011</v>
      </c>
      <c r="D3355" s="32">
        <f>SPFI_CLB14!$D$34</f>
        <v>0.294348</v>
      </c>
      <c r="E3355" s="32"/>
      <c r="F3355" s="32"/>
      <c r="G3355" s="32"/>
      <c r="H3355" s="32"/>
      <c r="I3355" s="32"/>
      <c r="J3355" s="28">
        <f t="shared" ref="J3355" si="3006">D3355*J$107</f>
        <v>0</v>
      </c>
      <c r="K3355" s="29"/>
      <c r="L3355" s="29"/>
      <c r="M3355" s="29"/>
      <c r="N3355" s="29"/>
      <c r="O3355" s="29"/>
      <c r="P3355" s="30">
        <f t="shared" ref="P3355" si="3007">SUM(J3355:O3355)</f>
        <v>0</v>
      </c>
      <c r="Q3355" s="31">
        <f t="shared" ref="Q3355" si="3008">IF(C$107&gt;0,P3355/C$107,0)</f>
        <v>0</v>
      </c>
    </row>
    <row r="3356" spans="1:17" x14ac:dyDescent="0.2">
      <c r="A3356" s="10"/>
      <c r="B3356" s="26"/>
      <c r="C3356" s="11">
        <v>2012</v>
      </c>
      <c r="D3356" s="32">
        <f>SPFI_CLB14!$D$35</f>
        <v>0.34784100000000001</v>
      </c>
      <c r="E3356" s="32"/>
      <c r="F3356" s="32"/>
      <c r="G3356" s="32"/>
      <c r="H3356" s="32"/>
      <c r="I3356" s="32"/>
      <c r="J3356" s="28">
        <f t="shared" ref="J3356" si="3009">D3356*J$107</f>
        <v>0</v>
      </c>
      <c r="K3356" s="29"/>
      <c r="L3356" s="29"/>
      <c r="M3356" s="29"/>
      <c r="N3356" s="29"/>
      <c r="O3356" s="29"/>
      <c r="P3356" s="30">
        <f t="shared" ref="P3356" si="3010">SUM(J3356:O3356)</f>
        <v>0</v>
      </c>
      <c r="Q3356" s="31">
        <f t="shared" ref="Q3356" si="3011">IF(C$107&gt;0,P3356/C$107,0)</f>
        <v>0</v>
      </c>
    </row>
    <row r="3357" spans="1:17" x14ac:dyDescent="0.2">
      <c r="A3357" s="5" t="s">
        <v>32</v>
      </c>
      <c r="B3357" s="21">
        <v>2</v>
      </c>
      <c r="C3357" s="6">
        <v>1982</v>
      </c>
      <c r="D3357" s="27">
        <f>SPFI_CLB14!$D$5</f>
        <v>0.98153299999999999</v>
      </c>
      <c r="E3357" s="27"/>
      <c r="F3357" s="27"/>
      <c r="G3357" s="27"/>
      <c r="H3357" s="27"/>
      <c r="I3357" s="27"/>
      <c r="J3357" s="33">
        <f t="shared" ref="J3357:J3369" si="3012">D3357*J$108</f>
        <v>0</v>
      </c>
      <c r="K3357" s="27"/>
      <c r="L3357" s="27"/>
      <c r="M3357" s="27"/>
      <c r="N3357" s="27"/>
      <c r="O3357" s="27"/>
      <c r="P3357" s="34">
        <f t="shared" si="3001"/>
        <v>0</v>
      </c>
      <c r="Q3357" s="35">
        <f t="shared" ref="Q3357:Q3373" si="3013">IF(C$108&gt;0,P3357/C$108,0)</f>
        <v>0</v>
      </c>
    </row>
    <row r="3358" spans="1:17" x14ac:dyDescent="0.2">
      <c r="A3358" s="10"/>
      <c r="B3358" s="26"/>
      <c r="C3358" s="11">
        <v>1983</v>
      </c>
      <c r="D3358" s="32">
        <f>SPFI_CLB14!$D$6</f>
        <v>0.93659899999999996</v>
      </c>
      <c r="E3358" s="32"/>
      <c r="F3358" s="32"/>
      <c r="G3358" s="32"/>
      <c r="H3358" s="32"/>
      <c r="I3358" s="32"/>
      <c r="J3358" s="28">
        <f t="shared" si="3012"/>
        <v>0</v>
      </c>
      <c r="K3358" s="29"/>
      <c r="L3358" s="29"/>
      <c r="M3358" s="29"/>
      <c r="N3358" s="29"/>
      <c r="O3358" s="29"/>
      <c r="P3358" s="30">
        <f t="shared" ref="P3358:P3369" si="3014">SUM(J3358:O3358)</f>
        <v>0</v>
      </c>
      <c r="Q3358" s="31">
        <f t="shared" si="3013"/>
        <v>0</v>
      </c>
    </row>
    <row r="3359" spans="1:17" x14ac:dyDescent="0.2">
      <c r="A3359" s="10"/>
      <c r="B3359" s="26"/>
      <c r="C3359" s="11">
        <v>1984</v>
      </c>
      <c r="D3359" s="32">
        <f>SPFI_CLB14!$D$7</f>
        <v>0.92793599999999998</v>
      </c>
      <c r="E3359" s="32"/>
      <c r="F3359" s="32"/>
      <c r="G3359" s="32"/>
      <c r="H3359" s="32"/>
      <c r="I3359" s="32"/>
      <c r="J3359" s="28">
        <f t="shared" si="3012"/>
        <v>0</v>
      </c>
      <c r="K3359" s="29"/>
      <c r="L3359" s="29"/>
      <c r="M3359" s="29"/>
      <c r="N3359" s="29"/>
      <c r="O3359" s="29"/>
      <c r="P3359" s="30">
        <f t="shared" si="3014"/>
        <v>0</v>
      </c>
      <c r="Q3359" s="31">
        <f t="shared" si="3013"/>
        <v>0</v>
      </c>
    </row>
    <row r="3360" spans="1:17" x14ac:dyDescent="0.2">
      <c r="A3360" s="10"/>
      <c r="B3360" s="26"/>
      <c r="C3360" s="11">
        <v>1985</v>
      </c>
      <c r="D3360" s="32">
        <f>SPFI_CLB14!$D$8</f>
        <v>0.90386500000000003</v>
      </c>
      <c r="E3360" s="32"/>
      <c r="F3360" s="32"/>
      <c r="G3360" s="32"/>
      <c r="H3360" s="32"/>
      <c r="I3360" s="32"/>
      <c r="J3360" s="28">
        <f t="shared" si="3012"/>
        <v>0</v>
      </c>
      <c r="K3360" s="29"/>
      <c r="L3360" s="29"/>
      <c r="M3360" s="29"/>
      <c r="N3360" s="29"/>
      <c r="O3360" s="29"/>
      <c r="P3360" s="30">
        <f t="shared" si="3014"/>
        <v>0</v>
      </c>
      <c r="Q3360" s="31">
        <f t="shared" si="3013"/>
        <v>0</v>
      </c>
    </row>
    <row r="3361" spans="1:17" x14ac:dyDescent="0.2">
      <c r="A3361" s="10"/>
      <c r="B3361" s="26"/>
      <c r="C3361" s="11">
        <v>1986</v>
      </c>
      <c r="D3361" s="32">
        <f>SPFI_CLB14!$D$9</f>
        <v>0.73087500000000005</v>
      </c>
      <c r="E3361" s="32"/>
      <c r="F3361" s="32"/>
      <c r="G3361" s="32"/>
      <c r="H3361" s="32"/>
      <c r="I3361" s="32"/>
      <c r="J3361" s="28">
        <f t="shared" si="3012"/>
        <v>0</v>
      </c>
      <c r="K3361" s="29"/>
      <c r="L3361" s="29"/>
      <c r="M3361" s="29"/>
      <c r="N3361" s="29"/>
      <c r="O3361" s="29"/>
      <c r="P3361" s="30">
        <f t="shared" si="3014"/>
        <v>0</v>
      </c>
      <c r="Q3361" s="31">
        <f t="shared" si="3013"/>
        <v>0</v>
      </c>
    </row>
    <row r="3362" spans="1:17" x14ac:dyDescent="0.2">
      <c r="A3362" s="10"/>
      <c r="B3362" s="26"/>
      <c r="C3362" s="11">
        <v>1987</v>
      </c>
      <c r="D3362" s="32">
        <f>SPFI_CLB14!$D$10</f>
        <v>0.71733499999999994</v>
      </c>
      <c r="E3362" s="32"/>
      <c r="F3362" s="32"/>
      <c r="G3362" s="32"/>
      <c r="H3362" s="32"/>
      <c r="I3362" s="32"/>
      <c r="J3362" s="28">
        <f t="shared" si="3012"/>
        <v>0</v>
      </c>
      <c r="K3362" s="29"/>
      <c r="L3362" s="29"/>
      <c r="M3362" s="29"/>
      <c r="N3362" s="29"/>
      <c r="O3362" s="29"/>
      <c r="P3362" s="30">
        <f t="shared" si="3014"/>
        <v>0</v>
      </c>
      <c r="Q3362" s="31">
        <f t="shared" si="3013"/>
        <v>0</v>
      </c>
    </row>
    <row r="3363" spans="1:17" x14ac:dyDescent="0.2">
      <c r="A3363" s="10"/>
      <c r="B3363" s="26"/>
      <c r="C3363" s="11">
        <v>1988</v>
      </c>
      <c r="D3363" s="32">
        <f>SPFI_CLB14!$D$11</f>
        <v>0.64558800000000005</v>
      </c>
      <c r="E3363" s="32"/>
      <c r="F3363" s="32"/>
      <c r="G3363" s="32"/>
      <c r="H3363" s="32"/>
      <c r="I3363" s="32"/>
      <c r="J3363" s="28">
        <f t="shared" si="3012"/>
        <v>0</v>
      </c>
      <c r="K3363" s="29"/>
      <c r="L3363" s="29"/>
      <c r="M3363" s="29"/>
      <c r="N3363" s="29"/>
      <c r="O3363" s="29"/>
      <c r="P3363" s="30">
        <f t="shared" si="3014"/>
        <v>0</v>
      </c>
      <c r="Q3363" s="31">
        <f t="shared" si="3013"/>
        <v>0</v>
      </c>
    </row>
    <row r="3364" spans="1:17" x14ac:dyDescent="0.2">
      <c r="A3364" s="10"/>
      <c r="B3364" s="26"/>
      <c r="C3364" s="11">
        <v>1989</v>
      </c>
      <c r="D3364" s="32">
        <f>SPFI_CLB14!$D$12</f>
        <v>0.65287700000000004</v>
      </c>
      <c r="E3364" s="32"/>
      <c r="F3364" s="32"/>
      <c r="G3364" s="32"/>
      <c r="H3364" s="32"/>
      <c r="I3364" s="32"/>
      <c r="J3364" s="28">
        <f t="shared" si="3012"/>
        <v>0</v>
      </c>
      <c r="K3364" s="29"/>
      <c r="L3364" s="29"/>
      <c r="M3364" s="29"/>
      <c r="N3364" s="29"/>
      <c r="O3364" s="29"/>
      <c r="P3364" s="30">
        <f t="shared" si="3014"/>
        <v>0</v>
      </c>
      <c r="Q3364" s="31">
        <f t="shared" si="3013"/>
        <v>0</v>
      </c>
    </row>
    <row r="3365" spans="1:17" x14ac:dyDescent="0.2">
      <c r="A3365" s="10"/>
      <c r="B3365" s="26"/>
      <c r="C3365" s="11">
        <v>1990</v>
      </c>
      <c r="D3365" s="32">
        <f>SPFI_CLB14!$D$13</f>
        <v>0.56965100000000002</v>
      </c>
      <c r="E3365" s="32"/>
      <c r="F3365" s="32"/>
      <c r="G3365" s="32"/>
      <c r="H3365" s="32"/>
      <c r="I3365" s="32"/>
      <c r="J3365" s="28">
        <f t="shared" si="3012"/>
        <v>0</v>
      </c>
      <c r="K3365" s="29"/>
      <c r="L3365" s="29"/>
      <c r="M3365" s="29"/>
      <c r="N3365" s="29"/>
      <c r="O3365" s="29"/>
      <c r="P3365" s="30">
        <f t="shared" si="3014"/>
        <v>0</v>
      </c>
      <c r="Q3365" s="31">
        <f t="shared" si="3013"/>
        <v>0</v>
      </c>
    </row>
    <row r="3366" spans="1:17" x14ac:dyDescent="0.2">
      <c r="A3366" s="10"/>
      <c r="B3366" s="26"/>
      <c r="C3366" s="11">
        <v>1991</v>
      </c>
      <c r="D3366" s="32">
        <f>SPFI_CLB14!$D$14</f>
        <v>0.62776900000000002</v>
      </c>
      <c r="E3366" s="32"/>
      <c r="F3366" s="32"/>
      <c r="G3366" s="32"/>
      <c r="H3366" s="32"/>
      <c r="I3366" s="32"/>
      <c r="J3366" s="28">
        <f t="shared" si="3012"/>
        <v>0</v>
      </c>
      <c r="K3366" s="29"/>
      <c r="L3366" s="29"/>
      <c r="M3366" s="29"/>
      <c r="N3366" s="29"/>
      <c r="O3366" s="29"/>
      <c r="P3366" s="30">
        <f t="shared" si="3014"/>
        <v>0</v>
      </c>
      <c r="Q3366" s="31">
        <f t="shared" si="3013"/>
        <v>0</v>
      </c>
    </row>
    <row r="3367" spans="1:17" x14ac:dyDescent="0.2">
      <c r="A3367" s="10"/>
      <c r="B3367" s="26"/>
      <c r="C3367" s="11">
        <v>1992</v>
      </c>
      <c r="D3367" s="32">
        <f>SPFI_CLB14!$D$15</f>
        <v>0.43504100000000001</v>
      </c>
      <c r="E3367" s="32"/>
      <c r="F3367" s="32"/>
      <c r="G3367" s="32"/>
      <c r="H3367" s="32"/>
      <c r="I3367" s="32"/>
      <c r="J3367" s="28">
        <f t="shared" si="3012"/>
        <v>0</v>
      </c>
      <c r="K3367" s="29"/>
      <c r="L3367" s="29"/>
      <c r="M3367" s="29"/>
      <c r="N3367" s="29"/>
      <c r="O3367" s="29"/>
      <c r="P3367" s="30">
        <f t="shared" si="3014"/>
        <v>0</v>
      </c>
      <c r="Q3367" s="31">
        <f t="shared" si="3013"/>
        <v>0</v>
      </c>
    </row>
    <row r="3368" spans="1:17" x14ac:dyDescent="0.2">
      <c r="A3368" s="10"/>
      <c r="B3368" s="26"/>
      <c r="C3368" s="11">
        <v>1993</v>
      </c>
      <c r="D3368" s="32">
        <f>SPFI_CLB14!$D$16</f>
        <v>0.499164</v>
      </c>
      <c r="E3368" s="32"/>
      <c r="F3368" s="32"/>
      <c r="G3368" s="32"/>
      <c r="H3368" s="32"/>
      <c r="I3368" s="32"/>
      <c r="J3368" s="28">
        <f t="shared" si="3012"/>
        <v>0</v>
      </c>
      <c r="K3368" s="29"/>
      <c r="L3368" s="29"/>
      <c r="M3368" s="29"/>
      <c r="N3368" s="29"/>
      <c r="O3368" s="29"/>
      <c r="P3368" s="30">
        <f t="shared" si="3014"/>
        <v>0</v>
      </c>
      <c r="Q3368" s="31">
        <f t="shared" si="3013"/>
        <v>0</v>
      </c>
    </row>
    <row r="3369" spans="1:17" x14ac:dyDescent="0.2">
      <c r="A3369" s="10"/>
      <c r="B3369" s="26"/>
      <c r="C3369" s="11">
        <v>1994</v>
      </c>
      <c r="D3369" s="32">
        <f>SPFI_CLB14!$D$17</f>
        <v>0.59591300000000003</v>
      </c>
      <c r="E3369" s="32"/>
      <c r="F3369" s="32"/>
      <c r="G3369" s="32"/>
      <c r="H3369" s="32"/>
      <c r="I3369" s="32"/>
      <c r="J3369" s="28">
        <f t="shared" si="3012"/>
        <v>0</v>
      </c>
      <c r="K3369" s="29"/>
      <c r="L3369" s="29"/>
      <c r="M3369" s="29"/>
      <c r="N3369" s="29"/>
      <c r="O3369" s="29"/>
      <c r="P3369" s="30">
        <f t="shared" si="3014"/>
        <v>0</v>
      </c>
      <c r="Q3369" s="31">
        <f t="shared" si="3013"/>
        <v>0</v>
      </c>
    </row>
    <row r="3370" spans="1:17" x14ac:dyDescent="0.2">
      <c r="A3370" s="10"/>
      <c r="B3370" s="26"/>
      <c r="C3370" s="11">
        <v>1995</v>
      </c>
      <c r="D3370" s="32">
        <f>SPFI_CLB14!$D$18</f>
        <v>0.25400800000000001</v>
      </c>
      <c r="E3370" s="32"/>
      <c r="F3370" s="32"/>
      <c r="G3370" s="32"/>
      <c r="H3370" s="32"/>
      <c r="I3370" s="32"/>
      <c r="J3370" s="28">
        <f t="shared" ref="J3370" si="3015">D3370*J$108</f>
        <v>0</v>
      </c>
      <c r="K3370" s="29"/>
      <c r="L3370" s="29"/>
      <c r="M3370" s="29"/>
      <c r="N3370" s="29"/>
      <c r="O3370" s="29"/>
      <c r="P3370" s="30">
        <f>SUM(J3370:O3370)</f>
        <v>0</v>
      </c>
      <c r="Q3370" s="31">
        <f t="shared" si="3013"/>
        <v>0</v>
      </c>
    </row>
    <row r="3371" spans="1:17" x14ac:dyDescent="0.2">
      <c r="A3371" s="10"/>
      <c r="B3371" s="26"/>
      <c r="C3371" s="11">
        <v>1996</v>
      </c>
      <c r="D3371" s="32">
        <f>SPFI_CLB14!$D$19</f>
        <v>0</v>
      </c>
      <c r="E3371" s="32"/>
      <c r="F3371" s="32"/>
      <c r="G3371" s="32"/>
      <c r="H3371" s="32"/>
      <c r="I3371" s="32"/>
      <c r="J3371" s="28">
        <f t="shared" ref="J3371" si="3016">D3371*J$108</f>
        <v>0</v>
      </c>
      <c r="K3371" s="29"/>
      <c r="L3371" s="29"/>
      <c r="M3371" s="29"/>
      <c r="N3371" s="29"/>
      <c r="O3371" s="29"/>
      <c r="P3371" s="30">
        <f>SUM(J3371:O3371)</f>
        <v>0</v>
      </c>
      <c r="Q3371" s="31">
        <f t="shared" si="3013"/>
        <v>0</v>
      </c>
    </row>
    <row r="3372" spans="1:17" x14ac:dyDescent="0.2">
      <c r="A3372" s="10"/>
      <c r="B3372" s="26"/>
      <c r="C3372" s="11">
        <v>1997</v>
      </c>
      <c r="D3372" s="32">
        <f>SPFI_CLB14!$D$20</f>
        <v>0.201487</v>
      </c>
      <c r="E3372" s="32"/>
      <c r="F3372" s="32"/>
      <c r="G3372" s="32"/>
      <c r="H3372" s="32"/>
      <c r="I3372" s="32"/>
      <c r="J3372" s="28">
        <f t="shared" ref="J3372" si="3017">D3372*J$108</f>
        <v>0</v>
      </c>
      <c r="K3372" s="29"/>
      <c r="L3372" s="29"/>
      <c r="M3372" s="29"/>
      <c r="N3372" s="29"/>
      <c r="O3372" s="29"/>
      <c r="P3372" s="30">
        <f>SUM(J3372:O3372)</f>
        <v>0</v>
      </c>
      <c r="Q3372" s="31">
        <f t="shared" si="3013"/>
        <v>0</v>
      </c>
    </row>
    <row r="3373" spans="1:17" x14ac:dyDescent="0.2">
      <c r="A3373" s="10"/>
      <c r="B3373" s="26"/>
      <c r="C3373" s="11">
        <v>1998</v>
      </c>
      <c r="D3373" s="32">
        <f>SPFI_CLB14!$D$21</f>
        <v>0.37506400000000001</v>
      </c>
      <c r="E3373" s="32"/>
      <c r="F3373" s="32"/>
      <c r="G3373" s="32"/>
      <c r="H3373" s="32"/>
      <c r="I3373" s="32"/>
      <c r="J3373" s="28">
        <f t="shared" ref="J3373" si="3018">D3373*J$108</f>
        <v>0</v>
      </c>
      <c r="K3373" s="29"/>
      <c r="L3373" s="29"/>
      <c r="M3373" s="29"/>
      <c r="N3373" s="29"/>
      <c r="O3373" s="29"/>
      <c r="P3373" s="30">
        <f>SUM(J3373:O3373)</f>
        <v>0</v>
      </c>
      <c r="Q3373" s="31">
        <f t="shared" si="3013"/>
        <v>0</v>
      </c>
    </row>
    <row r="3374" spans="1:17" x14ac:dyDescent="0.2">
      <c r="A3374" s="10"/>
      <c r="B3374" s="26"/>
      <c r="C3374" s="11">
        <v>1999</v>
      </c>
      <c r="D3374" s="32">
        <f>SPFI_CLB14!$D$22</f>
        <v>0.29823699999999997</v>
      </c>
      <c r="E3374" s="32"/>
      <c r="F3374" s="32"/>
      <c r="G3374" s="32"/>
      <c r="H3374" s="32"/>
      <c r="I3374" s="32"/>
      <c r="J3374" s="28">
        <f t="shared" ref="J3374" si="3019">D3374*J$108</f>
        <v>0</v>
      </c>
      <c r="K3374" s="29"/>
      <c r="L3374" s="29"/>
      <c r="M3374" s="29"/>
      <c r="N3374" s="29"/>
      <c r="O3374" s="29"/>
      <c r="P3374" s="30">
        <f>SUM(J3374:O3374)</f>
        <v>0</v>
      </c>
      <c r="Q3374" s="31">
        <f t="shared" ref="Q3374:Q3379" si="3020">IF(C$108&gt;0,P3374/C$108,0)</f>
        <v>0</v>
      </c>
    </row>
    <row r="3375" spans="1:17" x14ac:dyDescent="0.2">
      <c r="A3375" s="10"/>
      <c r="B3375" s="26"/>
      <c r="C3375" s="11">
        <v>2000</v>
      </c>
      <c r="D3375" s="32">
        <f>SPFI_CLB14!$D$23</f>
        <v>8.4414000000000003E-2</v>
      </c>
      <c r="E3375" s="32"/>
      <c r="F3375" s="32"/>
      <c r="G3375" s="32"/>
      <c r="H3375" s="32"/>
      <c r="I3375" s="32"/>
      <c r="J3375" s="28">
        <f t="shared" ref="J3375" si="3021">D3375*J$108</f>
        <v>0</v>
      </c>
      <c r="K3375" s="29"/>
      <c r="L3375" s="29"/>
      <c r="M3375" s="29"/>
      <c r="N3375" s="29"/>
      <c r="O3375" s="29"/>
      <c r="P3375" s="30">
        <f t="shared" ref="P3375:P3380" si="3022">SUM(J3375:O3375)</f>
        <v>0</v>
      </c>
      <c r="Q3375" s="31">
        <f t="shared" si="3020"/>
        <v>0</v>
      </c>
    </row>
    <row r="3376" spans="1:17" x14ac:dyDescent="0.2">
      <c r="A3376" s="10"/>
      <c r="B3376" s="26"/>
      <c r="C3376" s="11">
        <v>2001</v>
      </c>
      <c r="D3376" s="32">
        <f>SPFI_CLB14!$D$24</f>
        <v>7.8909000000000007E-2</v>
      </c>
      <c r="E3376" s="32"/>
      <c r="F3376" s="32"/>
      <c r="G3376" s="32"/>
      <c r="H3376" s="32"/>
      <c r="I3376" s="32"/>
      <c r="J3376" s="28">
        <f t="shared" ref="J3376" si="3023">D3376*J$108</f>
        <v>0</v>
      </c>
      <c r="K3376" s="29"/>
      <c r="L3376" s="29"/>
      <c r="M3376" s="29"/>
      <c r="N3376" s="29"/>
      <c r="O3376" s="29"/>
      <c r="P3376" s="30">
        <f t="shared" si="3022"/>
        <v>0</v>
      </c>
      <c r="Q3376" s="31">
        <f t="shared" si="3020"/>
        <v>0</v>
      </c>
    </row>
    <row r="3377" spans="1:17" x14ac:dyDescent="0.2">
      <c r="A3377" s="10"/>
      <c r="B3377" s="26"/>
      <c r="C3377" s="11">
        <v>2002</v>
      </c>
      <c r="D3377" s="32">
        <f>SPFI_CLB14!$D$25</f>
        <v>0.29974699999999999</v>
      </c>
      <c r="E3377" s="32"/>
      <c r="F3377" s="32"/>
      <c r="G3377" s="32"/>
      <c r="H3377" s="32"/>
      <c r="I3377" s="32"/>
      <c r="J3377" s="28">
        <f t="shared" ref="J3377" si="3024">D3377*J$108</f>
        <v>0</v>
      </c>
      <c r="K3377" s="29"/>
      <c r="L3377" s="29"/>
      <c r="M3377" s="29"/>
      <c r="N3377" s="29"/>
      <c r="O3377" s="29"/>
      <c r="P3377" s="30">
        <f t="shared" si="3022"/>
        <v>0</v>
      </c>
      <c r="Q3377" s="31">
        <f t="shared" si="3020"/>
        <v>0</v>
      </c>
    </row>
    <row r="3378" spans="1:17" x14ac:dyDescent="0.2">
      <c r="A3378" s="10"/>
      <c r="B3378" s="26"/>
      <c r="C3378" s="11">
        <v>2003</v>
      </c>
      <c r="D3378" s="32">
        <f>SPFI_CLB14!$D$26</f>
        <v>0.20691100000000001</v>
      </c>
      <c r="E3378" s="32"/>
      <c r="F3378" s="32"/>
      <c r="G3378" s="32"/>
      <c r="H3378" s="32"/>
      <c r="I3378" s="32"/>
      <c r="J3378" s="28">
        <f t="shared" ref="J3378" si="3025">D3378*J$108</f>
        <v>0</v>
      </c>
      <c r="K3378" s="29"/>
      <c r="L3378" s="29"/>
      <c r="M3378" s="29"/>
      <c r="N3378" s="29"/>
      <c r="O3378" s="29"/>
      <c r="P3378" s="30">
        <f t="shared" si="3022"/>
        <v>0</v>
      </c>
      <c r="Q3378" s="31">
        <f t="shared" si="3020"/>
        <v>0</v>
      </c>
    </row>
    <row r="3379" spans="1:17" x14ac:dyDescent="0.2">
      <c r="A3379" s="10"/>
      <c r="B3379" s="26"/>
      <c r="C3379" s="11">
        <v>2004</v>
      </c>
      <c r="D3379" s="32">
        <f>SPFI_CLB14!$D$27</f>
        <v>0.269237</v>
      </c>
      <c r="E3379" s="32"/>
      <c r="F3379" s="32"/>
      <c r="G3379" s="32"/>
      <c r="H3379" s="32"/>
      <c r="I3379" s="32"/>
      <c r="J3379" s="28">
        <f t="shared" ref="J3379" si="3026">D3379*J$108</f>
        <v>0</v>
      </c>
      <c r="K3379" s="29"/>
      <c r="L3379" s="29"/>
      <c r="M3379" s="29"/>
      <c r="N3379" s="29"/>
      <c r="O3379" s="29"/>
      <c r="P3379" s="30">
        <f t="shared" si="3022"/>
        <v>0</v>
      </c>
      <c r="Q3379" s="31">
        <f t="shared" si="3020"/>
        <v>0</v>
      </c>
    </row>
    <row r="3380" spans="1:17" x14ac:dyDescent="0.2">
      <c r="A3380" s="10"/>
      <c r="B3380" s="26"/>
      <c r="C3380" s="11">
        <v>2005</v>
      </c>
      <c r="D3380" s="32">
        <f>SPFI_CLB14!$D$28</f>
        <v>0.37848700000000002</v>
      </c>
      <c r="E3380" s="32"/>
      <c r="F3380" s="32"/>
      <c r="G3380" s="32"/>
      <c r="H3380" s="32"/>
      <c r="I3380" s="32"/>
      <c r="J3380" s="28">
        <f t="shared" ref="J3380" si="3027">D3380*J$108</f>
        <v>0</v>
      </c>
      <c r="K3380" s="29"/>
      <c r="L3380" s="29"/>
      <c r="M3380" s="29"/>
      <c r="N3380" s="29"/>
      <c r="O3380" s="29"/>
      <c r="P3380" s="30">
        <f t="shared" si="3022"/>
        <v>0</v>
      </c>
      <c r="Q3380" s="31">
        <f t="shared" ref="Q3380:Q3385" si="3028">IF(C$108&gt;0,P3380/C$108,0)</f>
        <v>0</v>
      </c>
    </row>
    <row r="3381" spans="1:17" x14ac:dyDescent="0.2">
      <c r="A3381" s="10"/>
      <c r="B3381" s="26"/>
      <c r="C3381" s="11">
        <v>2006</v>
      </c>
      <c r="D3381" s="32">
        <f>SPFI_CLB14!$D$29</f>
        <v>0.381023</v>
      </c>
      <c r="E3381" s="32"/>
      <c r="F3381" s="32"/>
      <c r="G3381" s="32"/>
      <c r="H3381" s="32"/>
      <c r="I3381" s="32"/>
      <c r="J3381" s="28">
        <f t="shared" ref="J3381" si="3029">D3381*J$108</f>
        <v>0</v>
      </c>
      <c r="K3381" s="29"/>
      <c r="L3381" s="29"/>
      <c r="M3381" s="29"/>
      <c r="N3381" s="29"/>
      <c r="O3381" s="29"/>
      <c r="P3381" s="30">
        <f t="shared" ref="P3381:P3388" si="3030">SUM(J3381:O3381)</f>
        <v>0</v>
      </c>
      <c r="Q3381" s="31">
        <f t="shared" si="3028"/>
        <v>0</v>
      </c>
    </row>
    <row r="3382" spans="1:17" x14ac:dyDescent="0.2">
      <c r="A3382" s="10"/>
      <c r="B3382" s="26"/>
      <c r="C3382" s="11">
        <v>2007</v>
      </c>
      <c r="D3382" s="32">
        <f>SPFI_CLB14!$D$30</f>
        <v>0.356512</v>
      </c>
      <c r="E3382" s="32"/>
      <c r="F3382" s="32"/>
      <c r="G3382" s="32"/>
      <c r="H3382" s="32"/>
      <c r="I3382" s="32"/>
      <c r="J3382" s="28">
        <f t="shared" ref="J3382" si="3031">D3382*J$108</f>
        <v>0</v>
      </c>
      <c r="K3382" s="29"/>
      <c r="L3382" s="29"/>
      <c r="M3382" s="29"/>
      <c r="N3382" s="29"/>
      <c r="O3382" s="29"/>
      <c r="P3382" s="30">
        <f t="shared" si="3030"/>
        <v>0</v>
      </c>
      <c r="Q3382" s="31">
        <f t="shared" si="3028"/>
        <v>0</v>
      </c>
    </row>
    <row r="3383" spans="1:17" x14ac:dyDescent="0.2">
      <c r="A3383" s="10"/>
      <c r="B3383" s="26"/>
      <c r="C3383" s="11">
        <v>2008</v>
      </c>
      <c r="D3383" s="32">
        <f>SPFI_CLB14!$D$31</f>
        <v>0.25494499999999998</v>
      </c>
      <c r="E3383" s="32"/>
      <c r="F3383" s="32"/>
      <c r="G3383" s="32"/>
      <c r="H3383" s="32"/>
      <c r="I3383" s="32"/>
      <c r="J3383" s="28">
        <f t="shared" ref="J3383" si="3032">D3383*J$108</f>
        <v>0</v>
      </c>
      <c r="K3383" s="29"/>
      <c r="L3383" s="29"/>
      <c r="M3383" s="29"/>
      <c r="N3383" s="29"/>
      <c r="O3383" s="29"/>
      <c r="P3383" s="30">
        <f t="shared" si="3030"/>
        <v>0</v>
      </c>
      <c r="Q3383" s="31">
        <f t="shared" si="3028"/>
        <v>0</v>
      </c>
    </row>
    <row r="3384" spans="1:17" x14ac:dyDescent="0.2">
      <c r="A3384" s="10"/>
      <c r="B3384" s="26"/>
      <c r="C3384" s="11">
        <v>2009</v>
      </c>
      <c r="D3384" s="32">
        <f>SPFI_CLB14!$D$32</f>
        <v>0.52383000000000002</v>
      </c>
      <c r="E3384" s="32"/>
      <c r="F3384" s="32"/>
      <c r="G3384" s="32"/>
      <c r="H3384" s="32"/>
      <c r="I3384" s="32"/>
      <c r="J3384" s="28">
        <f t="shared" ref="J3384" si="3033">D3384*J$108</f>
        <v>0</v>
      </c>
      <c r="K3384" s="29"/>
      <c r="L3384" s="29"/>
      <c r="M3384" s="29"/>
      <c r="N3384" s="29"/>
      <c r="O3384" s="29"/>
      <c r="P3384" s="30">
        <f t="shared" si="3030"/>
        <v>0</v>
      </c>
      <c r="Q3384" s="31">
        <f t="shared" si="3028"/>
        <v>0</v>
      </c>
    </row>
    <row r="3385" spans="1:17" x14ac:dyDescent="0.2">
      <c r="A3385" s="10"/>
      <c r="B3385" s="26"/>
      <c r="C3385" s="11">
        <v>2010</v>
      </c>
      <c r="D3385" s="32">
        <f>SPFI_CLB14!$D$33</f>
        <v>0.31394</v>
      </c>
      <c r="E3385" s="32"/>
      <c r="F3385" s="32"/>
      <c r="G3385" s="32"/>
      <c r="H3385" s="32"/>
      <c r="I3385" s="32"/>
      <c r="J3385" s="28">
        <f t="shared" ref="J3385" si="3034">D3385*J$108</f>
        <v>0</v>
      </c>
      <c r="K3385" s="29"/>
      <c r="L3385" s="29"/>
      <c r="M3385" s="29"/>
      <c r="N3385" s="29"/>
      <c r="O3385" s="29"/>
      <c r="P3385" s="30">
        <f t="shared" si="3030"/>
        <v>0</v>
      </c>
      <c r="Q3385" s="31">
        <f t="shared" si="3028"/>
        <v>0</v>
      </c>
    </row>
    <row r="3386" spans="1:17" x14ac:dyDescent="0.2">
      <c r="A3386" s="10"/>
      <c r="B3386" s="26"/>
      <c r="C3386" s="11">
        <v>2011</v>
      </c>
      <c r="D3386" s="32">
        <f>SPFI_CLB14!$D$34</f>
        <v>0.294348</v>
      </c>
      <c r="E3386" s="32"/>
      <c r="F3386" s="32"/>
      <c r="G3386" s="32"/>
      <c r="H3386" s="32"/>
      <c r="I3386" s="32"/>
      <c r="J3386" s="28">
        <f t="shared" ref="J3386" si="3035">D3386*J$108</f>
        <v>0</v>
      </c>
      <c r="K3386" s="29"/>
      <c r="L3386" s="29"/>
      <c r="M3386" s="29"/>
      <c r="N3386" s="29"/>
      <c r="O3386" s="29"/>
      <c r="P3386" s="30">
        <f t="shared" ref="P3386" si="3036">SUM(J3386:O3386)</f>
        <v>0</v>
      </c>
      <c r="Q3386" s="31">
        <f t="shared" ref="Q3386" si="3037">IF(C$108&gt;0,P3386/C$108,0)</f>
        <v>0</v>
      </c>
    </row>
    <row r="3387" spans="1:17" x14ac:dyDescent="0.2">
      <c r="A3387" s="10"/>
      <c r="B3387" s="26"/>
      <c r="C3387" s="11">
        <v>2012</v>
      </c>
      <c r="D3387" s="32">
        <f>SPFI_CLB14!$D$35</f>
        <v>0.34784100000000001</v>
      </c>
      <c r="E3387" s="32"/>
      <c r="F3387" s="32"/>
      <c r="G3387" s="32"/>
      <c r="H3387" s="32"/>
      <c r="I3387" s="32"/>
      <c r="J3387" s="28">
        <f t="shared" ref="J3387" si="3038">D3387*J$108</f>
        <v>0</v>
      </c>
      <c r="K3387" s="29"/>
      <c r="L3387" s="29"/>
      <c r="M3387" s="29"/>
      <c r="N3387" s="29"/>
      <c r="O3387" s="29"/>
      <c r="P3387" s="30">
        <f t="shared" ref="P3387" si="3039">SUM(J3387:O3387)</f>
        <v>0</v>
      </c>
      <c r="Q3387" s="31">
        <f t="shared" ref="Q3387" si="3040">IF(C$108&gt;0,P3387/C$108,0)</f>
        <v>0</v>
      </c>
    </row>
    <row r="3388" spans="1:17" x14ac:dyDescent="0.2">
      <c r="A3388" s="5" t="s">
        <v>32</v>
      </c>
      <c r="B3388" s="21">
        <v>3</v>
      </c>
      <c r="C3388" s="6">
        <v>1982</v>
      </c>
      <c r="D3388" s="27">
        <f>SPFI_CLB14!$D$5</f>
        <v>0.98153299999999999</v>
      </c>
      <c r="E3388" s="27"/>
      <c r="F3388" s="27"/>
      <c r="G3388" s="27"/>
      <c r="H3388" s="27"/>
      <c r="I3388" s="27"/>
      <c r="J3388" s="33">
        <f t="shared" ref="J3388:J3400" si="3041">D3388*J$109</f>
        <v>0</v>
      </c>
      <c r="K3388" s="27"/>
      <c r="L3388" s="27"/>
      <c r="M3388" s="27"/>
      <c r="N3388" s="27"/>
      <c r="O3388" s="27"/>
      <c r="P3388" s="34">
        <f t="shared" si="3030"/>
        <v>0</v>
      </c>
      <c r="Q3388" s="35">
        <f t="shared" ref="Q3388:Q3404" si="3042">IF(C$109&gt;0,P3388/C$109,0)</f>
        <v>0</v>
      </c>
    </row>
    <row r="3389" spans="1:17" x14ac:dyDescent="0.2">
      <c r="A3389" s="10"/>
      <c r="B3389" s="26"/>
      <c r="C3389" s="11">
        <v>1983</v>
      </c>
      <c r="D3389" s="32">
        <f>SPFI_CLB14!$D$6</f>
        <v>0.93659899999999996</v>
      </c>
      <c r="E3389" s="32"/>
      <c r="F3389" s="32"/>
      <c r="G3389" s="32"/>
      <c r="H3389" s="32"/>
      <c r="I3389" s="32"/>
      <c r="J3389" s="28">
        <f t="shared" si="3041"/>
        <v>0</v>
      </c>
      <c r="K3389" s="29"/>
      <c r="L3389" s="29"/>
      <c r="M3389" s="29"/>
      <c r="N3389" s="29"/>
      <c r="O3389" s="29"/>
      <c r="P3389" s="30">
        <f t="shared" ref="P3389:P3400" si="3043">SUM(J3389:O3389)</f>
        <v>0</v>
      </c>
      <c r="Q3389" s="31">
        <f t="shared" si="3042"/>
        <v>0</v>
      </c>
    </row>
    <row r="3390" spans="1:17" x14ac:dyDescent="0.2">
      <c r="A3390" s="10"/>
      <c r="B3390" s="26"/>
      <c r="C3390" s="11">
        <v>1984</v>
      </c>
      <c r="D3390" s="32">
        <f>SPFI_CLB14!$D$7</f>
        <v>0.92793599999999998</v>
      </c>
      <c r="E3390" s="32"/>
      <c r="F3390" s="32"/>
      <c r="G3390" s="32"/>
      <c r="H3390" s="32"/>
      <c r="I3390" s="32"/>
      <c r="J3390" s="28">
        <f t="shared" si="3041"/>
        <v>0</v>
      </c>
      <c r="K3390" s="29"/>
      <c r="L3390" s="29"/>
      <c r="M3390" s="29"/>
      <c r="N3390" s="29"/>
      <c r="O3390" s="29"/>
      <c r="P3390" s="30">
        <f t="shared" si="3043"/>
        <v>0</v>
      </c>
      <c r="Q3390" s="31">
        <f t="shared" si="3042"/>
        <v>0</v>
      </c>
    </row>
    <row r="3391" spans="1:17" x14ac:dyDescent="0.2">
      <c r="A3391" s="10"/>
      <c r="B3391" s="26"/>
      <c r="C3391" s="11">
        <v>1985</v>
      </c>
      <c r="D3391" s="32">
        <f>SPFI_CLB14!$D$8</f>
        <v>0.90386500000000003</v>
      </c>
      <c r="E3391" s="32"/>
      <c r="F3391" s="32"/>
      <c r="G3391" s="32"/>
      <c r="H3391" s="32"/>
      <c r="I3391" s="32"/>
      <c r="J3391" s="28">
        <f t="shared" si="3041"/>
        <v>0</v>
      </c>
      <c r="K3391" s="29"/>
      <c r="L3391" s="29"/>
      <c r="M3391" s="29"/>
      <c r="N3391" s="29"/>
      <c r="O3391" s="29"/>
      <c r="P3391" s="30">
        <f t="shared" si="3043"/>
        <v>0</v>
      </c>
      <c r="Q3391" s="31">
        <f t="shared" si="3042"/>
        <v>0</v>
      </c>
    </row>
    <row r="3392" spans="1:17" x14ac:dyDescent="0.2">
      <c r="A3392" s="10"/>
      <c r="B3392" s="26"/>
      <c r="C3392" s="11">
        <v>1986</v>
      </c>
      <c r="D3392" s="32">
        <f>SPFI_CLB14!$D$9</f>
        <v>0.73087500000000005</v>
      </c>
      <c r="E3392" s="32"/>
      <c r="F3392" s="32"/>
      <c r="G3392" s="32"/>
      <c r="H3392" s="32"/>
      <c r="I3392" s="32"/>
      <c r="J3392" s="28">
        <f t="shared" si="3041"/>
        <v>0</v>
      </c>
      <c r="K3392" s="29"/>
      <c r="L3392" s="29"/>
      <c r="M3392" s="29"/>
      <c r="N3392" s="29"/>
      <c r="O3392" s="29"/>
      <c r="P3392" s="30">
        <f t="shared" si="3043"/>
        <v>0</v>
      </c>
      <c r="Q3392" s="31">
        <f t="shared" si="3042"/>
        <v>0</v>
      </c>
    </row>
    <row r="3393" spans="1:17" x14ac:dyDescent="0.2">
      <c r="A3393" s="10"/>
      <c r="B3393" s="26"/>
      <c r="C3393" s="11">
        <v>1987</v>
      </c>
      <c r="D3393" s="32">
        <f>SPFI_CLB14!$D$10</f>
        <v>0.71733499999999994</v>
      </c>
      <c r="E3393" s="32"/>
      <c r="F3393" s="32"/>
      <c r="G3393" s="32"/>
      <c r="H3393" s="32"/>
      <c r="I3393" s="32"/>
      <c r="J3393" s="28">
        <f t="shared" si="3041"/>
        <v>0</v>
      </c>
      <c r="K3393" s="29"/>
      <c r="L3393" s="29"/>
      <c r="M3393" s="29"/>
      <c r="N3393" s="29"/>
      <c r="O3393" s="29"/>
      <c r="P3393" s="30">
        <f t="shared" si="3043"/>
        <v>0</v>
      </c>
      <c r="Q3393" s="31">
        <f t="shared" si="3042"/>
        <v>0</v>
      </c>
    </row>
    <row r="3394" spans="1:17" x14ac:dyDescent="0.2">
      <c r="A3394" s="10"/>
      <c r="B3394" s="26"/>
      <c r="C3394" s="11">
        <v>1988</v>
      </c>
      <c r="D3394" s="32">
        <f>SPFI_CLB14!$D$11</f>
        <v>0.64558800000000005</v>
      </c>
      <c r="E3394" s="32"/>
      <c r="F3394" s="32"/>
      <c r="G3394" s="32"/>
      <c r="H3394" s="32"/>
      <c r="I3394" s="32"/>
      <c r="J3394" s="28">
        <f t="shared" si="3041"/>
        <v>0</v>
      </c>
      <c r="K3394" s="29"/>
      <c r="L3394" s="29"/>
      <c r="M3394" s="29"/>
      <c r="N3394" s="29"/>
      <c r="O3394" s="29"/>
      <c r="P3394" s="30">
        <f t="shared" si="3043"/>
        <v>0</v>
      </c>
      <c r="Q3394" s="31">
        <f t="shared" si="3042"/>
        <v>0</v>
      </c>
    </row>
    <row r="3395" spans="1:17" x14ac:dyDescent="0.2">
      <c r="A3395" s="10"/>
      <c r="B3395" s="26"/>
      <c r="C3395" s="11">
        <v>1989</v>
      </c>
      <c r="D3395" s="32">
        <f>SPFI_CLB14!$D$12</f>
        <v>0.65287700000000004</v>
      </c>
      <c r="E3395" s="32"/>
      <c r="F3395" s="32"/>
      <c r="G3395" s="32"/>
      <c r="H3395" s="32"/>
      <c r="I3395" s="32"/>
      <c r="J3395" s="28">
        <f t="shared" si="3041"/>
        <v>0</v>
      </c>
      <c r="K3395" s="29"/>
      <c r="L3395" s="29"/>
      <c r="M3395" s="29"/>
      <c r="N3395" s="29"/>
      <c r="O3395" s="29"/>
      <c r="P3395" s="30">
        <f t="shared" si="3043"/>
        <v>0</v>
      </c>
      <c r="Q3395" s="31">
        <f t="shared" si="3042"/>
        <v>0</v>
      </c>
    </row>
    <row r="3396" spans="1:17" x14ac:dyDescent="0.2">
      <c r="A3396" s="10"/>
      <c r="B3396" s="26"/>
      <c r="C3396" s="11">
        <v>1990</v>
      </c>
      <c r="D3396" s="32">
        <f>SPFI_CLB14!$D$13</f>
        <v>0.56965100000000002</v>
      </c>
      <c r="E3396" s="32"/>
      <c r="F3396" s="32"/>
      <c r="G3396" s="32"/>
      <c r="H3396" s="32"/>
      <c r="I3396" s="32"/>
      <c r="J3396" s="28">
        <f t="shared" si="3041"/>
        <v>0</v>
      </c>
      <c r="K3396" s="29"/>
      <c r="L3396" s="29"/>
      <c r="M3396" s="29"/>
      <c r="N3396" s="29"/>
      <c r="O3396" s="29"/>
      <c r="P3396" s="30">
        <f t="shared" si="3043"/>
        <v>0</v>
      </c>
      <c r="Q3396" s="31">
        <f t="shared" si="3042"/>
        <v>0</v>
      </c>
    </row>
    <row r="3397" spans="1:17" x14ac:dyDescent="0.2">
      <c r="A3397" s="10"/>
      <c r="B3397" s="26"/>
      <c r="C3397" s="11">
        <v>1991</v>
      </c>
      <c r="D3397" s="32">
        <f>SPFI_CLB14!$D$14</f>
        <v>0.62776900000000002</v>
      </c>
      <c r="E3397" s="32"/>
      <c r="F3397" s="32"/>
      <c r="G3397" s="32"/>
      <c r="H3397" s="32"/>
      <c r="I3397" s="32"/>
      <c r="J3397" s="28">
        <f t="shared" si="3041"/>
        <v>0</v>
      </c>
      <c r="K3397" s="29"/>
      <c r="L3397" s="29"/>
      <c r="M3397" s="29"/>
      <c r="N3397" s="29"/>
      <c r="O3397" s="29"/>
      <c r="P3397" s="30">
        <f t="shared" si="3043"/>
        <v>0</v>
      </c>
      <c r="Q3397" s="31">
        <f t="shared" si="3042"/>
        <v>0</v>
      </c>
    </row>
    <row r="3398" spans="1:17" x14ac:dyDescent="0.2">
      <c r="A3398" s="10"/>
      <c r="B3398" s="26"/>
      <c r="C3398" s="11">
        <v>1992</v>
      </c>
      <c r="D3398" s="32">
        <f>SPFI_CLB14!$D$15</f>
        <v>0.43504100000000001</v>
      </c>
      <c r="E3398" s="32"/>
      <c r="F3398" s="32"/>
      <c r="G3398" s="32"/>
      <c r="H3398" s="32"/>
      <c r="I3398" s="32"/>
      <c r="J3398" s="28">
        <f t="shared" si="3041"/>
        <v>0</v>
      </c>
      <c r="K3398" s="29"/>
      <c r="L3398" s="29"/>
      <c r="M3398" s="29"/>
      <c r="N3398" s="29"/>
      <c r="O3398" s="29"/>
      <c r="P3398" s="30">
        <f t="shared" si="3043"/>
        <v>0</v>
      </c>
      <c r="Q3398" s="31">
        <f t="shared" si="3042"/>
        <v>0</v>
      </c>
    </row>
    <row r="3399" spans="1:17" x14ac:dyDescent="0.2">
      <c r="A3399" s="10"/>
      <c r="B3399" s="26"/>
      <c r="C3399" s="11">
        <v>1993</v>
      </c>
      <c r="D3399" s="32">
        <f>SPFI_CLB14!$D$16</f>
        <v>0.499164</v>
      </c>
      <c r="E3399" s="32"/>
      <c r="F3399" s="32"/>
      <c r="G3399" s="32"/>
      <c r="H3399" s="32"/>
      <c r="I3399" s="32"/>
      <c r="J3399" s="28">
        <f t="shared" si="3041"/>
        <v>0</v>
      </c>
      <c r="K3399" s="29"/>
      <c r="L3399" s="29"/>
      <c r="M3399" s="29"/>
      <c r="N3399" s="29"/>
      <c r="O3399" s="29"/>
      <c r="P3399" s="30">
        <f t="shared" si="3043"/>
        <v>0</v>
      </c>
      <c r="Q3399" s="31">
        <f t="shared" si="3042"/>
        <v>0</v>
      </c>
    </row>
    <row r="3400" spans="1:17" x14ac:dyDescent="0.2">
      <c r="A3400" s="10"/>
      <c r="B3400" s="26"/>
      <c r="C3400" s="11">
        <v>1994</v>
      </c>
      <c r="D3400" s="32">
        <f>SPFI_CLB14!$D$17</f>
        <v>0.59591300000000003</v>
      </c>
      <c r="E3400" s="32"/>
      <c r="F3400" s="32"/>
      <c r="G3400" s="32"/>
      <c r="H3400" s="32"/>
      <c r="I3400" s="32"/>
      <c r="J3400" s="28">
        <f t="shared" si="3041"/>
        <v>0</v>
      </c>
      <c r="K3400" s="29"/>
      <c r="L3400" s="29"/>
      <c r="M3400" s="29"/>
      <c r="N3400" s="29"/>
      <c r="O3400" s="29"/>
      <c r="P3400" s="30">
        <f t="shared" si="3043"/>
        <v>0</v>
      </c>
      <c r="Q3400" s="31">
        <f t="shared" si="3042"/>
        <v>0</v>
      </c>
    </row>
    <row r="3401" spans="1:17" x14ac:dyDescent="0.2">
      <c r="A3401" s="10"/>
      <c r="B3401" s="26"/>
      <c r="C3401" s="11">
        <v>1995</v>
      </c>
      <c r="D3401" s="32">
        <f>SPFI_CLB14!$D$18</f>
        <v>0.25400800000000001</v>
      </c>
      <c r="E3401" s="32"/>
      <c r="F3401" s="32"/>
      <c r="G3401" s="32"/>
      <c r="H3401" s="32"/>
      <c r="I3401" s="32"/>
      <c r="J3401" s="28">
        <f t="shared" ref="J3401" si="3044">D3401*J$109</f>
        <v>0</v>
      </c>
      <c r="K3401" s="29"/>
      <c r="L3401" s="29"/>
      <c r="M3401" s="29"/>
      <c r="N3401" s="29"/>
      <c r="O3401" s="29"/>
      <c r="P3401" s="30">
        <f>SUM(J3401:O3401)</f>
        <v>0</v>
      </c>
      <c r="Q3401" s="31">
        <f t="shared" si="3042"/>
        <v>0</v>
      </c>
    </row>
    <row r="3402" spans="1:17" x14ac:dyDescent="0.2">
      <c r="A3402" s="10"/>
      <c r="B3402" s="26"/>
      <c r="C3402" s="11">
        <v>1996</v>
      </c>
      <c r="D3402" s="32">
        <f>SPFI_CLB14!$D$19</f>
        <v>0</v>
      </c>
      <c r="E3402" s="32"/>
      <c r="F3402" s="32"/>
      <c r="G3402" s="32"/>
      <c r="H3402" s="32"/>
      <c r="I3402" s="32"/>
      <c r="J3402" s="28">
        <f t="shared" ref="J3402" si="3045">D3402*J$109</f>
        <v>0</v>
      </c>
      <c r="K3402" s="29"/>
      <c r="L3402" s="29"/>
      <c r="M3402" s="29"/>
      <c r="N3402" s="29"/>
      <c r="O3402" s="29"/>
      <c r="P3402" s="30">
        <f>SUM(J3402:O3402)</f>
        <v>0</v>
      </c>
      <c r="Q3402" s="31">
        <f t="shared" si="3042"/>
        <v>0</v>
      </c>
    </row>
    <row r="3403" spans="1:17" x14ac:dyDescent="0.2">
      <c r="A3403" s="10"/>
      <c r="B3403" s="26"/>
      <c r="C3403" s="11">
        <v>1997</v>
      </c>
      <c r="D3403" s="32">
        <f>SPFI_CLB14!$D$20</f>
        <v>0.201487</v>
      </c>
      <c r="E3403" s="32"/>
      <c r="F3403" s="32"/>
      <c r="G3403" s="32"/>
      <c r="H3403" s="32"/>
      <c r="I3403" s="32"/>
      <c r="J3403" s="28">
        <f t="shared" ref="J3403" si="3046">D3403*J$109</f>
        <v>0</v>
      </c>
      <c r="K3403" s="29"/>
      <c r="L3403" s="29"/>
      <c r="M3403" s="29"/>
      <c r="N3403" s="29"/>
      <c r="O3403" s="29"/>
      <c r="P3403" s="30">
        <f>SUM(J3403:O3403)</f>
        <v>0</v>
      </c>
      <c r="Q3403" s="31">
        <f t="shared" si="3042"/>
        <v>0</v>
      </c>
    </row>
    <row r="3404" spans="1:17" x14ac:dyDescent="0.2">
      <c r="A3404" s="10"/>
      <c r="B3404" s="26"/>
      <c r="C3404" s="11">
        <v>1998</v>
      </c>
      <c r="D3404" s="32">
        <f>SPFI_CLB14!$D$21</f>
        <v>0.37506400000000001</v>
      </c>
      <c r="E3404" s="32"/>
      <c r="F3404" s="32"/>
      <c r="G3404" s="32"/>
      <c r="H3404" s="32"/>
      <c r="I3404" s="32"/>
      <c r="J3404" s="28">
        <f t="shared" ref="J3404" si="3047">D3404*J$109</f>
        <v>0</v>
      </c>
      <c r="K3404" s="29"/>
      <c r="L3404" s="29"/>
      <c r="M3404" s="29"/>
      <c r="N3404" s="29"/>
      <c r="O3404" s="29"/>
      <c r="P3404" s="30">
        <f>SUM(J3404:O3404)</f>
        <v>0</v>
      </c>
      <c r="Q3404" s="31">
        <f t="shared" si="3042"/>
        <v>0</v>
      </c>
    </row>
    <row r="3405" spans="1:17" x14ac:dyDescent="0.2">
      <c r="A3405" s="10"/>
      <c r="B3405" s="26"/>
      <c r="C3405" s="11">
        <v>1999</v>
      </c>
      <c r="D3405" s="32">
        <f>SPFI_CLB14!$D$22</f>
        <v>0.29823699999999997</v>
      </c>
      <c r="E3405" s="32"/>
      <c r="F3405" s="32"/>
      <c r="G3405" s="32"/>
      <c r="H3405" s="32"/>
      <c r="I3405" s="32"/>
      <c r="J3405" s="28">
        <f t="shared" ref="J3405" si="3048">D3405*J$109</f>
        <v>0</v>
      </c>
      <c r="K3405" s="29"/>
      <c r="L3405" s="29"/>
      <c r="M3405" s="29"/>
      <c r="N3405" s="29"/>
      <c r="O3405" s="29"/>
      <c r="P3405" s="30">
        <f>SUM(J3405:O3405)</f>
        <v>0</v>
      </c>
      <c r="Q3405" s="31">
        <f t="shared" ref="Q3405:Q3410" si="3049">IF(C$109&gt;0,P3405/C$109,0)</f>
        <v>0</v>
      </c>
    </row>
    <row r="3406" spans="1:17" x14ac:dyDescent="0.2">
      <c r="A3406" s="10"/>
      <c r="B3406" s="26"/>
      <c r="C3406" s="11">
        <v>2000</v>
      </c>
      <c r="D3406" s="32">
        <f>SPFI_CLB14!$D$23</f>
        <v>8.4414000000000003E-2</v>
      </c>
      <c r="E3406" s="32"/>
      <c r="F3406" s="32"/>
      <c r="G3406" s="32"/>
      <c r="H3406" s="32"/>
      <c r="I3406" s="32"/>
      <c r="J3406" s="28">
        <f t="shared" ref="J3406" si="3050">D3406*J$109</f>
        <v>0</v>
      </c>
      <c r="K3406" s="29"/>
      <c r="L3406" s="29"/>
      <c r="M3406" s="29"/>
      <c r="N3406" s="29"/>
      <c r="O3406" s="29"/>
      <c r="P3406" s="30">
        <f t="shared" ref="P3406:P3411" si="3051">SUM(J3406:O3406)</f>
        <v>0</v>
      </c>
      <c r="Q3406" s="31">
        <f t="shared" si="3049"/>
        <v>0</v>
      </c>
    </row>
    <row r="3407" spans="1:17" x14ac:dyDescent="0.2">
      <c r="A3407" s="10"/>
      <c r="B3407" s="26"/>
      <c r="C3407" s="11">
        <v>2001</v>
      </c>
      <c r="D3407" s="32">
        <f>SPFI_CLB14!$D$24</f>
        <v>7.8909000000000007E-2</v>
      </c>
      <c r="E3407" s="32"/>
      <c r="F3407" s="32"/>
      <c r="G3407" s="32"/>
      <c r="H3407" s="32"/>
      <c r="I3407" s="32"/>
      <c r="J3407" s="28">
        <f t="shared" ref="J3407" si="3052">D3407*J$109</f>
        <v>0</v>
      </c>
      <c r="K3407" s="29"/>
      <c r="L3407" s="29"/>
      <c r="M3407" s="29"/>
      <c r="N3407" s="29"/>
      <c r="O3407" s="29"/>
      <c r="P3407" s="30">
        <f t="shared" si="3051"/>
        <v>0</v>
      </c>
      <c r="Q3407" s="31">
        <f t="shared" si="3049"/>
        <v>0</v>
      </c>
    </row>
    <row r="3408" spans="1:17" x14ac:dyDescent="0.2">
      <c r="A3408" s="10"/>
      <c r="B3408" s="26"/>
      <c r="C3408" s="11">
        <v>2002</v>
      </c>
      <c r="D3408" s="32">
        <f>SPFI_CLB14!$D$25</f>
        <v>0.29974699999999999</v>
      </c>
      <c r="E3408" s="32"/>
      <c r="F3408" s="32"/>
      <c r="G3408" s="32"/>
      <c r="H3408" s="32"/>
      <c r="I3408" s="32"/>
      <c r="J3408" s="28">
        <f t="shared" ref="J3408" si="3053">D3408*J$109</f>
        <v>0</v>
      </c>
      <c r="K3408" s="29"/>
      <c r="L3408" s="29"/>
      <c r="M3408" s="29"/>
      <c r="N3408" s="29"/>
      <c r="O3408" s="29"/>
      <c r="P3408" s="30">
        <f t="shared" si="3051"/>
        <v>0</v>
      </c>
      <c r="Q3408" s="31">
        <f t="shared" si="3049"/>
        <v>0</v>
      </c>
    </row>
    <row r="3409" spans="1:17" x14ac:dyDescent="0.2">
      <c r="A3409" s="10"/>
      <c r="B3409" s="26"/>
      <c r="C3409" s="11">
        <v>2003</v>
      </c>
      <c r="D3409" s="32">
        <f>SPFI_CLB14!$D$26</f>
        <v>0.20691100000000001</v>
      </c>
      <c r="E3409" s="32"/>
      <c r="F3409" s="32"/>
      <c r="G3409" s="32"/>
      <c r="H3409" s="32"/>
      <c r="I3409" s="32"/>
      <c r="J3409" s="28">
        <f t="shared" ref="J3409" si="3054">D3409*J$109</f>
        <v>0</v>
      </c>
      <c r="K3409" s="29"/>
      <c r="L3409" s="29"/>
      <c r="M3409" s="29"/>
      <c r="N3409" s="29"/>
      <c r="O3409" s="29"/>
      <c r="P3409" s="30">
        <f t="shared" si="3051"/>
        <v>0</v>
      </c>
      <c r="Q3409" s="31">
        <f t="shared" si="3049"/>
        <v>0</v>
      </c>
    </row>
    <row r="3410" spans="1:17" x14ac:dyDescent="0.2">
      <c r="A3410" s="10"/>
      <c r="B3410" s="26"/>
      <c r="C3410" s="11">
        <v>2004</v>
      </c>
      <c r="D3410" s="32">
        <f>SPFI_CLB14!$D$27</f>
        <v>0.269237</v>
      </c>
      <c r="E3410" s="32"/>
      <c r="F3410" s="32"/>
      <c r="G3410" s="32"/>
      <c r="H3410" s="32"/>
      <c r="I3410" s="32"/>
      <c r="J3410" s="28">
        <f t="shared" ref="J3410" si="3055">D3410*J$109</f>
        <v>0</v>
      </c>
      <c r="K3410" s="29"/>
      <c r="L3410" s="29"/>
      <c r="M3410" s="29"/>
      <c r="N3410" s="29"/>
      <c r="O3410" s="29"/>
      <c r="P3410" s="30">
        <f t="shared" si="3051"/>
        <v>0</v>
      </c>
      <c r="Q3410" s="31">
        <f t="shared" si="3049"/>
        <v>0</v>
      </c>
    </row>
    <row r="3411" spans="1:17" x14ac:dyDescent="0.2">
      <c r="A3411" s="10"/>
      <c r="B3411" s="26"/>
      <c r="C3411" s="11">
        <v>2005</v>
      </c>
      <c r="D3411" s="32">
        <f>SPFI_CLB14!$D$28</f>
        <v>0.37848700000000002</v>
      </c>
      <c r="E3411" s="32"/>
      <c r="F3411" s="32"/>
      <c r="G3411" s="32"/>
      <c r="H3411" s="32"/>
      <c r="I3411" s="32"/>
      <c r="J3411" s="28">
        <f t="shared" ref="J3411" si="3056">D3411*J$109</f>
        <v>0</v>
      </c>
      <c r="K3411" s="29"/>
      <c r="L3411" s="29"/>
      <c r="M3411" s="29"/>
      <c r="N3411" s="29"/>
      <c r="O3411" s="29"/>
      <c r="P3411" s="30">
        <f t="shared" si="3051"/>
        <v>0</v>
      </c>
      <c r="Q3411" s="31">
        <f t="shared" ref="Q3411:Q3416" si="3057">IF(C$109&gt;0,P3411/C$109,0)</f>
        <v>0</v>
      </c>
    </row>
    <row r="3412" spans="1:17" x14ac:dyDescent="0.2">
      <c r="A3412" s="10"/>
      <c r="B3412" s="26"/>
      <c r="C3412" s="11">
        <v>2006</v>
      </c>
      <c r="D3412" s="32">
        <f>SPFI_CLB14!$D$29</f>
        <v>0.381023</v>
      </c>
      <c r="E3412" s="32"/>
      <c r="F3412" s="32"/>
      <c r="G3412" s="32"/>
      <c r="H3412" s="32"/>
      <c r="I3412" s="32"/>
      <c r="J3412" s="28">
        <f t="shared" ref="J3412" si="3058">D3412*J$109</f>
        <v>0</v>
      </c>
      <c r="K3412" s="29"/>
      <c r="L3412" s="29"/>
      <c r="M3412" s="29"/>
      <c r="N3412" s="29"/>
      <c r="O3412" s="29"/>
      <c r="P3412" s="30">
        <f t="shared" ref="P3412:P3419" si="3059">SUM(J3412:O3412)</f>
        <v>0</v>
      </c>
      <c r="Q3412" s="31">
        <f t="shared" si="3057"/>
        <v>0</v>
      </c>
    </row>
    <row r="3413" spans="1:17" x14ac:dyDescent="0.2">
      <c r="A3413" s="10"/>
      <c r="B3413" s="26"/>
      <c r="C3413" s="11">
        <v>2007</v>
      </c>
      <c r="D3413" s="32">
        <f>SPFI_CLB14!$D$30</f>
        <v>0.356512</v>
      </c>
      <c r="E3413" s="32"/>
      <c r="F3413" s="32"/>
      <c r="G3413" s="32"/>
      <c r="H3413" s="32"/>
      <c r="I3413" s="32"/>
      <c r="J3413" s="28">
        <f t="shared" ref="J3413" si="3060">D3413*J$109</f>
        <v>0</v>
      </c>
      <c r="K3413" s="29"/>
      <c r="L3413" s="29"/>
      <c r="M3413" s="29"/>
      <c r="N3413" s="29"/>
      <c r="O3413" s="29"/>
      <c r="P3413" s="30">
        <f t="shared" si="3059"/>
        <v>0</v>
      </c>
      <c r="Q3413" s="31">
        <f t="shared" si="3057"/>
        <v>0</v>
      </c>
    </row>
    <row r="3414" spans="1:17" x14ac:dyDescent="0.2">
      <c r="A3414" s="10"/>
      <c r="B3414" s="26"/>
      <c r="C3414" s="11">
        <v>2008</v>
      </c>
      <c r="D3414" s="32">
        <f>SPFI_CLB14!$D$31</f>
        <v>0.25494499999999998</v>
      </c>
      <c r="E3414" s="32"/>
      <c r="F3414" s="32"/>
      <c r="G3414" s="32"/>
      <c r="H3414" s="32"/>
      <c r="I3414" s="32"/>
      <c r="J3414" s="28">
        <f t="shared" ref="J3414" si="3061">D3414*J$109</f>
        <v>0</v>
      </c>
      <c r="K3414" s="29"/>
      <c r="L3414" s="29"/>
      <c r="M3414" s="29"/>
      <c r="N3414" s="29"/>
      <c r="O3414" s="29"/>
      <c r="P3414" s="30">
        <f t="shared" si="3059"/>
        <v>0</v>
      </c>
      <c r="Q3414" s="31">
        <f t="shared" si="3057"/>
        <v>0</v>
      </c>
    </row>
    <row r="3415" spans="1:17" x14ac:dyDescent="0.2">
      <c r="A3415" s="10"/>
      <c r="B3415" s="26"/>
      <c r="C3415" s="11">
        <v>2009</v>
      </c>
      <c r="D3415" s="32">
        <f>SPFI_CLB14!$D$32</f>
        <v>0.52383000000000002</v>
      </c>
      <c r="E3415" s="32"/>
      <c r="F3415" s="32"/>
      <c r="G3415" s="32"/>
      <c r="H3415" s="32"/>
      <c r="I3415" s="32"/>
      <c r="J3415" s="28">
        <f t="shared" ref="J3415" si="3062">D3415*J$109</f>
        <v>0</v>
      </c>
      <c r="K3415" s="29"/>
      <c r="L3415" s="29"/>
      <c r="M3415" s="29"/>
      <c r="N3415" s="29"/>
      <c r="O3415" s="29"/>
      <c r="P3415" s="30">
        <f t="shared" si="3059"/>
        <v>0</v>
      </c>
      <c r="Q3415" s="31">
        <f t="shared" si="3057"/>
        <v>0</v>
      </c>
    </row>
    <row r="3416" spans="1:17" x14ac:dyDescent="0.2">
      <c r="A3416" s="10"/>
      <c r="B3416" s="26"/>
      <c r="C3416" s="11">
        <v>2010</v>
      </c>
      <c r="D3416" s="32">
        <f>SPFI_CLB14!$D$33</f>
        <v>0.31394</v>
      </c>
      <c r="E3416" s="32"/>
      <c r="F3416" s="32"/>
      <c r="G3416" s="32"/>
      <c r="H3416" s="32"/>
      <c r="I3416" s="32"/>
      <c r="J3416" s="28">
        <f t="shared" ref="J3416" si="3063">D3416*J$109</f>
        <v>0</v>
      </c>
      <c r="K3416" s="29"/>
      <c r="L3416" s="29"/>
      <c r="M3416" s="29"/>
      <c r="N3416" s="29"/>
      <c r="O3416" s="29"/>
      <c r="P3416" s="30">
        <f t="shared" si="3059"/>
        <v>0</v>
      </c>
      <c r="Q3416" s="31">
        <f t="shared" si="3057"/>
        <v>0</v>
      </c>
    </row>
    <row r="3417" spans="1:17" x14ac:dyDescent="0.2">
      <c r="A3417" s="10"/>
      <c r="B3417" s="26"/>
      <c r="C3417" s="11">
        <v>2011</v>
      </c>
      <c r="D3417" s="32">
        <f>SPFI_CLB14!$D$34</f>
        <v>0.294348</v>
      </c>
      <c r="E3417" s="32"/>
      <c r="F3417" s="32"/>
      <c r="G3417" s="32"/>
      <c r="H3417" s="32"/>
      <c r="I3417" s="32"/>
      <c r="J3417" s="28">
        <f t="shared" ref="J3417" si="3064">D3417*J$109</f>
        <v>0</v>
      </c>
      <c r="K3417" s="29"/>
      <c r="L3417" s="29"/>
      <c r="M3417" s="29"/>
      <c r="N3417" s="29"/>
      <c r="O3417" s="29"/>
      <c r="P3417" s="30">
        <f t="shared" ref="P3417" si="3065">SUM(J3417:O3417)</f>
        <v>0</v>
      </c>
      <c r="Q3417" s="31">
        <f t="shared" ref="Q3417" si="3066">IF(C$109&gt;0,P3417/C$109,0)</f>
        <v>0</v>
      </c>
    </row>
    <row r="3418" spans="1:17" x14ac:dyDescent="0.2">
      <c r="A3418" s="10"/>
      <c r="B3418" s="26"/>
      <c r="C3418" s="11">
        <v>2012</v>
      </c>
      <c r="D3418" s="32">
        <f>SPFI_CLB14!$D$35</f>
        <v>0.34784100000000001</v>
      </c>
      <c r="E3418" s="32"/>
      <c r="F3418" s="32"/>
      <c r="G3418" s="32"/>
      <c r="H3418" s="32"/>
      <c r="I3418" s="32"/>
      <c r="J3418" s="28">
        <f t="shared" ref="J3418" si="3067">D3418*J$109</f>
        <v>0</v>
      </c>
      <c r="K3418" s="29"/>
      <c r="L3418" s="29"/>
      <c r="M3418" s="29"/>
      <c r="N3418" s="29"/>
      <c r="O3418" s="29"/>
      <c r="P3418" s="30">
        <f t="shared" ref="P3418" si="3068">SUM(J3418:O3418)</f>
        <v>0</v>
      </c>
      <c r="Q3418" s="31">
        <f t="shared" ref="Q3418" si="3069">IF(C$109&gt;0,P3418/C$109,0)</f>
        <v>0</v>
      </c>
    </row>
    <row r="3419" spans="1:17" x14ac:dyDescent="0.2">
      <c r="A3419" s="5" t="s">
        <v>32</v>
      </c>
      <c r="B3419" s="21">
        <v>4</v>
      </c>
      <c r="C3419" s="6">
        <v>1982</v>
      </c>
      <c r="D3419" s="27">
        <f>SPFI_CLB14!$D$5</f>
        <v>0.98153299999999999</v>
      </c>
      <c r="E3419" s="27"/>
      <c r="F3419" s="27"/>
      <c r="G3419" s="27"/>
      <c r="H3419" s="27"/>
      <c r="I3419" s="27"/>
      <c r="J3419" s="33">
        <f t="shared" ref="J3419:J3431" si="3070">D3419*J$110</f>
        <v>0</v>
      </c>
      <c r="K3419" s="27"/>
      <c r="L3419" s="27"/>
      <c r="M3419" s="27"/>
      <c r="N3419" s="27"/>
      <c r="O3419" s="27"/>
      <c r="P3419" s="34">
        <f t="shared" si="3059"/>
        <v>0</v>
      </c>
      <c r="Q3419" s="35">
        <f t="shared" ref="Q3419:Q3435" si="3071">IF(C$110&gt;0,P3419/C$110,0)</f>
        <v>0</v>
      </c>
    </row>
    <row r="3420" spans="1:17" x14ac:dyDescent="0.2">
      <c r="A3420" s="10"/>
      <c r="B3420" s="26"/>
      <c r="C3420" s="11">
        <v>1983</v>
      </c>
      <c r="D3420" s="32">
        <f>SPFI_CLB14!$D$6</f>
        <v>0.93659899999999996</v>
      </c>
      <c r="E3420" s="32"/>
      <c r="F3420" s="32"/>
      <c r="G3420" s="32"/>
      <c r="H3420" s="32"/>
      <c r="I3420" s="32"/>
      <c r="J3420" s="28">
        <f t="shared" si="3070"/>
        <v>0</v>
      </c>
      <c r="K3420" s="29"/>
      <c r="L3420" s="29"/>
      <c r="M3420" s="29"/>
      <c r="N3420" s="29"/>
      <c r="O3420" s="29"/>
      <c r="P3420" s="30">
        <f t="shared" ref="P3420:P3431" si="3072">SUM(J3420:O3420)</f>
        <v>0</v>
      </c>
      <c r="Q3420" s="31">
        <f t="shared" si="3071"/>
        <v>0</v>
      </c>
    </row>
    <row r="3421" spans="1:17" x14ac:dyDescent="0.2">
      <c r="A3421" s="10"/>
      <c r="B3421" s="26"/>
      <c r="C3421" s="11">
        <v>1984</v>
      </c>
      <c r="D3421" s="32">
        <f>SPFI_CLB14!$D$7</f>
        <v>0.92793599999999998</v>
      </c>
      <c r="E3421" s="32"/>
      <c r="F3421" s="32"/>
      <c r="G3421" s="32"/>
      <c r="H3421" s="32"/>
      <c r="I3421" s="32"/>
      <c r="J3421" s="28">
        <f t="shared" si="3070"/>
        <v>0</v>
      </c>
      <c r="K3421" s="29"/>
      <c r="L3421" s="29"/>
      <c r="M3421" s="29"/>
      <c r="N3421" s="29"/>
      <c r="O3421" s="29"/>
      <c r="P3421" s="30">
        <f t="shared" si="3072"/>
        <v>0</v>
      </c>
      <c r="Q3421" s="31">
        <f t="shared" si="3071"/>
        <v>0</v>
      </c>
    </row>
    <row r="3422" spans="1:17" x14ac:dyDescent="0.2">
      <c r="A3422" s="10"/>
      <c r="B3422" s="26"/>
      <c r="C3422" s="11">
        <v>1985</v>
      </c>
      <c r="D3422" s="32">
        <f>SPFI_CLB14!$D$8</f>
        <v>0.90386500000000003</v>
      </c>
      <c r="E3422" s="32"/>
      <c r="F3422" s="32"/>
      <c r="G3422" s="32"/>
      <c r="H3422" s="32"/>
      <c r="I3422" s="32"/>
      <c r="J3422" s="28">
        <f t="shared" si="3070"/>
        <v>0</v>
      </c>
      <c r="K3422" s="29"/>
      <c r="L3422" s="29"/>
      <c r="M3422" s="29"/>
      <c r="N3422" s="29"/>
      <c r="O3422" s="29"/>
      <c r="P3422" s="30">
        <f t="shared" si="3072"/>
        <v>0</v>
      </c>
      <c r="Q3422" s="31">
        <f t="shared" si="3071"/>
        <v>0</v>
      </c>
    </row>
    <row r="3423" spans="1:17" x14ac:dyDescent="0.2">
      <c r="A3423" s="10"/>
      <c r="B3423" s="26"/>
      <c r="C3423" s="11">
        <v>1986</v>
      </c>
      <c r="D3423" s="32">
        <f>SPFI_CLB14!$D$9</f>
        <v>0.73087500000000005</v>
      </c>
      <c r="E3423" s="32"/>
      <c r="F3423" s="32"/>
      <c r="G3423" s="32"/>
      <c r="H3423" s="32"/>
      <c r="I3423" s="32"/>
      <c r="J3423" s="28">
        <f t="shared" si="3070"/>
        <v>0</v>
      </c>
      <c r="K3423" s="29"/>
      <c r="L3423" s="29"/>
      <c r="M3423" s="29"/>
      <c r="N3423" s="29"/>
      <c r="O3423" s="29"/>
      <c r="P3423" s="30">
        <f t="shared" si="3072"/>
        <v>0</v>
      </c>
      <c r="Q3423" s="31">
        <f t="shared" si="3071"/>
        <v>0</v>
      </c>
    </row>
    <row r="3424" spans="1:17" x14ac:dyDescent="0.2">
      <c r="A3424" s="10"/>
      <c r="B3424" s="26"/>
      <c r="C3424" s="11">
        <v>1987</v>
      </c>
      <c r="D3424" s="32">
        <f>SPFI_CLB14!$D$10</f>
        <v>0.71733499999999994</v>
      </c>
      <c r="E3424" s="32"/>
      <c r="F3424" s="32"/>
      <c r="G3424" s="32"/>
      <c r="H3424" s="32"/>
      <c r="I3424" s="32"/>
      <c r="J3424" s="28">
        <f t="shared" si="3070"/>
        <v>0</v>
      </c>
      <c r="K3424" s="29"/>
      <c r="L3424" s="29"/>
      <c r="M3424" s="29"/>
      <c r="N3424" s="29"/>
      <c r="O3424" s="29"/>
      <c r="P3424" s="30">
        <f t="shared" si="3072"/>
        <v>0</v>
      </c>
      <c r="Q3424" s="31">
        <f t="shared" si="3071"/>
        <v>0</v>
      </c>
    </row>
    <row r="3425" spans="1:17" x14ac:dyDescent="0.2">
      <c r="A3425" s="10"/>
      <c r="B3425" s="26"/>
      <c r="C3425" s="11">
        <v>1988</v>
      </c>
      <c r="D3425" s="32">
        <f>SPFI_CLB14!$D$11</f>
        <v>0.64558800000000005</v>
      </c>
      <c r="E3425" s="32"/>
      <c r="F3425" s="32"/>
      <c r="G3425" s="32"/>
      <c r="H3425" s="32"/>
      <c r="I3425" s="32"/>
      <c r="J3425" s="28">
        <f t="shared" si="3070"/>
        <v>0</v>
      </c>
      <c r="K3425" s="29"/>
      <c r="L3425" s="29"/>
      <c r="M3425" s="29"/>
      <c r="N3425" s="29"/>
      <c r="O3425" s="29"/>
      <c r="P3425" s="30">
        <f t="shared" si="3072"/>
        <v>0</v>
      </c>
      <c r="Q3425" s="31">
        <f t="shared" si="3071"/>
        <v>0</v>
      </c>
    </row>
    <row r="3426" spans="1:17" x14ac:dyDescent="0.2">
      <c r="A3426" s="10"/>
      <c r="B3426" s="26"/>
      <c r="C3426" s="11">
        <v>1989</v>
      </c>
      <c r="D3426" s="32">
        <f>SPFI_CLB14!$D$12</f>
        <v>0.65287700000000004</v>
      </c>
      <c r="E3426" s="32"/>
      <c r="F3426" s="32"/>
      <c r="G3426" s="32"/>
      <c r="H3426" s="32"/>
      <c r="I3426" s="32"/>
      <c r="J3426" s="28">
        <f t="shared" si="3070"/>
        <v>0</v>
      </c>
      <c r="K3426" s="29"/>
      <c r="L3426" s="29"/>
      <c r="M3426" s="29"/>
      <c r="N3426" s="29"/>
      <c r="O3426" s="29"/>
      <c r="P3426" s="30">
        <f t="shared" si="3072"/>
        <v>0</v>
      </c>
      <c r="Q3426" s="31">
        <f t="shared" si="3071"/>
        <v>0</v>
      </c>
    </row>
    <row r="3427" spans="1:17" x14ac:dyDescent="0.2">
      <c r="A3427" s="10"/>
      <c r="B3427" s="26"/>
      <c r="C3427" s="11">
        <v>1990</v>
      </c>
      <c r="D3427" s="32">
        <f>SPFI_CLB14!$D$13</f>
        <v>0.56965100000000002</v>
      </c>
      <c r="E3427" s="32"/>
      <c r="F3427" s="32"/>
      <c r="G3427" s="32"/>
      <c r="H3427" s="32"/>
      <c r="I3427" s="32"/>
      <c r="J3427" s="28">
        <f t="shared" si="3070"/>
        <v>0</v>
      </c>
      <c r="K3427" s="29"/>
      <c r="L3427" s="29"/>
      <c r="M3427" s="29"/>
      <c r="N3427" s="29"/>
      <c r="O3427" s="29"/>
      <c r="P3427" s="30">
        <f t="shared" si="3072"/>
        <v>0</v>
      </c>
      <c r="Q3427" s="31">
        <f t="shared" si="3071"/>
        <v>0</v>
      </c>
    </row>
    <row r="3428" spans="1:17" x14ac:dyDescent="0.2">
      <c r="A3428" s="10"/>
      <c r="B3428" s="26"/>
      <c r="C3428" s="11">
        <v>1991</v>
      </c>
      <c r="D3428" s="32">
        <f>SPFI_CLB14!$D$14</f>
        <v>0.62776900000000002</v>
      </c>
      <c r="E3428" s="32"/>
      <c r="F3428" s="32"/>
      <c r="G3428" s="32"/>
      <c r="H3428" s="32"/>
      <c r="I3428" s="32"/>
      <c r="J3428" s="28">
        <f t="shared" si="3070"/>
        <v>0</v>
      </c>
      <c r="K3428" s="29"/>
      <c r="L3428" s="29"/>
      <c r="M3428" s="29"/>
      <c r="N3428" s="29"/>
      <c r="O3428" s="29"/>
      <c r="P3428" s="30">
        <f t="shared" si="3072"/>
        <v>0</v>
      </c>
      <c r="Q3428" s="31">
        <f t="shared" si="3071"/>
        <v>0</v>
      </c>
    </row>
    <row r="3429" spans="1:17" x14ac:dyDescent="0.2">
      <c r="A3429" s="10"/>
      <c r="B3429" s="26"/>
      <c r="C3429" s="11">
        <v>1992</v>
      </c>
      <c r="D3429" s="32">
        <f>SPFI_CLB14!$D$15</f>
        <v>0.43504100000000001</v>
      </c>
      <c r="E3429" s="32"/>
      <c r="F3429" s="32"/>
      <c r="G3429" s="32"/>
      <c r="H3429" s="32"/>
      <c r="I3429" s="32"/>
      <c r="J3429" s="28">
        <f t="shared" si="3070"/>
        <v>0</v>
      </c>
      <c r="K3429" s="29"/>
      <c r="L3429" s="29"/>
      <c r="M3429" s="29"/>
      <c r="N3429" s="29"/>
      <c r="O3429" s="29"/>
      <c r="P3429" s="30">
        <f t="shared" si="3072"/>
        <v>0</v>
      </c>
      <c r="Q3429" s="31">
        <f t="shared" si="3071"/>
        <v>0</v>
      </c>
    </row>
    <row r="3430" spans="1:17" x14ac:dyDescent="0.2">
      <c r="A3430" s="10"/>
      <c r="B3430" s="26"/>
      <c r="C3430" s="11">
        <v>1993</v>
      </c>
      <c r="D3430" s="32">
        <f>SPFI_CLB14!$D$16</f>
        <v>0.499164</v>
      </c>
      <c r="E3430" s="32"/>
      <c r="F3430" s="32"/>
      <c r="G3430" s="32"/>
      <c r="H3430" s="32"/>
      <c r="I3430" s="32"/>
      <c r="J3430" s="28">
        <f t="shared" si="3070"/>
        <v>0</v>
      </c>
      <c r="K3430" s="29"/>
      <c r="L3430" s="29"/>
      <c r="M3430" s="29"/>
      <c r="N3430" s="29"/>
      <c r="O3430" s="29"/>
      <c r="P3430" s="30">
        <f t="shared" si="3072"/>
        <v>0</v>
      </c>
      <c r="Q3430" s="31">
        <f t="shared" si="3071"/>
        <v>0</v>
      </c>
    </row>
    <row r="3431" spans="1:17" x14ac:dyDescent="0.2">
      <c r="A3431" s="10"/>
      <c r="B3431" s="26"/>
      <c r="C3431" s="11">
        <v>1994</v>
      </c>
      <c r="D3431" s="32">
        <f>SPFI_CLB14!$D$17</f>
        <v>0.59591300000000003</v>
      </c>
      <c r="E3431" s="32"/>
      <c r="F3431" s="32"/>
      <c r="G3431" s="32"/>
      <c r="H3431" s="32"/>
      <c r="I3431" s="32"/>
      <c r="J3431" s="28">
        <f t="shared" si="3070"/>
        <v>0</v>
      </c>
      <c r="K3431" s="29"/>
      <c r="L3431" s="29"/>
      <c r="M3431" s="29"/>
      <c r="N3431" s="29"/>
      <c r="O3431" s="29"/>
      <c r="P3431" s="30">
        <f t="shared" si="3072"/>
        <v>0</v>
      </c>
      <c r="Q3431" s="31">
        <f t="shared" si="3071"/>
        <v>0</v>
      </c>
    </row>
    <row r="3432" spans="1:17" x14ac:dyDescent="0.2">
      <c r="A3432" s="10"/>
      <c r="B3432" s="26"/>
      <c r="C3432" s="11">
        <v>1995</v>
      </c>
      <c r="D3432" s="32">
        <f>SPFI_CLB14!$D$18</f>
        <v>0.25400800000000001</v>
      </c>
      <c r="E3432" s="32"/>
      <c r="F3432" s="32"/>
      <c r="G3432" s="32"/>
      <c r="H3432" s="32"/>
      <c r="I3432" s="32"/>
      <c r="J3432" s="28">
        <f t="shared" ref="J3432" si="3073">D3432*J$110</f>
        <v>0</v>
      </c>
      <c r="K3432" s="29"/>
      <c r="L3432" s="29"/>
      <c r="M3432" s="29"/>
      <c r="N3432" s="29"/>
      <c r="O3432" s="29"/>
      <c r="P3432" s="30">
        <f>SUM(J3432:O3432)</f>
        <v>0</v>
      </c>
      <c r="Q3432" s="31">
        <f t="shared" si="3071"/>
        <v>0</v>
      </c>
    </row>
    <row r="3433" spans="1:17" x14ac:dyDescent="0.2">
      <c r="A3433" s="10"/>
      <c r="B3433" s="26"/>
      <c r="C3433" s="11">
        <v>1996</v>
      </c>
      <c r="D3433" s="32">
        <f>SPFI_CLB14!$D$19</f>
        <v>0</v>
      </c>
      <c r="E3433" s="32"/>
      <c r="F3433" s="32"/>
      <c r="G3433" s="32"/>
      <c r="H3433" s="32"/>
      <c r="I3433" s="32"/>
      <c r="J3433" s="28">
        <f t="shared" ref="J3433" si="3074">D3433*J$110</f>
        <v>0</v>
      </c>
      <c r="K3433" s="29"/>
      <c r="L3433" s="29"/>
      <c r="M3433" s="29"/>
      <c r="N3433" s="29"/>
      <c r="O3433" s="29"/>
      <c r="P3433" s="30">
        <f>SUM(J3433:O3433)</f>
        <v>0</v>
      </c>
      <c r="Q3433" s="31">
        <f t="shared" si="3071"/>
        <v>0</v>
      </c>
    </row>
    <row r="3434" spans="1:17" x14ac:dyDescent="0.2">
      <c r="A3434" s="10"/>
      <c r="B3434" s="26"/>
      <c r="C3434" s="11">
        <v>1997</v>
      </c>
      <c r="D3434" s="32">
        <f>SPFI_CLB14!$D$20</f>
        <v>0.201487</v>
      </c>
      <c r="E3434" s="32"/>
      <c r="F3434" s="32"/>
      <c r="G3434" s="32"/>
      <c r="H3434" s="32"/>
      <c r="I3434" s="32"/>
      <c r="J3434" s="28">
        <f t="shared" ref="J3434" si="3075">D3434*J$110</f>
        <v>0</v>
      </c>
      <c r="K3434" s="29"/>
      <c r="L3434" s="29"/>
      <c r="M3434" s="29"/>
      <c r="N3434" s="29"/>
      <c r="O3434" s="29"/>
      <c r="P3434" s="30">
        <f>SUM(J3434:O3434)</f>
        <v>0</v>
      </c>
      <c r="Q3434" s="31">
        <f t="shared" si="3071"/>
        <v>0</v>
      </c>
    </row>
    <row r="3435" spans="1:17" x14ac:dyDescent="0.2">
      <c r="A3435" s="10"/>
      <c r="B3435" s="26"/>
      <c r="C3435" s="11">
        <v>1998</v>
      </c>
      <c r="D3435" s="32">
        <f>SPFI_CLB14!$D$21</f>
        <v>0.37506400000000001</v>
      </c>
      <c r="E3435" s="32"/>
      <c r="F3435" s="32"/>
      <c r="G3435" s="32"/>
      <c r="H3435" s="32"/>
      <c r="I3435" s="32"/>
      <c r="J3435" s="28">
        <f t="shared" ref="J3435" si="3076">D3435*J$110</f>
        <v>0</v>
      </c>
      <c r="K3435" s="29"/>
      <c r="L3435" s="29"/>
      <c r="M3435" s="29"/>
      <c r="N3435" s="29"/>
      <c r="O3435" s="29"/>
      <c r="P3435" s="30">
        <f>SUM(J3435:O3435)</f>
        <v>0</v>
      </c>
      <c r="Q3435" s="31">
        <f t="shared" si="3071"/>
        <v>0</v>
      </c>
    </row>
    <row r="3436" spans="1:17" x14ac:dyDescent="0.2">
      <c r="A3436" s="10"/>
      <c r="B3436" s="26"/>
      <c r="C3436" s="11">
        <v>1999</v>
      </c>
      <c r="D3436" s="32">
        <f>SPFI_CLB14!$D$22</f>
        <v>0.29823699999999997</v>
      </c>
      <c r="E3436" s="32"/>
      <c r="F3436" s="32"/>
      <c r="G3436" s="32"/>
      <c r="H3436" s="32"/>
      <c r="I3436" s="32"/>
      <c r="J3436" s="28">
        <f t="shared" ref="J3436" si="3077">D3436*J$110</f>
        <v>0</v>
      </c>
      <c r="K3436" s="29"/>
      <c r="L3436" s="29"/>
      <c r="M3436" s="29"/>
      <c r="N3436" s="29"/>
      <c r="O3436" s="29"/>
      <c r="P3436" s="30">
        <f>SUM(J3436:O3436)</f>
        <v>0</v>
      </c>
      <c r="Q3436" s="31">
        <f t="shared" ref="Q3436:Q3441" si="3078">IF(C$110&gt;0,P3436/C$110,0)</f>
        <v>0</v>
      </c>
    </row>
    <row r="3437" spans="1:17" x14ac:dyDescent="0.2">
      <c r="A3437" s="10"/>
      <c r="B3437" s="26"/>
      <c r="C3437" s="11">
        <v>2000</v>
      </c>
      <c r="D3437" s="32">
        <f>SPFI_CLB14!$D$23</f>
        <v>8.4414000000000003E-2</v>
      </c>
      <c r="E3437" s="32"/>
      <c r="F3437" s="32"/>
      <c r="G3437" s="32"/>
      <c r="H3437" s="32"/>
      <c r="I3437" s="32"/>
      <c r="J3437" s="28">
        <f t="shared" ref="J3437" si="3079">D3437*J$110</f>
        <v>0</v>
      </c>
      <c r="K3437" s="29"/>
      <c r="L3437" s="29"/>
      <c r="M3437" s="29"/>
      <c r="N3437" s="29"/>
      <c r="O3437" s="29"/>
      <c r="P3437" s="30">
        <f t="shared" ref="P3437:P3442" si="3080">SUM(J3437:O3437)</f>
        <v>0</v>
      </c>
      <c r="Q3437" s="31">
        <f t="shared" si="3078"/>
        <v>0</v>
      </c>
    </row>
    <row r="3438" spans="1:17" x14ac:dyDescent="0.2">
      <c r="A3438" s="10"/>
      <c r="B3438" s="26"/>
      <c r="C3438" s="11">
        <v>2001</v>
      </c>
      <c r="D3438" s="32">
        <f>SPFI_CLB14!$D$24</f>
        <v>7.8909000000000007E-2</v>
      </c>
      <c r="E3438" s="32"/>
      <c r="F3438" s="32"/>
      <c r="G3438" s="32"/>
      <c r="H3438" s="32"/>
      <c r="I3438" s="32"/>
      <c r="J3438" s="28">
        <f t="shared" ref="J3438" si="3081">D3438*J$110</f>
        <v>0</v>
      </c>
      <c r="K3438" s="29"/>
      <c r="L3438" s="29"/>
      <c r="M3438" s="29"/>
      <c r="N3438" s="29"/>
      <c r="O3438" s="29"/>
      <c r="P3438" s="30">
        <f t="shared" si="3080"/>
        <v>0</v>
      </c>
      <c r="Q3438" s="31">
        <f t="shared" si="3078"/>
        <v>0</v>
      </c>
    </row>
    <row r="3439" spans="1:17" x14ac:dyDescent="0.2">
      <c r="A3439" s="10"/>
      <c r="B3439" s="26"/>
      <c r="C3439" s="11">
        <v>2002</v>
      </c>
      <c r="D3439" s="32">
        <f>SPFI_CLB14!$D$25</f>
        <v>0.29974699999999999</v>
      </c>
      <c r="E3439" s="32"/>
      <c r="F3439" s="32"/>
      <c r="G3439" s="32"/>
      <c r="H3439" s="32"/>
      <c r="I3439" s="32"/>
      <c r="J3439" s="28">
        <f t="shared" ref="J3439" si="3082">D3439*J$110</f>
        <v>0</v>
      </c>
      <c r="K3439" s="29"/>
      <c r="L3439" s="29"/>
      <c r="M3439" s="29"/>
      <c r="N3439" s="29"/>
      <c r="O3439" s="29"/>
      <c r="P3439" s="30">
        <f t="shared" si="3080"/>
        <v>0</v>
      </c>
      <c r="Q3439" s="31">
        <f t="shared" si="3078"/>
        <v>0</v>
      </c>
    </row>
    <row r="3440" spans="1:17" x14ac:dyDescent="0.2">
      <c r="A3440" s="10"/>
      <c r="B3440" s="26"/>
      <c r="C3440" s="11">
        <v>2003</v>
      </c>
      <c r="D3440" s="32">
        <f>SPFI_CLB14!$D$26</f>
        <v>0.20691100000000001</v>
      </c>
      <c r="E3440" s="32"/>
      <c r="F3440" s="32"/>
      <c r="G3440" s="32"/>
      <c r="H3440" s="32"/>
      <c r="I3440" s="32"/>
      <c r="J3440" s="28">
        <f t="shared" ref="J3440" si="3083">D3440*J$110</f>
        <v>0</v>
      </c>
      <c r="K3440" s="29"/>
      <c r="L3440" s="29"/>
      <c r="M3440" s="29"/>
      <c r="N3440" s="29"/>
      <c r="O3440" s="29"/>
      <c r="P3440" s="30">
        <f t="shared" si="3080"/>
        <v>0</v>
      </c>
      <c r="Q3440" s="31">
        <f t="shared" si="3078"/>
        <v>0</v>
      </c>
    </row>
    <row r="3441" spans="1:17" x14ac:dyDescent="0.2">
      <c r="A3441" s="10"/>
      <c r="B3441" s="26"/>
      <c r="C3441" s="11">
        <v>2004</v>
      </c>
      <c r="D3441" s="32">
        <f>SPFI_CLB14!$D$27</f>
        <v>0.269237</v>
      </c>
      <c r="E3441" s="32"/>
      <c r="F3441" s="32"/>
      <c r="G3441" s="32"/>
      <c r="H3441" s="32"/>
      <c r="I3441" s="32"/>
      <c r="J3441" s="28">
        <f t="shared" ref="J3441" si="3084">D3441*J$110</f>
        <v>0</v>
      </c>
      <c r="K3441" s="29"/>
      <c r="L3441" s="29"/>
      <c r="M3441" s="29"/>
      <c r="N3441" s="29"/>
      <c r="O3441" s="29"/>
      <c r="P3441" s="30">
        <f t="shared" si="3080"/>
        <v>0</v>
      </c>
      <c r="Q3441" s="31">
        <f t="shared" si="3078"/>
        <v>0</v>
      </c>
    </row>
    <row r="3442" spans="1:17" x14ac:dyDescent="0.2">
      <c r="A3442" s="10"/>
      <c r="B3442" s="26"/>
      <c r="C3442" s="11">
        <v>2005</v>
      </c>
      <c r="D3442" s="32">
        <f>SPFI_CLB14!$D$28</f>
        <v>0.37848700000000002</v>
      </c>
      <c r="E3442" s="32"/>
      <c r="F3442" s="32"/>
      <c r="G3442" s="32"/>
      <c r="H3442" s="32"/>
      <c r="I3442" s="32"/>
      <c r="J3442" s="28">
        <f t="shared" ref="J3442" si="3085">D3442*J$110</f>
        <v>0</v>
      </c>
      <c r="K3442" s="29"/>
      <c r="L3442" s="29"/>
      <c r="M3442" s="29"/>
      <c r="N3442" s="29"/>
      <c r="O3442" s="29"/>
      <c r="P3442" s="30">
        <f t="shared" si="3080"/>
        <v>0</v>
      </c>
      <c r="Q3442" s="31">
        <f t="shared" ref="Q3442:Q3447" si="3086">IF(C$110&gt;0,P3442/C$110,0)</f>
        <v>0</v>
      </c>
    </row>
    <row r="3443" spans="1:17" x14ac:dyDescent="0.2">
      <c r="A3443" s="10"/>
      <c r="B3443" s="26"/>
      <c r="C3443" s="11">
        <v>2006</v>
      </c>
      <c r="D3443" s="32">
        <f>SPFI_CLB14!$D$29</f>
        <v>0.381023</v>
      </c>
      <c r="E3443" s="32"/>
      <c r="F3443" s="32"/>
      <c r="G3443" s="32"/>
      <c r="H3443" s="32"/>
      <c r="I3443" s="32"/>
      <c r="J3443" s="28">
        <f t="shared" ref="J3443" si="3087">D3443*J$110</f>
        <v>0</v>
      </c>
      <c r="K3443" s="29"/>
      <c r="L3443" s="29"/>
      <c r="M3443" s="29"/>
      <c r="N3443" s="29"/>
      <c r="O3443" s="29"/>
      <c r="P3443" s="30">
        <f t="shared" ref="P3443:P3450" si="3088">SUM(J3443:O3443)</f>
        <v>0</v>
      </c>
      <c r="Q3443" s="31">
        <f t="shared" si="3086"/>
        <v>0</v>
      </c>
    </row>
    <row r="3444" spans="1:17" x14ac:dyDescent="0.2">
      <c r="A3444" s="10"/>
      <c r="B3444" s="26"/>
      <c r="C3444" s="11">
        <v>2007</v>
      </c>
      <c r="D3444" s="32">
        <f>SPFI_CLB14!$D$30</f>
        <v>0.356512</v>
      </c>
      <c r="E3444" s="32"/>
      <c r="F3444" s="32"/>
      <c r="G3444" s="32"/>
      <c r="H3444" s="32"/>
      <c r="I3444" s="32"/>
      <c r="J3444" s="28">
        <f t="shared" ref="J3444" si="3089">D3444*J$110</f>
        <v>0</v>
      </c>
      <c r="K3444" s="29"/>
      <c r="L3444" s="29"/>
      <c r="M3444" s="29"/>
      <c r="N3444" s="29"/>
      <c r="O3444" s="29"/>
      <c r="P3444" s="30">
        <f t="shared" si="3088"/>
        <v>0</v>
      </c>
      <c r="Q3444" s="31">
        <f t="shared" si="3086"/>
        <v>0</v>
      </c>
    </row>
    <row r="3445" spans="1:17" x14ac:dyDescent="0.2">
      <c r="A3445" s="10"/>
      <c r="B3445" s="26"/>
      <c r="C3445" s="11">
        <v>2008</v>
      </c>
      <c r="D3445" s="32">
        <f>SPFI_CLB14!$D$31</f>
        <v>0.25494499999999998</v>
      </c>
      <c r="E3445" s="32"/>
      <c r="F3445" s="32"/>
      <c r="G3445" s="32"/>
      <c r="H3445" s="32"/>
      <c r="I3445" s="32"/>
      <c r="J3445" s="28">
        <f t="shared" ref="J3445" si="3090">D3445*J$110</f>
        <v>0</v>
      </c>
      <c r="K3445" s="29"/>
      <c r="L3445" s="29"/>
      <c r="M3445" s="29"/>
      <c r="N3445" s="29"/>
      <c r="O3445" s="29"/>
      <c r="P3445" s="30">
        <f t="shared" si="3088"/>
        <v>0</v>
      </c>
      <c r="Q3445" s="31">
        <f t="shared" si="3086"/>
        <v>0</v>
      </c>
    </row>
    <row r="3446" spans="1:17" x14ac:dyDescent="0.2">
      <c r="A3446" s="10"/>
      <c r="B3446" s="26"/>
      <c r="C3446" s="11">
        <v>2009</v>
      </c>
      <c r="D3446" s="32">
        <f>SPFI_CLB14!$D$32</f>
        <v>0.52383000000000002</v>
      </c>
      <c r="E3446" s="32"/>
      <c r="F3446" s="32"/>
      <c r="G3446" s="32"/>
      <c r="H3446" s="32"/>
      <c r="I3446" s="32"/>
      <c r="J3446" s="28">
        <f t="shared" ref="J3446" si="3091">D3446*J$110</f>
        <v>0</v>
      </c>
      <c r="K3446" s="29"/>
      <c r="L3446" s="29"/>
      <c r="M3446" s="29"/>
      <c r="N3446" s="29"/>
      <c r="O3446" s="29"/>
      <c r="P3446" s="30">
        <f t="shared" si="3088"/>
        <v>0</v>
      </c>
      <c r="Q3446" s="31">
        <f t="shared" si="3086"/>
        <v>0</v>
      </c>
    </row>
    <row r="3447" spans="1:17" x14ac:dyDescent="0.2">
      <c r="A3447" s="10"/>
      <c r="B3447" s="26"/>
      <c r="C3447" s="11">
        <v>2010</v>
      </c>
      <c r="D3447" s="32">
        <f>SPFI_CLB14!$D$33</f>
        <v>0.31394</v>
      </c>
      <c r="E3447" s="32"/>
      <c r="F3447" s="32"/>
      <c r="G3447" s="32"/>
      <c r="H3447" s="32"/>
      <c r="I3447" s="32"/>
      <c r="J3447" s="28">
        <f t="shared" ref="J3447" si="3092">D3447*J$110</f>
        <v>0</v>
      </c>
      <c r="K3447" s="29"/>
      <c r="L3447" s="29"/>
      <c r="M3447" s="29"/>
      <c r="N3447" s="29"/>
      <c r="O3447" s="29"/>
      <c r="P3447" s="30">
        <f t="shared" si="3088"/>
        <v>0</v>
      </c>
      <c r="Q3447" s="31">
        <f t="shared" si="3086"/>
        <v>0</v>
      </c>
    </row>
    <row r="3448" spans="1:17" x14ac:dyDescent="0.2">
      <c r="A3448" s="10"/>
      <c r="B3448" s="26"/>
      <c r="C3448" s="11">
        <v>2011</v>
      </c>
      <c r="D3448" s="32">
        <f>SPFI_CLB14!$D$34</f>
        <v>0.294348</v>
      </c>
      <c r="E3448" s="32"/>
      <c r="F3448" s="32"/>
      <c r="G3448" s="32"/>
      <c r="H3448" s="32"/>
      <c r="I3448" s="32"/>
      <c r="J3448" s="28">
        <f t="shared" ref="J3448" si="3093">D3448*J$110</f>
        <v>0</v>
      </c>
      <c r="K3448" s="29"/>
      <c r="L3448" s="29"/>
      <c r="M3448" s="29"/>
      <c r="N3448" s="29"/>
      <c r="O3448" s="29"/>
      <c r="P3448" s="30">
        <f t="shared" ref="P3448" si="3094">SUM(J3448:O3448)</f>
        <v>0</v>
      </c>
      <c r="Q3448" s="31">
        <f t="shared" ref="Q3448" si="3095">IF(C$110&gt;0,P3448/C$110,0)</f>
        <v>0</v>
      </c>
    </row>
    <row r="3449" spans="1:17" x14ac:dyDescent="0.2">
      <c r="A3449" s="10"/>
      <c r="B3449" s="26"/>
      <c r="C3449" s="11">
        <v>2012</v>
      </c>
      <c r="D3449" s="32">
        <f>SPFI_CLB14!$D$35</f>
        <v>0.34784100000000001</v>
      </c>
      <c r="E3449" s="32"/>
      <c r="F3449" s="32"/>
      <c r="G3449" s="32"/>
      <c r="H3449" s="32"/>
      <c r="I3449" s="32"/>
      <c r="J3449" s="28">
        <f t="shared" ref="J3449" si="3096">D3449*J$110</f>
        <v>0</v>
      </c>
      <c r="K3449" s="29"/>
      <c r="L3449" s="29"/>
      <c r="M3449" s="29"/>
      <c r="N3449" s="29"/>
      <c r="O3449" s="29"/>
      <c r="P3449" s="30">
        <f t="shared" ref="P3449" si="3097">SUM(J3449:O3449)</f>
        <v>0</v>
      </c>
      <c r="Q3449" s="31">
        <f t="shared" ref="Q3449" si="3098">IF(C$110&gt;0,P3449/C$110,0)</f>
        <v>0</v>
      </c>
    </row>
    <row r="3450" spans="1:17" x14ac:dyDescent="0.2">
      <c r="A3450" s="5" t="s">
        <v>32</v>
      </c>
      <c r="B3450" s="21">
        <v>5</v>
      </c>
      <c r="C3450" s="6">
        <v>1982</v>
      </c>
      <c r="D3450" s="27">
        <f>SPFI_CLB14!$D$5</f>
        <v>0.98153299999999999</v>
      </c>
      <c r="E3450" s="27"/>
      <c r="F3450" s="27"/>
      <c r="G3450" s="27"/>
      <c r="H3450" s="27"/>
      <c r="I3450" s="27"/>
      <c r="J3450" s="33">
        <f t="shared" ref="J3450:J3462" si="3099">D3450*J$111</f>
        <v>0</v>
      </c>
      <c r="K3450" s="27"/>
      <c r="L3450" s="27"/>
      <c r="M3450" s="27"/>
      <c r="N3450" s="27"/>
      <c r="O3450" s="27"/>
      <c r="P3450" s="34">
        <f t="shared" si="3088"/>
        <v>0</v>
      </c>
      <c r="Q3450" s="35">
        <f t="shared" ref="Q3450:Q3466" si="3100">IF(C$111&gt;0,P3450/C$111,0)</f>
        <v>0</v>
      </c>
    </row>
    <row r="3451" spans="1:17" x14ac:dyDescent="0.2">
      <c r="A3451" s="10"/>
      <c r="B3451" s="26"/>
      <c r="C3451" s="11">
        <v>1983</v>
      </c>
      <c r="D3451" s="32">
        <f>SPFI_CLB14!$D$6</f>
        <v>0.93659899999999996</v>
      </c>
      <c r="E3451" s="32"/>
      <c r="F3451" s="32"/>
      <c r="G3451" s="32"/>
      <c r="H3451" s="32"/>
      <c r="I3451" s="32"/>
      <c r="J3451" s="28">
        <f t="shared" si="3099"/>
        <v>0</v>
      </c>
      <c r="K3451" s="29"/>
      <c r="L3451" s="29"/>
      <c r="M3451" s="29"/>
      <c r="N3451" s="29"/>
      <c r="O3451" s="29"/>
      <c r="P3451" s="30">
        <f t="shared" ref="P3451:P3462" si="3101">SUM(J3451:O3451)</f>
        <v>0</v>
      </c>
      <c r="Q3451" s="31">
        <f t="shared" si="3100"/>
        <v>0</v>
      </c>
    </row>
    <row r="3452" spans="1:17" x14ac:dyDescent="0.2">
      <c r="A3452" s="10"/>
      <c r="B3452" s="26"/>
      <c r="C3452" s="11">
        <v>1984</v>
      </c>
      <c r="D3452" s="32">
        <f>SPFI_CLB14!$D$7</f>
        <v>0.92793599999999998</v>
      </c>
      <c r="E3452" s="32"/>
      <c r="F3452" s="32"/>
      <c r="G3452" s="32"/>
      <c r="H3452" s="32"/>
      <c r="I3452" s="32"/>
      <c r="J3452" s="28">
        <f t="shared" si="3099"/>
        <v>0</v>
      </c>
      <c r="K3452" s="29"/>
      <c r="L3452" s="29"/>
      <c r="M3452" s="29"/>
      <c r="N3452" s="29"/>
      <c r="O3452" s="29"/>
      <c r="P3452" s="30">
        <f t="shared" si="3101"/>
        <v>0</v>
      </c>
      <c r="Q3452" s="31">
        <f t="shared" si="3100"/>
        <v>0</v>
      </c>
    </row>
    <row r="3453" spans="1:17" x14ac:dyDescent="0.2">
      <c r="A3453" s="10"/>
      <c r="B3453" s="26"/>
      <c r="C3453" s="11">
        <v>1985</v>
      </c>
      <c r="D3453" s="32">
        <f>SPFI_CLB14!$D$8</f>
        <v>0.90386500000000003</v>
      </c>
      <c r="E3453" s="32"/>
      <c r="F3453" s="32"/>
      <c r="G3453" s="32"/>
      <c r="H3453" s="32"/>
      <c r="I3453" s="32"/>
      <c r="J3453" s="28">
        <f t="shared" si="3099"/>
        <v>0</v>
      </c>
      <c r="K3453" s="29"/>
      <c r="L3453" s="29"/>
      <c r="M3453" s="29"/>
      <c r="N3453" s="29"/>
      <c r="O3453" s="29"/>
      <c r="P3453" s="30">
        <f t="shared" si="3101"/>
        <v>0</v>
      </c>
      <c r="Q3453" s="31">
        <f t="shared" si="3100"/>
        <v>0</v>
      </c>
    </row>
    <row r="3454" spans="1:17" x14ac:dyDescent="0.2">
      <c r="A3454" s="10"/>
      <c r="B3454" s="26"/>
      <c r="C3454" s="11">
        <v>1986</v>
      </c>
      <c r="D3454" s="32">
        <f>SPFI_CLB14!$D$9</f>
        <v>0.73087500000000005</v>
      </c>
      <c r="E3454" s="32"/>
      <c r="F3454" s="32"/>
      <c r="G3454" s="32"/>
      <c r="H3454" s="32"/>
      <c r="I3454" s="32"/>
      <c r="J3454" s="28">
        <f t="shared" si="3099"/>
        <v>0</v>
      </c>
      <c r="K3454" s="29"/>
      <c r="L3454" s="29"/>
      <c r="M3454" s="29"/>
      <c r="N3454" s="29"/>
      <c r="O3454" s="29"/>
      <c r="P3454" s="30">
        <f t="shared" si="3101"/>
        <v>0</v>
      </c>
      <c r="Q3454" s="31">
        <f t="shared" si="3100"/>
        <v>0</v>
      </c>
    </row>
    <row r="3455" spans="1:17" x14ac:dyDescent="0.2">
      <c r="A3455" s="10"/>
      <c r="B3455" s="26"/>
      <c r="C3455" s="11">
        <v>1987</v>
      </c>
      <c r="D3455" s="32">
        <f>SPFI_CLB14!$D$10</f>
        <v>0.71733499999999994</v>
      </c>
      <c r="E3455" s="32"/>
      <c r="F3455" s="32"/>
      <c r="G3455" s="32"/>
      <c r="H3455" s="32"/>
      <c r="I3455" s="32"/>
      <c r="J3455" s="28">
        <f t="shared" si="3099"/>
        <v>0</v>
      </c>
      <c r="K3455" s="29"/>
      <c r="L3455" s="29"/>
      <c r="M3455" s="29"/>
      <c r="N3455" s="29"/>
      <c r="O3455" s="29"/>
      <c r="P3455" s="30">
        <f t="shared" si="3101"/>
        <v>0</v>
      </c>
      <c r="Q3455" s="31">
        <f t="shared" si="3100"/>
        <v>0</v>
      </c>
    </row>
    <row r="3456" spans="1:17" x14ac:dyDescent="0.2">
      <c r="A3456" s="10"/>
      <c r="B3456" s="26"/>
      <c r="C3456" s="11">
        <v>1988</v>
      </c>
      <c r="D3456" s="32">
        <f>SPFI_CLB14!$D$11</f>
        <v>0.64558800000000005</v>
      </c>
      <c r="E3456" s="32"/>
      <c r="F3456" s="32"/>
      <c r="G3456" s="32"/>
      <c r="H3456" s="32"/>
      <c r="I3456" s="32"/>
      <c r="J3456" s="28">
        <f t="shared" si="3099"/>
        <v>0</v>
      </c>
      <c r="K3456" s="29"/>
      <c r="L3456" s="29"/>
      <c r="M3456" s="29"/>
      <c r="N3456" s="29"/>
      <c r="O3456" s="29"/>
      <c r="P3456" s="30">
        <f t="shared" si="3101"/>
        <v>0</v>
      </c>
      <c r="Q3456" s="31">
        <f t="shared" si="3100"/>
        <v>0</v>
      </c>
    </row>
    <row r="3457" spans="1:17" x14ac:dyDescent="0.2">
      <c r="A3457" s="10"/>
      <c r="B3457" s="26"/>
      <c r="C3457" s="11">
        <v>1989</v>
      </c>
      <c r="D3457" s="32">
        <f>SPFI_CLB14!$D$12</f>
        <v>0.65287700000000004</v>
      </c>
      <c r="E3457" s="32"/>
      <c r="F3457" s="32"/>
      <c r="G3457" s="32"/>
      <c r="H3457" s="32"/>
      <c r="I3457" s="32"/>
      <c r="J3457" s="28">
        <f t="shared" si="3099"/>
        <v>0</v>
      </c>
      <c r="K3457" s="29"/>
      <c r="L3457" s="29"/>
      <c r="M3457" s="29"/>
      <c r="N3457" s="29"/>
      <c r="O3457" s="29"/>
      <c r="P3457" s="30">
        <f t="shared" si="3101"/>
        <v>0</v>
      </c>
      <c r="Q3457" s="31">
        <f t="shared" si="3100"/>
        <v>0</v>
      </c>
    </row>
    <row r="3458" spans="1:17" x14ac:dyDescent="0.2">
      <c r="A3458" s="10"/>
      <c r="B3458" s="26"/>
      <c r="C3458" s="11">
        <v>1990</v>
      </c>
      <c r="D3458" s="32">
        <f>SPFI_CLB14!$D$13</f>
        <v>0.56965100000000002</v>
      </c>
      <c r="E3458" s="32"/>
      <c r="F3458" s="32"/>
      <c r="G3458" s="32"/>
      <c r="H3458" s="32"/>
      <c r="I3458" s="32"/>
      <c r="J3458" s="28">
        <f t="shared" si="3099"/>
        <v>0</v>
      </c>
      <c r="K3458" s="29"/>
      <c r="L3458" s="29"/>
      <c r="M3458" s="29"/>
      <c r="N3458" s="29"/>
      <c r="O3458" s="29"/>
      <c r="P3458" s="30">
        <f t="shared" si="3101"/>
        <v>0</v>
      </c>
      <c r="Q3458" s="31">
        <f t="shared" si="3100"/>
        <v>0</v>
      </c>
    </row>
    <row r="3459" spans="1:17" x14ac:dyDescent="0.2">
      <c r="A3459" s="10"/>
      <c r="B3459" s="26"/>
      <c r="C3459" s="11">
        <v>1991</v>
      </c>
      <c r="D3459" s="32">
        <f>SPFI_CLB14!$D$14</f>
        <v>0.62776900000000002</v>
      </c>
      <c r="E3459" s="32"/>
      <c r="F3459" s="32"/>
      <c r="G3459" s="32"/>
      <c r="H3459" s="32"/>
      <c r="I3459" s="32"/>
      <c r="J3459" s="28">
        <f t="shared" si="3099"/>
        <v>0</v>
      </c>
      <c r="K3459" s="29"/>
      <c r="L3459" s="29"/>
      <c r="M3459" s="29"/>
      <c r="N3459" s="29"/>
      <c r="O3459" s="29"/>
      <c r="P3459" s="30">
        <f t="shared" si="3101"/>
        <v>0</v>
      </c>
      <c r="Q3459" s="31">
        <f t="shared" si="3100"/>
        <v>0</v>
      </c>
    </row>
    <row r="3460" spans="1:17" x14ac:dyDescent="0.2">
      <c r="A3460" s="10"/>
      <c r="B3460" s="26"/>
      <c r="C3460" s="11">
        <v>1992</v>
      </c>
      <c r="D3460" s="32">
        <f>SPFI_CLB14!$D$15</f>
        <v>0.43504100000000001</v>
      </c>
      <c r="E3460" s="32"/>
      <c r="F3460" s="32"/>
      <c r="G3460" s="32"/>
      <c r="H3460" s="32"/>
      <c r="I3460" s="32"/>
      <c r="J3460" s="28">
        <f t="shared" si="3099"/>
        <v>0</v>
      </c>
      <c r="K3460" s="29"/>
      <c r="L3460" s="29"/>
      <c r="M3460" s="29"/>
      <c r="N3460" s="29"/>
      <c r="O3460" s="29"/>
      <c r="P3460" s="30">
        <f t="shared" si="3101"/>
        <v>0</v>
      </c>
      <c r="Q3460" s="31">
        <f t="shared" si="3100"/>
        <v>0</v>
      </c>
    </row>
    <row r="3461" spans="1:17" x14ac:dyDescent="0.2">
      <c r="A3461" s="10"/>
      <c r="B3461" s="26"/>
      <c r="C3461" s="11">
        <v>1993</v>
      </c>
      <c r="D3461" s="32">
        <f>SPFI_CLB14!$D$16</f>
        <v>0.499164</v>
      </c>
      <c r="E3461" s="32"/>
      <c r="F3461" s="32"/>
      <c r="G3461" s="32"/>
      <c r="H3461" s="32"/>
      <c r="I3461" s="32"/>
      <c r="J3461" s="28">
        <f t="shared" si="3099"/>
        <v>0</v>
      </c>
      <c r="K3461" s="29"/>
      <c r="L3461" s="29"/>
      <c r="M3461" s="29"/>
      <c r="N3461" s="29"/>
      <c r="O3461" s="29"/>
      <c r="P3461" s="30">
        <f t="shared" si="3101"/>
        <v>0</v>
      </c>
      <c r="Q3461" s="31">
        <f t="shared" si="3100"/>
        <v>0</v>
      </c>
    </row>
    <row r="3462" spans="1:17" x14ac:dyDescent="0.2">
      <c r="A3462" s="10"/>
      <c r="B3462" s="26" t="s">
        <v>48</v>
      </c>
      <c r="C3462" s="11">
        <v>1994</v>
      </c>
      <c r="D3462" s="32">
        <f>SPFI_CLB14!$D$17</f>
        <v>0.59591300000000003</v>
      </c>
      <c r="E3462" s="32"/>
      <c r="F3462" s="32"/>
      <c r="G3462" s="32"/>
      <c r="H3462" s="32"/>
      <c r="I3462" s="32"/>
      <c r="J3462" s="28">
        <f t="shared" si="3099"/>
        <v>0</v>
      </c>
      <c r="K3462" s="29"/>
      <c r="L3462" s="29"/>
      <c r="M3462" s="29"/>
      <c r="N3462" s="29"/>
      <c r="O3462" s="29"/>
      <c r="P3462" s="30">
        <f t="shared" si="3101"/>
        <v>0</v>
      </c>
      <c r="Q3462" s="31">
        <f t="shared" si="3100"/>
        <v>0</v>
      </c>
    </row>
    <row r="3463" spans="1:17" x14ac:dyDescent="0.2">
      <c r="A3463" s="10"/>
      <c r="B3463" s="26"/>
      <c r="C3463" s="11">
        <v>1995</v>
      </c>
      <c r="D3463" s="32">
        <f>SPFI_CLB14!$D$18</f>
        <v>0.25400800000000001</v>
      </c>
      <c r="E3463" s="32"/>
      <c r="F3463" s="32"/>
      <c r="G3463" s="32"/>
      <c r="H3463" s="32"/>
      <c r="I3463" s="32"/>
      <c r="J3463" s="28">
        <f t="shared" ref="J3463" si="3102">D3463*J$111</f>
        <v>0</v>
      </c>
      <c r="K3463" s="29"/>
      <c r="L3463" s="29"/>
      <c r="M3463" s="29"/>
      <c r="N3463" s="29"/>
      <c r="O3463" s="29"/>
      <c r="P3463" s="30">
        <f>SUM(J3463:O3463)</f>
        <v>0</v>
      </c>
      <c r="Q3463" s="31">
        <f t="shared" si="3100"/>
        <v>0</v>
      </c>
    </row>
    <row r="3464" spans="1:17" x14ac:dyDescent="0.2">
      <c r="A3464" s="10"/>
      <c r="B3464" s="26"/>
      <c r="C3464" s="11">
        <v>1996</v>
      </c>
      <c r="D3464" s="32">
        <f>SPFI_CLB14!$D$19</f>
        <v>0</v>
      </c>
      <c r="E3464" s="32"/>
      <c r="F3464" s="32"/>
      <c r="G3464" s="32"/>
      <c r="H3464" s="32"/>
      <c r="I3464" s="32"/>
      <c r="J3464" s="28">
        <f t="shared" ref="J3464" si="3103">D3464*J$111</f>
        <v>0</v>
      </c>
      <c r="K3464" s="29"/>
      <c r="L3464" s="29"/>
      <c r="M3464" s="29"/>
      <c r="N3464" s="29"/>
      <c r="O3464" s="29"/>
      <c r="P3464" s="30">
        <f>SUM(J3464:O3464)</f>
        <v>0</v>
      </c>
      <c r="Q3464" s="31">
        <f t="shared" si="3100"/>
        <v>0</v>
      </c>
    </row>
    <row r="3465" spans="1:17" x14ac:dyDescent="0.2">
      <c r="A3465" s="10"/>
      <c r="B3465" s="26"/>
      <c r="C3465" s="11">
        <v>1997</v>
      </c>
      <c r="D3465" s="32">
        <f>SPFI_CLB14!$D$20</f>
        <v>0.201487</v>
      </c>
      <c r="E3465" s="32"/>
      <c r="F3465" s="32"/>
      <c r="G3465" s="32"/>
      <c r="H3465" s="32"/>
      <c r="I3465" s="32"/>
      <c r="J3465" s="28">
        <f t="shared" ref="J3465" si="3104">D3465*J$111</f>
        <v>0</v>
      </c>
      <c r="K3465" s="29"/>
      <c r="L3465" s="29"/>
      <c r="M3465" s="29"/>
      <c r="N3465" s="29"/>
      <c r="O3465" s="29"/>
      <c r="P3465" s="30">
        <f>SUM(J3465:O3465)</f>
        <v>0</v>
      </c>
      <c r="Q3465" s="31">
        <f t="shared" si="3100"/>
        <v>0</v>
      </c>
    </row>
    <row r="3466" spans="1:17" x14ac:dyDescent="0.2">
      <c r="A3466" s="10"/>
      <c r="B3466" s="26"/>
      <c r="C3466" s="11">
        <v>1998</v>
      </c>
      <c r="D3466" s="32">
        <f>SPFI_CLB14!$D$21</f>
        <v>0.37506400000000001</v>
      </c>
      <c r="E3466" s="32"/>
      <c r="F3466" s="32"/>
      <c r="G3466" s="32"/>
      <c r="H3466" s="32"/>
      <c r="I3466" s="32"/>
      <c r="J3466" s="28">
        <f t="shared" ref="J3466" si="3105">D3466*J$111</f>
        <v>0</v>
      </c>
      <c r="K3466" s="29"/>
      <c r="L3466" s="29"/>
      <c r="M3466" s="29"/>
      <c r="N3466" s="29"/>
      <c r="O3466" s="29"/>
      <c r="P3466" s="30">
        <f>SUM(J3466:O3466)</f>
        <v>0</v>
      </c>
      <c r="Q3466" s="31">
        <f t="shared" si="3100"/>
        <v>0</v>
      </c>
    </row>
    <row r="3467" spans="1:17" x14ac:dyDescent="0.2">
      <c r="A3467" s="10"/>
      <c r="B3467" s="26"/>
      <c r="C3467" s="11">
        <v>1999</v>
      </c>
      <c r="D3467" s="32">
        <f>SPFI_CLB14!$D$22</f>
        <v>0.29823699999999997</v>
      </c>
      <c r="E3467" s="32"/>
      <c r="F3467" s="32"/>
      <c r="G3467" s="32"/>
      <c r="H3467" s="32"/>
      <c r="I3467" s="32"/>
      <c r="J3467" s="28">
        <f t="shared" ref="J3467" si="3106">D3467*J$111</f>
        <v>0</v>
      </c>
      <c r="K3467" s="29"/>
      <c r="L3467" s="29"/>
      <c r="M3467" s="29"/>
      <c r="N3467" s="29"/>
      <c r="O3467" s="29"/>
      <c r="P3467" s="30">
        <f>SUM(J3467:O3467)</f>
        <v>0</v>
      </c>
      <c r="Q3467" s="31">
        <f t="shared" ref="Q3467:Q3472" si="3107">IF(C$111&gt;0,P3467/C$111,0)</f>
        <v>0</v>
      </c>
    </row>
    <row r="3468" spans="1:17" x14ac:dyDescent="0.2">
      <c r="A3468" s="10"/>
      <c r="B3468" s="26"/>
      <c r="C3468" s="11">
        <v>2000</v>
      </c>
      <c r="D3468" s="32">
        <f>SPFI_CLB14!$D$23</f>
        <v>8.4414000000000003E-2</v>
      </c>
      <c r="E3468" s="32"/>
      <c r="F3468" s="32"/>
      <c r="G3468" s="32"/>
      <c r="H3468" s="32"/>
      <c r="I3468" s="32"/>
      <c r="J3468" s="28">
        <f t="shared" ref="J3468" si="3108">D3468*J$111</f>
        <v>0</v>
      </c>
      <c r="K3468" s="29"/>
      <c r="L3468" s="29"/>
      <c r="M3468" s="29"/>
      <c r="N3468" s="29"/>
      <c r="O3468" s="29"/>
      <c r="P3468" s="30">
        <f t="shared" ref="P3468:P3473" si="3109">SUM(J3468:O3468)</f>
        <v>0</v>
      </c>
      <c r="Q3468" s="31">
        <f t="shared" si="3107"/>
        <v>0</v>
      </c>
    </row>
    <row r="3469" spans="1:17" x14ac:dyDescent="0.2">
      <c r="A3469" s="10"/>
      <c r="B3469" s="26"/>
      <c r="C3469" s="11">
        <v>2001</v>
      </c>
      <c r="D3469" s="32">
        <f>SPFI_CLB14!$D$24</f>
        <v>7.8909000000000007E-2</v>
      </c>
      <c r="E3469" s="32"/>
      <c r="F3469" s="32"/>
      <c r="G3469" s="32"/>
      <c r="H3469" s="32"/>
      <c r="I3469" s="32"/>
      <c r="J3469" s="28">
        <f t="shared" ref="J3469" si="3110">D3469*J$111</f>
        <v>0</v>
      </c>
      <c r="K3469" s="29"/>
      <c r="L3469" s="29"/>
      <c r="M3469" s="29"/>
      <c r="N3469" s="29"/>
      <c r="O3469" s="29"/>
      <c r="P3469" s="30">
        <f t="shared" si="3109"/>
        <v>0</v>
      </c>
      <c r="Q3469" s="31">
        <f t="shared" si="3107"/>
        <v>0</v>
      </c>
    </row>
    <row r="3470" spans="1:17" x14ac:dyDescent="0.2">
      <c r="A3470" s="10"/>
      <c r="B3470" s="26"/>
      <c r="C3470" s="11">
        <v>2002</v>
      </c>
      <c r="D3470" s="32">
        <f>SPFI_CLB14!$D$25</f>
        <v>0.29974699999999999</v>
      </c>
      <c r="E3470" s="32"/>
      <c r="F3470" s="32"/>
      <c r="G3470" s="32"/>
      <c r="H3470" s="32"/>
      <c r="I3470" s="32"/>
      <c r="J3470" s="28">
        <f t="shared" ref="J3470" si="3111">D3470*J$111</f>
        <v>0</v>
      </c>
      <c r="K3470" s="29"/>
      <c r="L3470" s="29"/>
      <c r="M3470" s="29"/>
      <c r="N3470" s="29"/>
      <c r="O3470" s="29"/>
      <c r="P3470" s="30">
        <f t="shared" si="3109"/>
        <v>0</v>
      </c>
      <c r="Q3470" s="31">
        <f t="shared" si="3107"/>
        <v>0</v>
      </c>
    </row>
    <row r="3471" spans="1:17" x14ac:dyDescent="0.2">
      <c r="A3471" s="10"/>
      <c r="B3471" s="26"/>
      <c r="C3471" s="11">
        <v>2003</v>
      </c>
      <c r="D3471" s="32">
        <f>SPFI_CLB14!$D$26</f>
        <v>0.20691100000000001</v>
      </c>
      <c r="E3471" s="32"/>
      <c r="F3471" s="32"/>
      <c r="G3471" s="32"/>
      <c r="H3471" s="32"/>
      <c r="I3471" s="32"/>
      <c r="J3471" s="28">
        <f t="shared" ref="J3471" si="3112">D3471*J$111</f>
        <v>0</v>
      </c>
      <c r="K3471" s="29"/>
      <c r="L3471" s="29"/>
      <c r="M3471" s="29"/>
      <c r="N3471" s="29"/>
      <c r="O3471" s="29"/>
      <c r="P3471" s="30">
        <f t="shared" si="3109"/>
        <v>0</v>
      </c>
      <c r="Q3471" s="31">
        <f t="shared" si="3107"/>
        <v>0</v>
      </c>
    </row>
    <row r="3472" spans="1:17" x14ac:dyDescent="0.2">
      <c r="A3472" s="10"/>
      <c r="B3472" s="26"/>
      <c r="C3472" s="11">
        <v>2004</v>
      </c>
      <c r="D3472" s="32">
        <f>SPFI_CLB14!$D$27</f>
        <v>0.269237</v>
      </c>
      <c r="E3472" s="32"/>
      <c r="F3472" s="32"/>
      <c r="G3472" s="32"/>
      <c r="H3472" s="32"/>
      <c r="I3472" s="32"/>
      <c r="J3472" s="28">
        <f t="shared" ref="J3472" si="3113">D3472*J$111</f>
        <v>0</v>
      </c>
      <c r="K3472" s="29"/>
      <c r="L3472" s="29"/>
      <c r="M3472" s="29"/>
      <c r="N3472" s="29"/>
      <c r="O3472" s="29"/>
      <c r="P3472" s="30">
        <f t="shared" si="3109"/>
        <v>0</v>
      </c>
      <c r="Q3472" s="31">
        <f t="shared" si="3107"/>
        <v>0</v>
      </c>
    </row>
    <row r="3473" spans="1:17" x14ac:dyDescent="0.2">
      <c r="A3473" s="10"/>
      <c r="B3473" s="26"/>
      <c r="C3473" s="11">
        <v>2005</v>
      </c>
      <c r="D3473" s="32">
        <f>SPFI_CLB14!$D$28</f>
        <v>0.37848700000000002</v>
      </c>
      <c r="E3473" s="32"/>
      <c r="F3473" s="32"/>
      <c r="G3473" s="32"/>
      <c r="H3473" s="32"/>
      <c r="I3473" s="32"/>
      <c r="J3473" s="28">
        <f t="shared" ref="J3473" si="3114">D3473*J$111</f>
        <v>0</v>
      </c>
      <c r="K3473" s="29"/>
      <c r="L3473" s="29"/>
      <c r="M3473" s="29"/>
      <c r="N3473" s="29"/>
      <c r="O3473" s="29"/>
      <c r="P3473" s="30">
        <f t="shared" si="3109"/>
        <v>0</v>
      </c>
      <c r="Q3473" s="31">
        <f t="shared" ref="Q3473:Q3478" si="3115">IF(C$111&gt;0,P3473/C$111,0)</f>
        <v>0</v>
      </c>
    </row>
    <row r="3474" spans="1:17" x14ac:dyDescent="0.2">
      <c r="A3474" s="10"/>
      <c r="B3474" s="26"/>
      <c r="C3474" s="11">
        <v>2006</v>
      </c>
      <c r="D3474" s="32">
        <f>SPFI_CLB14!$D$29</f>
        <v>0.381023</v>
      </c>
      <c r="E3474" s="32"/>
      <c r="F3474" s="32"/>
      <c r="G3474" s="32"/>
      <c r="H3474" s="32"/>
      <c r="I3474" s="32"/>
      <c r="J3474" s="28">
        <f t="shared" ref="J3474" si="3116">D3474*J$111</f>
        <v>0</v>
      </c>
      <c r="K3474" s="29"/>
      <c r="L3474" s="29"/>
      <c r="M3474" s="29"/>
      <c r="N3474" s="29"/>
      <c r="O3474" s="29"/>
      <c r="P3474" s="30">
        <f t="shared" ref="P3474:P3481" si="3117">SUM(J3474:O3474)</f>
        <v>0</v>
      </c>
      <c r="Q3474" s="31">
        <f t="shared" si="3115"/>
        <v>0</v>
      </c>
    </row>
    <row r="3475" spans="1:17" x14ac:dyDescent="0.2">
      <c r="A3475" s="10"/>
      <c r="B3475" s="26"/>
      <c r="C3475" s="11">
        <v>2007</v>
      </c>
      <c r="D3475" s="32">
        <f>SPFI_CLB14!$D$30</f>
        <v>0.356512</v>
      </c>
      <c r="E3475" s="32"/>
      <c r="F3475" s="32"/>
      <c r="G3475" s="32"/>
      <c r="H3475" s="32"/>
      <c r="I3475" s="32"/>
      <c r="J3475" s="28">
        <f t="shared" ref="J3475" si="3118">D3475*J$111</f>
        <v>0</v>
      </c>
      <c r="K3475" s="29"/>
      <c r="L3475" s="29"/>
      <c r="M3475" s="29"/>
      <c r="N3475" s="29"/>
      <c r="O3475" s="29"/>
      <c r="P3475" s="30">
        <f t="shared" si="3117"/>
        <v>0</v>
      </c>
      <c r="Q3475" s="31">
        <f t="shared" si="3115"/>
        <v>0</v>
      </c>
    </row>
    <row r="3476" spans="1:17" x14ac:dyDescent="0.2">
      <c r="A3476" s="10"/>
      <c r="B3476" s="26"/>
      <c r="C3476" s="11">
        <v>2008</v>
      </c>
      <c r="D3476" s="32">
        <f>SPFI_CLB14!$D$31</f>
        <v>0.25494499999999998</v>
      </c>
      <c r="E3476" s="32"/>
      <c r="F3476" s="32"/>
      <c r="G3476" s="32"/>
      <c r="H3476" s="32"/>
      <c r="I3476" s="32"/>
      <c r="J3476" s="28">
        <f t="shared" ref="J3476" si="3119">D3476*J$111</f>
        <v>0</v>
      </c>
      <c r="K3476" s="29"/>
      <c r="L3476" s="29"/>
      <c r="M3476" s="29"/>
      <c r="N3476" s="29"/>
      <c r="O3476" s="29"/>
      <c r="P3476" s="30">
        <f t="shared" si="3117"/>
        <v>0</v>
      </c>
      <c r="Q3476" s="31">
        <f t="shared" si="3115"/>
        <v>0</v>
      </c>
    </row>
    <row r="3477" spans="1:17" x14ac:dyDescent="0.2">
      <c r="A3477" s="10"/>
      <c r="B3477" s="26"/>
      <c r="C3477" s="11">
        <v>2009</v>
      </c>
      <c r="D3477" s="32">
        <f>SPFI_CLB14!$D$32</f>
        <v>0.52383000000000002</v>
      </c>
      <c r="E3477" s="32"/>
      <c r="F3477" s="32"/>
      <c r="G3477" s="32"/>
      <c r="H3477" s="32"/>
      <c r="I3477" s="32"/>
      <c r="J3477" s="28">
        <f t="shared" ref="J3477" si="3120">D3477*J$111</f>
        <v>0</v>
      </c>
      <c r="K3477" s="29"/>
      <c r="L3477" s="29"/>
      <c r="M3477" s="29"/>
      <c r="N3477" s="29"/>
      <c r="O3477" s="29"/>
      <c r="P3477" s="30">
        <f t="shared" si="3117"/>
        <v>0</v>
      </c>
      <c r="Q3477" s="31">
        <f t="shared" si="3115"/>
        <v>0</v>
      </c>
    </row>
    <row r="3478" spans="1:17" x14ac:dyDescent="0.2">
      <c r="A3478" s="10"/>
      <c r="B3478" s="26"/>
      <c r="C3478" s="11">
        <v>2010</v>
      </c>
      <c r="D3478" s="32">
        <f>SPFI_CLB14!$D$33</f>
        <v>0.31394</v>
      </c>
      <c r="E3478" s="32"/>
      <c r="F3478" s="32"/>
      <c r="G3478" s="32"/>
      <c r="H3478" s="32"/>
      <c r="I3478" s="32"/>
      <c r="J3478" s="28">
        <f t="shared" ref="J3478" si="3121">D3478*J$111</f>
        <v>0</v>
      </c>
      <c r="K3478" s="29"/>
      <c r="L3478" s="29"/>
      <c r="M3478" s="29"/>
      <c r="N3478" s="29"/>
      <c r="O3478" s="29"/>
      <c r="P3478" s="30">
        <f t="shared" si="3117"/>
        <v>0</v>
      </c>
      <c r="Q3478" s="31">
        <f t="shared" si="3115"/>
        <v>0</v>
      </c>
    </row>
    <row r="3479" spans="1:17" x14ac:dyDescent="0.2">
      <c r="A3479" s="10"/>
      <c r="B3479" s="26"/>
      <c r="C3479" s="11">
        <v>2011</v>
      </c>
      <c r="D3479" s="32">
        <f>SPFI_CLB14!$D$34</f>
        <v>0.294348</v>
      </c>
      <c r="E3479" s="32"/>
      <c r="F3479" s="32"/>
      <c r="G3479" s="32"/>
      <c r="H3479" s="32"/>
      <c r="I3479" s="32"/>
      <c r="J3479" s="28">
        <f t="shared" ref="J3479" si="3122">D3479*J$111</f>
        <v>0</v>
      </c>
      <c r="K3479" s="29"/>
      <c r="L3479" s="29"/>
      <c r="M3479" s="29"/>
      <c r="N3479" s="29"/>
      <c r="O3479" s="29"/>
      <c r="P3479" s="30">
        <f t="shared" ref="P3479" si="3123">SUM(J3479:O3479)</f>
        <v>0</v>
      </c>
      <c r="Q3479" s="31">
        <f t="shared" ref="Q3479" si="3124">IF(C$111&gt;0,P3479/C$111,0)</f>
        <v>0</v>
      </c>
    </row>
    <row r="3480" spans="1:17" x14ac:dyDescent="0.2">
      <c r="A3480" s="10"/>
      <c r="B3480" s="26"/>
      <c r="C3480" s="11">
        <v>2012</v>
      </c>
      <c r="D3480" s="32">
        <f>SPFI_CLB14!$D$35</f>
        <v>0.34784100000000001</v>
      </c>
      <c r="E3480" s="32"/>
      <c r="F3480" s="32"/>
      <c r="G3480" s="32"/>
      <c r="H3480" s="32"/>
      <c r="I3480" s="32"/>
      <c r="J3480" s="28">
        <f t="shared" ref="J3480" si="3125">D3480*J$111</f>
        <v>0</v>
      </c>
      <c r="K3480" s="29"/>
      <c r="L3480" s="29"/>
      <c r="M3480" s="29"/>
      <c r="N3480" s="29"/>
      <c r="O3480" s="29"/>
      <c r="P3480" s="30">
        <f t="shared" ref="P3480" si="3126">SUM(J3480:O3480)</f>
        <v>0</v>
      </c>
      <c r="Q3480" s="31">
        <f t="shared" ref="Q3480" si="3127">IF(C$111&gt;0,P3480/C$111,0)</f>
        <v>0</v>
      </c>
    </row>
    <row r="3481" spans="1:17" x14ac:dyDescent="0.2">
      <c r="A3481" s="5" t="s">
        <v>33</v>
      </c>
      <c r="B3481" s="21">
        <v>2</v>
      </c>
      <c r="C3481" s="6">
        <v>1982</v>
      </c>
      <c r="D3481" s="27">
        <f>SPFI_CLB14!$D$5</f>
        <v>0.98153299999999999</v>
      </c>
      <c r="E3481" s="27"/>
      <c r="F3481" s="27"/>
      <c r="G3481" s="27"/>
      <c r="H3481" s="27"/>
      <c r="I3481" s="27"/>
      <c r="J3481" s="33">
        <f t="shared" ref="J3481:J3493" si="3128">D3481*J$112</f>
        <v>0</v>
      </c>
      <c r="K3481" s="27"/>
      <c r="L3481" s="27"/>
      <c r="M3481" s="27"/>
      <c r="N3481" s="27"/>
      <c r="O3481" s="27"/>
      <c r="P3481" s="34">
        <f t="shared" si="3117"/>
        <v>0</v>
      </c>
      <c r="Q3481" s="35">
        <f t="shared" ref="Q3481:Q3497" si="3129">IF(C$112&gt;0,P3481/C$112,0)</f>
        <v>0</v>
      </c>
    </row>
    <row r="3482" spans="1:17" x14ac:dyDescent="0.2">
      <c r="A3482" s="10"/>
      <c r="B3482" s="26"/>
      <c r="C3482" s="11">
        <v>1983</v>
      </c>
      <c r="D3482" s="32">
        <f>SPFI_CLB14!$D$6</f>
        <v>0.93659899999999996</v>
      </c>
      <c r="E3482" s="32"/>
      <c r="F3482" s="32"/>
      <c r="G3482" s="32"/>
      <c r="H3482" s="32"/>
      <c r="I3482" s="32"/>
      <c r="J3482" s="28">
        <f t="shared" si="3128"/>
        <v>0</v>
      </c>
      <c r="K3482" s="29"/>
      <c r="L3482" s="29"/>
      <c r="M3482" s="29"/>
      <c r="N3482" s="29"/>
      <c r="O3482" s="29"/>
      <c r="P3482" s="30">
        <f t="shared" ref="P3482:P3493" si="3130">SUM(J3482:O3482)</f>
        <v>0</v>
      </c>
      <c r="Q3482" s="31">
        <f t="shared" si="3129"/>
        <v>0</v>
      </c>
    </row>
    <row r="3483" spans="1:17" x14ac:dyDescent="0.2">
      <c r="A3483" s="10"/>
      <c r="B3483" s="26"/>
      <c r="C3483" s="11">
        <v>1984</v>
      </c>
      <c r="D3483" s="32">
        <f>SPFI_CLB14!$D$7</f>
        <v>0.92793599999999998</v>
      </c>
      <c r="E3483" s="32"/>
      <c r="F3483" s="32"/>
      <c r="G3483" s="32"/>
      <c r="H3483" s="32"/>
      <c r="I3483" s="32"/>
      <c r="J3483" s="28">
        <f t="shared" si="3128"/>
        <v>0</v>
      </c>
      <c r="K3483" s="29"/>
      <c r="L3483" s="29"/>
      <c r="M3483" s="29"/>
      <c r="N3483" s="29"/>
      <c r="O3483" s="29"/>
      <c r="P3483" s="30">
        <f t="shared" si="3130"/>
        <v>0</v>
      </c>
      <c r="Q3483" s="31">
        <f t="shared" si="3129"/>
        <v>0</v>
      </c>
    </row>
    <row r="3484" spans="1:17" x14ac:dyDescent="0.2">
      <c r="A3484" s="10"/>
      <c r="B3484" s="26"/>
      <c r="C3484" s="11">
        <v>1985</v>
      </c>
      <c r="D3484" s="32">
        <f>SPFI_CLB14!$D$8</f>
        <v>0.90386500000000003</v>
      </c>
      <c r="E3484" s="32"/>
      <c r="F3484" s="32"/>
      <c r="G3484" s="32"/>
      <c r="H3484" s="32"/>
      <c r="I3484" s="32"/>
      <c r="J3484" s="28">
        <f t="shared" si="3128"/>
        <v>0</v>
      </c>
      <c r="K3484" s="29"/>
      <c r="L3484" s="29"/>
      <c r="M3484" s="29"/>
      <c r="N3484" s="29"/>
      <c r="O3484" s="29"/>
      <c r="P3484" s="30">
        <f t="shared" si="3130"/>
        <v>0</v>
      </c>
      <c r="Q3484" s="31">
        <f t="shared" si="3129"/>
        <v>0</v>
      </c>
    </row>
    <row r="3485" spans="1:17" x14ac:dyDescent="0.2">
      <c r="A3485" s="10"/>
      <c r="B3485" s="26"/>
      <c r="C3485" s="11">
        <v>1986</v>
      </c>
      <c r="D3485" s="32">
        <f>SPFI_CLB14!$D$9</f>
        <v>0.73087500000000005</v>
      </c>
      <c r="E3485" s="32"/>
      <c r="F3485" s="32"/>
      <c r="G3485" s="32"/>
      <c r="H3485" s="32"/>
      <c r="I3485" s="32"/>
      <c r="J3485" s="28">
        <f t="shared" si="3128"/>
        <v>0</v>
      </c>
      <c r="K3485" s="29"/>
      <c r="L3485" s="29"/>
      <c r="M3485" s="29"/>
      <c r="N3485" s="29"/>
      <c r="O3485" s="29"/>
      <c r="P3485" s="30">
        <f t="shared" si="3130"/>
        <v>0</v>
      </c>
      <c r="Q3485" s="31">
        <f t="shared" si="3129"/>
        <v>0</v>
      </c>
    </row>
    <row r="3486" spans="1:17" x14ac:dyDescent="0.2">
      <c r="A3486" s="10"/>
      <c r="B3486" s="26"/>
      <c r="C3486" s="11">
        <v>1987</v>
      </c>
      <c r="D3486" s="32">
        <f>SPFI_CLB14!$D$10</f>
        <v>0.71733499999999994</v>
      </c>
      <c r="E3486" s="32"/>
      <c r="F3486" s="32"/>
      <c r="G3486" s="32"/>
      <c r="H3486" s="32"/>
      <c r="I3486" s="32"/>
      <c r="J3486" s="28">
        <f t="shared" si="3128"/>
        <v>0</v>
      </c>
      <c r="K3486" s="29"/>
      <c r="L3486" s="29"/>
      <c r="M3486" s="29"/>
      <c r="N3486" s="29"/>
      <c r="O3486" s="29"/>
      <c r="P3486" s="30">
        <f t="shared" si="3130"/>
        <v>0</v>
      </c>
      <c r="Q3486" s="31">
        <f t="shared" si="3129"/>
        <v>0</v>
      </c>
    </row>
    <row r="3487" spans="1:17" x14ac:dyDescent="0.2">
      <c r="A3487" s="10"/>
      <c r="B3487" s="26"/>
      <c r="C3487" s="11">
        <v>1988</v>
      </c>
      <c r="D3487" s="32">
        <f>SPFI_CLB14!$D$11</f>
        <v>0.64558800000000005</v>
      </c>
      <c r="E3487" s="32"/>
      <c r="F3487" s="32"/>
      <c r="G3487" s="32"/>
      <c r="H3487" s="32"/>
      <c r="I3487" s="32"/>
      <c r="J3487" s="28">
        <f t="shared" si="3128"/>
        <v>0</v>
      </c>
      <c r="K3487" s="29"/>
      <c r="L3487" s="29"/>
      <c r="M3487" s="29"/>
      <c r="N3487" s="29"/>
      <c r="O3487" s="29"/>
      <c r="P3487" s="30">
        <f t="shared" si="3130"/>
        <v>0</v>
      </c>
      <c r="Q3487" s="31">
        <f t="shared" si="3129"/>
        <v>0</v>
      </c>
    </row>
    <row r="3488" spans="1:17" x14ac:dyDescent="0.2">
      <c r="A3488" s="10"/>
      <c r="B3488" s="26"/>
      <c r="C3488" s="11">
        <v>1989</v>
      </c>
      <c r="D3488" s="32">
        <f>SPFI_CLB14!$D$12</f>
        <v>0.65287700000000004</v>
      </c>
      <c r="E3488" s="32"/>
      <c r="F3488" s="32"/>
      <c r="G3488" s="32"/>
      <c r="H3488" s="32"/>
      <c r="I3488" s="32"/>
      <c r="J3488" s="28">
        <f t="shared" si="3128"/>
        <v>0</v>
      </c>
      <c r="K3488" s="29"/>
      <c r="L3488" s="29"/>
      <c r="M3488" s="29"/>
      <c r="N3488" s="29"/>
      <c r="O3488" s="29"/>
      <c r="P3488" s="30">
        <f t="shared" si="3130"/>
        <v>0</v>
      </c>
      <c r="Q3488" s="31">
        <f t="shared" si="3129"/>
        <v>0</v>
      </c>
    </row>
    <row r="3489" spans="1:17" x14ac:dyDescent="0.2">
      <c r="A3489" s="10"/>
      <c r="B3489" s="26"/>
      <c r="C3489" s="11">
        <v>1990</v>
      </c>
      <c r="D3489" s="32">
        <f>SPFI_CLB14!$D$13</f>
        <v>0.56965100000000002</v>
      </c>
      <c r="E3489" s="32"/>
      <c r="F3489" s="32"/>
      <c r="G3489" s="32"/>
      <c r="H3489" s="32"/>
      <c r="I3489" s="32"/>
      <c r="J3489" s="28">
        <f t="shared" si="3128"/>
        <v>0</v>
      </c>
      <c r="K3489" s="29"/>
      <c r="L3489" s="29"/>
      <c r="M3489" s="29"/>
      <c r="N3489" s="29"/>
      <c r="O3489" s="29"/>
      <c r="P3489" s="30">
        <f t="shared" si="3130"/>
        <v>0</v>
      </c>
      <c r="Q3489" s="31">
        <f t="shared" si="3129"/>
        <v>0</v>
      </c>
    </row>
    <row r="3490" spans="1:17" x14ac:dyDescent="0.2">
      <c r="A3490" s="10"/>
      <c r="B3490" s="26"/>
      <c r="C3490" s="11">
        <v>1991</v>
      </c>
      <c r="D3490" s="32">
        <f>SPFI_CLB14!$D$14</f>
        <v>0.62776900000000002</v>
      </c>
      <c r="E3490" s="32"/>
      <c r="F3490" s="32"/>
      <c r="G3490" s="32"/>
      <c r="H3490" s="32"/>
      <c r="I3490" s="32"/>
      <c r="J3490" s="28">
        <f t="shared" si="3128"/>
        <v>0</v>
      </c>
      <c r="K3490" s="29"/>
      <c r="L3490" s="29"/>
      <c r="M3490" s="29"/>
      <c r="N3490" s="29"/>
      <c r="O3490" s="29"/>
      <c r="P3490" s="30">
        <f t="shared" si="3130"/>
        <v>0</v>
      </c>
      <c r="Q3490" s="31">
        <f t="shared" si="3129"/>
        <v>0</v>
      </c>
    </row>
    <row r="3491" spans="1:17" x14ac:dyDescent="0.2">
      <c r="A3491" s="10"/>
      <c r="B3491" s="26"/>
      <c r="C3491" s="11">
        <v>1992</v>
      </c>
      <c r="D3491" s="32">
        <f>SPFI_CLB14!$D$15</f>
        <v>0.43504100000000001</v>
      </c>
      <c r="E3491" s="32"/>
      <c r="F3491" s="32"/>
      <c r="G3491" s="32"/>
      <c r="H3491" s="32"/>
      <c r="I3491" s="32"/>
      <c r="J3491" s="28">
        <f t="shared" si="3128"/>
        <v>0</v>
      </c>
      <c r="K3491" s="29"/>
      <c r="L3491" s="29"/>
      <c r="M3491" s="29"/>
      <c r="N3491" s="29"/>
      <c r="O3491" s="29"/>
      <c r="P3491" s="30">
        <f t="shared" si="3130"/>
        <v>0</v>
      </c>
      <c r="Q3491" s="31">
        <f t="shared" si="3129"/>
        <v>0</v>
      </c>
    </row>
    <row r="3492" spans="1:17" x14ac:dyDescent="0.2">
      <c r="A3492" s="10"/>
      <c r="B3492" s="26"/>
      <c r="C3492" s="11">
        <v>1993</v>
      </c>
      <c r="D3492" s="32">
        <f>SPFI_CLB14!$D$16</f>
        <v>0.499164</v>
      </c>
      <c r="E3492" s="32"/>
      <c r="F3492" s="32"/>
      <c r="G3492" s="32"/>
      <c r="H3492" s="32"/>
      <c r="I3492" s="32"/>
      <c r="J3492" s="28">
        <f t="shared" si="3128"/>
        <v>0</v>
      </c>
      <c r="K3492" s="29"/>
      <c r="L3492" s="29"/>
      <c r="M3492" s="29"/>
      <c r="N3492" s="29"/>
      <c r="O3492" s="29"/>
      <c r="P3492" s="30">
        <f t="shared" si="3130"/>
        <v>0</v>
      </c>
      <c r="Q3492" s="31">
        <f t="shared" si="3129"/>
        <v>0</v>
      </c>
    </row>
    <row r="3493" spans="1:17" x14ac:dyDescent="0.2">
      <c r="A3493" s="10"/>
      <c r="B3493" s="26"/>
      <c r="C3493" s="11">
        <v>1994</v>
      </c>
      <c r="D3493" s="32">
        <f>SPFI_CLB14!$D$17</f>
        <v>0.59591300000000003</v>
      </c>
      <c r="E3493" s="32"/>
      <c r="F3493" s="32"/>
      <c r="G3493" s="32"/>
      <c r="H3493" s="32"/>
      <c r="I3493" s="32"/>
      <c r="J3493" s="28">
        <f t="shared" si="3128"/>
        <v>0</v>
      </c>
      <c r="K3493" s="29"/>
      <c r="L3493" s="29"/>
      <c r="M3493" s="29"/>
      <c r="N3493" s="29"/>
      <c r="O3493" s="29"/>
      <c r="P3493" s="30">
        <f t="shared" si="3130"/>
        <v>0</v>
      </c>
      <c r="Q3493" s="31">
        <f t="shared" si="3129"/>
        <v>0</v>
      </c>
    </row>
    <row r="3494" spans="1:17" x14ac:dyDescent="0.2">
      <c r="A3494" s="10"/>
      <c r="B3494" s="26"/>
      <c r="C3494" s="11">
        <v>1995</v>
      </c>
      <c r="D3494" s="32">
        <f>SPFI_CLB14!$D$18</f>
        <v>0.25400800000000001</v>
      </c>
      <c r="E3494" s="32"/>
      <c r="F3494" s="32"/>
      <c r="G3494" s="32"/>
      <c r="H3494" s="32"/>
      <c r="I3494" s="32"/>
      <c r="J3494" s="28">
        <f t="shared" ref="J3494" si="3131">D3494*J$112</f>
        <v>0</v>
      </c>
      <c r="K3494" s="29"/>
      <c r="L3494" s="29"/>
      <c r="M3494" s="29"/>
      <c r="N3494" s="29"/>
      <c r="O3494" s="29"/>
      <c r="P3494" s="30">
        <f>SUM(J3494:O3494)</f>
        <v>0</v>
      </c>
      <c r="Q3494" s="31">
        <f t="shared" si="3129"/>
        <v>0</v>
      </c>
    </row>
    <row r="3495" spans="1:17" x14ac:dyDescent="0.2">
      <c r="A3495" s="10"/>
      <c r="B3495" s="26"/>
      <c r="C3495" s="11">
        <v>1996</v>
      </c>
      <c r="D3495" s="32">
        <f>SPFI_CLB14!$D$19</f>
        <v>0</v>
      </c>
      <c r="E3495" s="32"/>
      <c r="F3495" s="32"/>
      <c r="G3495" s="32"/>
      <c r="H3495" s="32"/>
      <c r="I3495" s="32"/>
      <c r="J3495" s="28">
        <f t="shared" ref="J3495" si="3132">D3495*J$112</f>
        <v>0</v>
      </c>
      <c r="K3495" s="29"/>
      <c r="L3495" s="29"/>
      <c r="M3495" s="29"/>
      <c r="N3495" s="29"/>
      <c r="O3495" s="29"/>
      <c r="P3495" s="30">
        <f>SUM(J3495:O3495)</f>
        <v>0</v>
      </c>
      <c r="Q3495" s="31">
        <f t="shared" si="3129"/>
        <v>0</v>
      </c>
    </row>
    <row r="3496" spans="1:17" x14ac:dyDescent="0.2">
      <c r="A3496" s="10"/>
      <c r="B3496" s="26"/>
      <c r="C3496" s="11">
        <v>1997</v>
      </c>
      <c r="D3496" s="32">
        <f>SPFI_CLB14!$D$20</f>
        <v>0.201487</v>
      </c>
      <c r="E3496" s="32"/>
      <c r="F3496" s="32"/>
      <c r="G3496" s="32"/>
      <c r="H3496" s="32"/>
      <c r="I3496" s="32"/>
      <c r="J3496" s="28">
        <f t="shared" ref="J3496" si="3133">D3496*J$112</f>
        <v>0</v>
      </c>
      <c r="K3496" s="29"/>
      <c r="L3496" s="29"/>
      <c r="M3496" s="29"/>
      <c r="N3496" s="29"/>
      <c r="O3496" s="29"/>
      <c r="P3496" s="30">
        <f>SUM(J3496:O3496)</f>
        <v>0</v>
      </c>
      <c r="Q3496" s="31">
        <f t="shared" si="3129"/>
        <v>0</v>
      </c>
    </row>
    <row r="3497" spans="1:17" x14ac:dyDescent="0.2">
      <c r="A3497" s="10"/>
      <c r="B3497" s="26"/>
      <c r="C3497" s="11">
        <v>1998</v>
      </c>
      <c r="D3497" s="32">
        <f>SPFI_CLB14!$D$21</f>
        <v>0.37506400000000001</v>
      </c>
      <c r="E3497" s="32"/>
      <c r="F3497" s="32"/>
      <c r="G3497" s="32"/>
      <c r="H3497" s="32"/>
      <c r="I3497" s="32"/>
      <c r="J3497" s="28">
        <f t="shared" ref="J3497" si="3134">D3497*J$112</f>
        <v>0</v>
      </c>
      <c r="K3497" s="29"/>
      <c r="L3497" s="29"/>
      <c r="M3497" s="29"/>
      <c r="N3497" s="29"/>
      <c r="O3497" s="29"/>
      <c r="P3497" s="30">
        <f>SUM(J3497:O3497)</f>
        <v>0</v>
      </c>
      <c r="Q3497" s="31">
        <f t="shared" si="3129"/>
        <v>0</v>
      </c>
    </row>
    <row r="3498" spans="1:17" x14ac:dyDescent="0.2">
      <c r="A3498" s="10"/>
      <c r="B3498" s="26"/>
      <c r="C3498" s="11">
        <v>1999</v>
      </c>
      <c r="D3498" s="32">
        <f>SPFI_CLB14!$D$22</f>
        <v>0.29823699999999997</v>
      </c>
      <c r="E3498" s="32"/>
      <c r="F3498" s="32"/>
      <c r="G3498" s="32"/>
      <c r="H3498" s="32"/>
      <c r="I3498" s="32"/>
      <c r="J3498" s="28">
        <f t="shared" ref="J3498" si="3135">D3498*J$112</f>
        <v>0</v>
      </c>
      <c r="K3498" s="29"/>
      <c r="L3498" s="29"/>
      <c r="M3498" s="29"/>
      <c r="N3498" s="29"/>
      <c r="O3498" s="29"/>
      <c r="P3498" s="30">
        <f>SUM(J3498:O3498)</f>
        <v>0</v>
      </c>
      <c r="Q3498" s="31">
        <f t="shared" ref="Q3498:Q3503" si="3136">IF(C$112&gt;0,P3498/C$112,0)</f>
        <v>0</v>
      </c>
    </row>
    <row r="3499" spans="1:17" x14ac:dyDescent="0.2">
      <c r="A3499" s="10"/>
      <c r="B3499" s="26"/>
      <c r="C3499" s="11">
        <v>2000</v>
      </c>
      <c r="D3499" s="32">
        <f>SPFI_CLB14!$D$23</f>
        <v>8.4414000000000003E-2</v>
      </c>
      <c r="E3499" s="32"/>
      <c r="F3499" s="32"/>
      <c r="G3499" s="32"/>
      <c r="H3499" s="32"/>
      <c r="I3499" s="32"/>
      <c r="J3499" s="28">
        <f t="shared" ref="J3499" si="3137">D3499*J$112</f>
        <v>0</v>
      </c>
      <c r="K3499" s="29"/>
      <c r="L3499" s="29"/>
      <c r="M3499" s="29"/>
      <c r="N3499" s="29"/>
      <c r="O3499" s="29"/>
      <c r="P3499" s="30">
        <f t="shared" ref="P3499:P3504" si="3138">SUM(J3499:O3499)</f>
        <v>0</v>
      </c>
      <c r="Q3499" s="31">
        <f t="shared" si="3136"/>
        <v>0</v>
      </c>
    </row>
    <row r="3500" spans="1:17" x14ac:dyDescent="0.2">
      <c r="A3500" s="10"/>
      <c r="B3500" s="26"/>
      <c r="C3500" s="11">
        <v>2001</v>
      </c>
      <c r="D3500" s="32">
        <f>SPFI_CLB14!$D$24</f>
        <v>7.8909000000000007E-2</v>
      </c>
      <c r="E3500" s="32"/>
      <c r="F3500" s="32"/>
      <c r="G3500" s="32"/>
      <c r="H3500" s="32"/>
      <c r="I3500" s="32"/>
      <c r="J3500" s="28">
        <f t="shared" ref="J3500" si="3139">D3500*J$112</f>
        <v>0</v>
      </c>
      <c r="K3500" s="29"/>
      <c r="L3500" s="29"/>
      <c r="M3500" s="29"/>
      <c r="N3500" s="29"/>
      <c r="O3500" s="29"/>
      <c r="P3500" s="30">
        <f t="shared" si="3138"/>
        <v>0</v>
      </c>
      <c r="Q3500" s="31">
        <f t="shared" si="3136"/>
        <v>0</v>
      </c>
    </row>
    <row r="3501" spans="1:17" x14ac:dyDescent="0.2">
      <c r="A3501" s="10"/>
      <c r="B3501" s="26"/>
      <c r="C3501" s="11">
        <v>2002</v>
      </c>
      <c r="D3501" s="32">
        <f>SPFI_CLB14!$D$25</f>
        <v>0.29974699999999999</v>
      </c>
      <c r="E3501" s="32"/>
      <c r="F3501" s="32"/>
      <c r="G3501" s="32"/>
      <c r="H3501" s="32"/>
      <c r="I3501" s="32"/>
      <c r="J3501" s="28">
        <f t="shared" ref="J3501" si="3140">D3501*J$112</f>
        <v>0</v>
      </c>
      <c r="K3501" s="29"/>
      <c r="L3501" s="29"/>
      <c r="M3501" s="29"/>
      <c r="N3501" s="29"/>
      <c r="O3501" s="29"/>
      <c r="P3501" s="30">
        <f t="shared" si="3138"/>
        <v>0</v>
      </c>
      <c r="Q3501" s="31">
        <f t="shared" si="3136"/>
        <v>0</v>
      </c>
    </row>
    <row r="3502" spans="1:17" x14ac:dyDescent="0.2">
      <c r="A3502" s="10"/>
      <c r="B3502" s="26"/>
      <c r="C3502" s="11">
        <v>2003</v>
      </c>
      <c r="D3502" s="32">
        <f>SPFI_CLB14!$D$26</f>
        <v>0.20691100000000001</v>
      </c>
      <c r="E3502" s="32"/>
      <c r="F3502" s="32"/>
      <c r="G3502" s="32"/>
      <c r="H3502" s="32"/>
      <c r="I3502" s="32"/>
      <c r="J3502" s="28">
        <f t="shared" ref="J3502" si="3141">D3502*J$112</f>
        <v>0</v>
      </c>
      <c r="K3502" s="29"/>
      <c r="L3502" s="29"/>
      <c r="M3502" s="29"/>
      <c r="N3502" s="29"/>
      <c r="O3502" s="29"/>
      <c r="P3502" s="30">
        <f t="shared" si="3138"/>
        <v>0</v>
      </c>
      <c r="Q3502" s="31">
        <f t="shared" si="3136"/>
        <v>0</v>
      </c>
    </row>
    <row r="3503" spans="1:17" x14ac:dyDescent="0.2">
      <c r="A3503" s="10"/>
      <c r="B3503" s="26"/>
      <c r="C3503" s="11">
        <v>2004</v>
      </c>
      <c r="D3503" s="32">
        <f>SPFI_CLB14!$D$27</f>
        <v>0.269237</v>
      </c>
      <c r="E3503" s="32"/>
      <c r="F3503" s="32"/>
      <c r="G3503" s="32"/>
      <c r="H3503" s="32"/>
      <c r="I3503" s="32"/>
      <c r="J3503" s="28">
        <f t="shared" ref="J3503" si="3142">D3503*J$112</f>
        <v>0</v>
      </c>
      <c r="K3503" s="29"/>
      <c r="L3503" s="29"/>
      <c r="M3503" s="29"/>
      <c r="N3503" s="29"/>
      <c r="O3503" s="29"/>
      <c r="P3503" s="30">
        <f t="shared" si="3138"/>
        <v>0</v>
      </c>
      <c r="Q3503" s="31">
        <f t="shared" si="3136"/>
        <v>0</v>
      </c>
    </row>
    <row r="3504" spans="1:17" x14ac:dyDescent="0.2">
      <c r="A3504" s="10"/>
      <c r="B3504" s="26"/>
      <c r="C3504" s="11">
        <v>2005</v>
      </c>
      <c r="D3504" s="32">
        <f>SPFI_CLB14!$D$28</f>
        <v>0.37848700000000002</v>
      </c>
      <c r="E3504" s="32"/>
      <c r="F3504" s="32"/>
      <c r="G3504" s="32"/>
      <c r="H3504" s="32"/>
      <c r="I3504" s="32"/>
      <c r="J3504" s="28">
        <f t="shared" ref="J3504" si="3143">D3504*J$112</f>
        <v>0</v>
      </c>
      <c r="K3504" s="29"/>
      <c r="L3504" s="29"/>
      <c r="M3504" s="29"/>
      <c r="N3504" s="29"/>
      <c r="O3504" s="29"/>
      <c r="P3504" s="30">
        <f t="shared" si="3138"/>
        <v>0</v>
      </c>
      <c r="Q3504" s="31">
        <f t="shared" ref="Q3504:Q3509" si="3144">IF(C$112&gt;0,P3504/C$112,0)</f>
        <v>0</v>
      </c>
    </row>
    <row r="3505" spans="1:17" x14ac:dyDescent="0.2">
      <c r="A3505" s="10"/>
      <c r="B3505" s="26"/>
      <c r="C3505" s="11">
        <v>2006</v>
      </c>
      <c r="D3505" s="32">
        <f>SPFI_CLB14!$D$29</f>
        <v>0.381023</v>
      </c>
      <c r="E3505" s="32"/>
      <c r="F3505" s="32"/>
      <c r="G3505" s="32"/>
      <c r="H3505" s="32"/>
      <c r="I3505" s="32"/>
      <c r="J3505" s="28">
        <f t="shared" ref="J3505" si="3145">D3505*J$112</f>
        <v>0</v>
      </c>
      <c r="K3505" s="29"/>
      <c r="L3505" s="29"/>
      <c r="M3505" s="29"/>
      <c r="N3505" s="29"/>
      <c r="O3505" s="29"/>
      <c r="P3505" s="30">
        <f t="shared" ref="P3505:P3512" si="3146">SUM(J3505:O3505)</f>
        <v>0</v>
      </c>
      <c r="Q3505" s="31">
        <f t="shared" si="3144"/>
        <v>0</v>
      </c>
    </row>
    <row r="3506" spans="1:17" x14ac:dyDescent="0.2">
      <c r="A3506" s="10"/>
      <c r="B3506" s="26"/>
      <c r="C3506" s="11">
        <v>2007</v>
      </c>
      <c r="D3506" s="32">
        <f>SPFI_CLB14!$D$30</f>
        <v>0.356512</v>
      </c>
      <c r="E3506" s="32"/>
      <c r="F3506" s="32"/>
      <c r="G3506" s="32"/>
      <c r="H3506" s="32"/>
      <c r="I3506" s="32"/>
      <c r="J3506" s="28">
        <f t="shared" ref="J3506" si="3147">D3506*J$112</f>
        <v>0</v>
      </c>
      <c r="K3506" s="29"/>
      <c r="L3506" s="29"/>
      <c r="M3506" s="29"/>
      <c r="N3506" s="29"/>
      <c r="O3506" s="29"/>
      <c r="P3506" s="30">
        <f t="shared" si="3146"/>
        <v>0</v>
      </c>
      <c r="Q3506" s="31">
        <f t="shared" si="3144"/>
        <v>0</v>
      </c>
    </row>
    <row r="3507" spans="1:17" x14ac:dyDescent="0.2">
      <c r="A3507" s="10"/>
      <c r="B3507" s="26"/>
      <c r="C3507" s="11">
        <v>2008</v>
      </c>
      <c r="D3507" s="32">
        <f>SPFI_CLB14!$D$31</f>
        <v>0.25494499999999998</v>
      </c>
      <c r="E3507" s="32"/>
      <c r="F3507" s="32"/>
      <c r="G3507" s="32"/>
      <c r="H3507" s="32"/>
      <c r="I3507" s="32"/>
      <c r="J3507" s="28">
        <f t="shared" ref="J3507" si="3148">D3507*J$112</f>
        <v>0</v>
      </c>
      <c r="K3507" s="29"/>
      <c r="L3507" s="29"/>
      <c r="M3507" s="29"/>
      <c r="N3507" s="29"/>
      <c r="O3507" s="29"/>
      <c r="P3507" s="30">
        <f t="shared" si="3146"/>
        <v>0</v>
      </c>
      <c r="Q3507" s="31">
        <f t="shared" si="3144"/>
        <v>0</v>
      </c>
    </row>
    <row r="3508" spans="1:17" x14ac:dyDescent="0.2">
      <c r="A3508" s="10"/>
      <c r="B3508" s="26"/>
      <c r="C3508" s="11">
        <v>2009</v>
      </c>
      <c r="D3508" s="32">
        <f>SPFI_CLB14!$D$32</f>
        <v>0.52383000000000002</v>
      </c>
      <c r="E3508" s="32"/>
      <c r="F3508" s="32"/>
      <c r="G3508" s="32"/>
      <c r="H3508" s="32"/>
      <c r="I3508" s="32"/>
      <c r="J3508" s="28">
        <f t="shared" ref="J3508" si="3149">D3508*J$112</f>
        <v>0</v>
      </c>
      <c r="K3508" s="29"/>
      <c r="L3508" s="29"/>
      <c r="M3508" s="29"/>
      <c r="N3508" s="29"/>
      <c r="O3508" s="29"/>
      <c r="P3508" s="30">
        <f t="shared" si="3146"/>
        <v>0</v>
      </c>
      <c r="Q3508" s="31">
        <f t="shared" si="3144"/>
        <v>0</v>
      </c>
    </row>
    <row r="3509" spans="1:17" x14ac:dyDescent="0.2">
      <c r="A3509" s="10"/>
      <c r="B3509" s="26"/>
      <c r="C3509" s="11">
        <v>2010</v>
      </c>
      <c r="D3509" s="32">
        <f>SPFI_CLB14!$D$33</f>
        <v>0.31394</v>
      </c>
      <c r="E3509" s="32"/>
      <c r="F3509" s="32"/>
      <c r="G3509" s="32"/>
      <c r="H3509" s="32"/>
      <c r="I3509" s="32"/>
      <c r="J3509" s="28">
        <f t="shared" ref="J3509" si="3150">D3509*J$112</f>
        <v>0</v>
      </c>
      <c r="K3509" s="29"/>
      <c r="L3509" s="29"/>
      <c r="M3509" s="29"/>
      <c r="N3509" s="29"/>
      <c r="O3509" s="29"/>
      <c r="P3509" s="30">
        <f t="shared" si="3146"/>
        <v>0</v>
      </c>
      <c r="Q3509" s="31">
        <f t="shared" si="3144"/>
        <v>0</v>
      </c>
    </row>
    <row r="3510" spans="1:17" x14ac:dyDescent="0.2">
      <c r="A3510" s="10"/>
      <c r="B3510" s="26"/>
      <c r="C3510" s="11">
        <v>2011</v>
      </c>
      <c r="D3510" s="32">
        <f>SPFI_CLB14!$D$34</f>
        <v>0.294348</v>
      </c>
      <c r="E3510" s="32"/>
      <c r="F3510" s="32"/>
      <c r="G3510" s="32"/>
      <c r="H3510" s="32"/>
      <c r="I3510" s="32"/>
      <c r="J3510" s="28">
        <f t="shared" ref="J3510" si="3151">D3510*J$112</f>
        <v>0</v>
      </c>
      <c r="K3510" s="29"/>
      <c r="L3510" s="29"/>
      <c r="M3510" s="29"/>
      <c r="N3510" s="29"/>
      <c r="O3510" s="29"/>
      <c r="P3510" s="30">
        <f t="shared" ref="P3510" si="3152">SUM(J3510:O3510)</f>
        <v>0</v>
      </c>
      <c r="Q3510" s="31">
        <f t="shared" ref="Q3510" si="3153">IF(C$112&gt;0,P3510/C$112,0)</f>
        <v>0</v>
      </c>
    </row>
    <row r="3511" spans="1:17" x14ac:dyDescent="0.2">
      <c r="A3511" s="10"/>
      <c r="B3511" s="26"/>
      <c r="C3511" s="11">
        <v>2012</v>
      </c>
      <c r="D3511" s="32">
        <f>SPFI_CLB14!$D$35</f>
        <v>0.34784100000000001</v>
      </c>
      <c r="E3511" s="32"/>
      <c r="F3511" s="32"/>
      <c r="G3511" s="32"/>
      <c r="H3511" s="32"/>
      <c r="I3511" s="32"/>
      <c r="J3511" s="28">
        <f t="shared" ref="J3511" si="3154">D3511*J$112</f>
        <v>0</v>
      </c>
      <c r="K3511" s="29"/>
      <c r="L3511" s="29"/>
      <c r="M3511" s="29"/>
      <c r="N3511" s="29"/>
      <c r="O3511" s="29"/>
      <c r="P3511" s="30">
        <f t="shared" ref="P3511" si="3155">SUM(J3511:O3511)</f>
        <v>0</v>
      </c>
      <c r="Q3511" s="31">
        <f t="shared" ref="Q3511" si="3156">IF(C$112&gt;0,P3511/C$112,0)</f>
        <v>0</v>
      </c>
    </row>
    <row r="3512" spans="1:17" x14ac:dyDescent="0.2">
      <c r="A3512" s="5" t="s">
        <v>33</v>
      </c>
      <c r="B3512" s="21">
        <v>3</v>
      </c>
      <c r="C3512" s="6">
        <v>1982</v>
      </c>
      <c r="D3512" s="27">
        <f>SPFI_CLB14!$D$5</f>
        <v>0.98153299999999999</v>
      </c>
      <c r="E3512" s="27"/>
      <c r="F3512" s="27"/>
      <c r="G3512" s="27"/>
      <c r="H3512" s="27"/>
      <c r="I3512" s="27"/>
      <c r="J3512" s="33">
        <f t="shared" ref="J3512:J3524" si="3157">D3512*J$113</f>
        <v>0</v>
      </c>
      <c r="K3512" s="27"/>
      <c r="L3512" s="27"/>
      <c r="M3512" s="27"/>
      <c r="N3512" s="27"/>
      <c r="O3512" s="27"/>
      <c r="P3512" s="34">
        <f t="shared" si="3146"/>
        <v>0</v>
      </c>
      <c r="Q3512" s="35">
        <f t="shared" ref="Q3512:Q3528" si="3158">IF(C$113&gt;0,P3512/C$113,0)</f>
        <v>0</v>
      </c>
    </row>
    <row r="3513" spans="1:17" x14ac:dyDescent="0.2">
      <c r="A3513" s="10"/>
      <c r="B3513" s="26"/>
      <c r="C3513" s="11">
        <v>1983</v>
      </c>
      <c r="D3513" s="32">
        <f>SPFI_CLB14!$D$6</f>
        <v>0.93659899999999996</v>
      </c>
      <c r="E3513" s="32"/>
      <c r="F3513" s="32"/>
      <c r="G3513" s="32"/>
      <c r="H3513" s="32"/>
      <c r="I3513" s="32"/>
      <c r="J3513" s="28">
        <f t="shared" si="3157"/>
        <v>0</v>
      </c>
      <c r="K3513" s="29"/>
      <c r="L3513" s="29"/>
      <c r="M3513" s="29"/>
      <c r="N3513" s="29"/>
      <c r="O3513" s="29"/>
      <c r="P3513" s="30">
        <f t="shared" ref="P3513:P3524" si="3159">SUM(J3513:O3513)</f>
        <v>0</v>
      </c>
      <c r="Q3513" s="31">
        <f t="shared" si="3158"/>
        <v>0</v>
      </c>
    </row>
    <row r="3514" spans="1:17" x14ac:dyDescent="0.2">
      <c r="A3514" s="10"/>
      <c r="B3514" s="26"/>
      <c r="C3514" s="11">
        <v>1984</v>
      </c>
      <c r="D3514" s="32">
        <f>SPFI_CLB14!$D$7</f>
        <v>0.92793599999999998</v>
      </c>
      <c r="E3514" s="32"/>
      <c r="F3514" s="32"/>
      <c r="G3514" s="32"/>
      <c r="H3514" s="32"/>
      <c r="I3514" s="32"/>
      <c r="J3514" s="28">
        <f t="shared" si="3157"/>
        <v>0</v>
      </c>
      <c r="K3514" s="29"/>
      <c r="L3514" s="29"/>
      <c r="M3514" s="29"/>
      <c r="N3514" s="29"/>
      <c r="O3514" s="29"/>
      <c r="P3514" s="30">
        <f t="shared" si="3159"/>
        <v>0</v>
      </c>
      <c r="Q3514" s="31">
        <f t="shared" si="3158"/>
        <v>0</v>
      </c>
    </row>
    <row r="3515" spans="1:17" x14ac:dyDescent="0.2">
      <c r="A3515" s="10"/>
      <c r="B3515" s="26"/>
      <c r="C3515" s="11">
        <v>1985</v>
      </c>
      <c r="D3515" s="32">
        <f>SPFI_CLB14!$D$8</f>
        <v>0.90386500000000003</v>
      </c>
      <c r="E3515" s="32"/>
      <c r="F3515" s="32"/>
      <c r="G3515" s="32"/>
      <c r="H3515" s="32"/>
      <c r="I3515" s="32"/>
      <c r="J3515" s="28">
        <f t="shared" si="3157"/>
        <v>0</v>
      </c>
      <c r="K3515" s="29"/>
      <c r="L3515" s="29"/>
      <c r="M3515" s="29"/>
      <c r="N3515" s="29"/>
      <c r="O3515" s="29"/>
      <c r="P3515" s="30">
        <f t="shared" si="3159"/>
        <v>0</v>
      </c>
      <c r="Q3515" s="31">
        <f t="shared" si="3158"/>
        <v>0</v>
      </c>
    </row>
    <row r="3516" spans="1:17" x14ac:dyDescent="0.2">
      <c r="A3516" s="10"/>
      <c r="B3516" s="26"/>
      <c r="C3516" s="11">
        <v>1986</v>
      </c>
      <c r="D3516" s="32">
        <f>SPFI_CLB14!$D$9</f>
        <v>0.73087500000000005</v>
      </c>
      <c r="E3516" s="32"/>
      <c r="F3516" s="32"/>
      <c r="G3516" s="32"/>
      <c r="H3516" s="32"/>
      <c r="I3516" s="32"/>
      <c r="J3516" s="28">
        <f t="shared" si="3157"/>
        <v>0</v>
      </c>
      <c r="K3516" s="29"/>
      <c r="L3516" s="29"/>
      <c r="M3516" s="29"/>
      <c r="N3516" s="29"/>
      <c r="O3516" s="29"/>
      <c r="P3516" s="30">
        <f t="shared" si="3159"/>
        <v>0</v>
      </c>
      <c r="Q3516" s="31">
        <f t="shared" si="3158"/>
        <v>0</v>
      </c>
    </row>
    <row r="3517" spans="1:17" x14ac:dyDescent="0.2">
      <c r="A3517" s="10"/>
      <c r="B3517" s="26"/>
      <c r="C3517" s="11">
        <v>1987</v>
      </c>
      <c r="D3517" s="32">
        <f>SPFI_CLB14!$D$10</f>
        <v>0.71733499999999994</v>
      </c>
      <c r="E3517" s="32"/>
      <c r="F3517" s="32"/>
      <c r="G3517" s="32"/>
      <c r="H3517" s="32"/>
      <c r="I3517" s="32"/>
      <c r="J3517" s="28">
        <f t="shared" si="3157"/>
        <v>0</v>
      </c>
      <c r="K3517" s="29"/>
      <c r="L3517" s="29"/>
      <c r="M3517" s="29"/>
      <c r="N3517" s="29"/>
      <c r="O3517" s="29"/>
      <c r="P3517" s="30">
        <f t="shared" si="3159"/>
        <v>0</v>
      </c>
      <c r="Q3517" s="31">
        <f t="shared" si="3158"/>
        <v>0</v>
      </c>
    </row>
    <row r="3518" spans="1:17" x14ac:dyDescent="0.2">
      <c r="A3518" s="10"/>
      <c r="B3518" s="26"/>
      <c r="C3518" s="11">
        <v>1988</v>
      </c>
      <c r="D3518" s="32">
        <f>SPFI_CLB14!$D$11</f>
        <v>0.64558800000000005</v>
      </c>
      <c r="E3518" s="32"/>
      <c r="F3518" s="32"/>
      <c r="G3518" s="32"/>
      <c r="H3518" s="32"/>
      <c r="I3518" s="32"/>
      <c r="J3518" s="28">
        <f t="shared" si="3157"/>
        <v>0</v>
      </c>
      <c r="K3518" s="29"/>
      <c r="L3518" s="29"/>
      <c r="M3518" s="29"/>
      <c r="N3518" s="29"/>
      <c r="O3518" s="29"/>
      <c r="P3518" s="30">
        <f t="shared" si="3159"/>
        <v>0</v>
      </c>
      <c r="Q3518" s="31">
        <f t="shared" si="3158"/>
        <v>0</v>
      </c>
    </row>
    <row r="3519" spans="1:17" x14ac:dyDescent="0.2">
      <c r="A3519" s="10"/>
      <c r="B3519" s="26"/>
      <c r="C3519" s="11">
        <v>1989</v>
      </c>
      <c r="D3519" s="32">
        <f>SPFI_CLB14!$D$12</f>
        <v>0.65287700000000004</v>
      </c>
      <c r="E3519" s="32"/>
      <c r="F3519" s="32"/>
      <c r="G3519" s="32"/>
      <c r="H3519" s="32"/>
      <c r="I3519" s="32"/>
      <c r="J3519" s="28">
        <f t="shared" si="3157"/>
        <v>0</v>
      </c>
      <c r="K3519" s="29"/>
      <c r="L3519" s="29"/>
      <c r="M3519" s="29"/>
      <c r="N3519" s="29"/>
      <c r="O3519" s="29"/>
      <c r="P3519" s="30">
        <f t="shared" si="3159"/>
        <v>0</v>
      </c>
      <c r="Q3519" s="31">
        <f t="shared" si="3158"/>
        <v>0</v>
      </c>
    </row>
    <row r="3520" spans="1:17" x14ac:dyDescent="0.2">
      <c r="A3520" s="10"/>
      <c r="B3520" s="26"/>
      <c r="C3520" s="11">
        <v>1990</v>
      </c>
      <c r="D3520" s="32">
        <f>SPFI_CLB14!$D$13</f>
        <v>0.56965100000000002</v>
      </c>
      <c r="E3520" s="32"/>
      <c r="F3520" s="32"/>
      <c r="G3520" s="32"/>
      <c r="H3520" s="32"/>
      <c r="I3520" s="32"/>
      <c r="J3520" s="28">
        <f t="shared" si="3157"/>
        <v>0</v>
      </c>
      <c r="K3520" s="29"/>
      <c r="L3520" s="29"/>
      <c r="M3520" s="29"/>
      <c r="N3520" s="29"/>
      <c r="O3520" s="29"/>
      <c r="P3520" s="30">
        <f t="shared" si="3159"/>
        <v>0</v>
      </c>
      <c r="Q3520" s="31">
        <f t="shared" si="3158"/>
        <v>0</v>
      </c>
    </row>
    <row r="3521" spans="1:17" x14ac:dyDescent="0.2">
      <c r="A3521" s="10"/>
      <c r="B3521" s="26"/>
      <c r="C3521" s="11">
        <v>1991</v>
      </c>
      <c r="D3521" s="32">
        <f>SPFI_CLB14!$D$14</f>
        <v>0.62776900000000002</v>
      </c>
      <c r="E3521" s="32"/>
      <c r="F3521" s="32"/>
      <c r="G3521" s="32"/>
      <c r="H3521" s="32"/>
      <c r="I3521" s="32"/>
      <c r="J3521" s="28">
        <f t="shared" si="3157"/>
        <v>0</v>
      </c>
      <c r="K3521" s="29"/>
      <c r="L3521" s="29"/>
      <c r="M3521" s="29"/>
      <c r="N3521" s="29"/>
      <c r="O3521" s="29"/>
      <c r="P3521" s="30">
        <f t="shared" si="3159"/>
        <v>0</v>
      </c>
      <c r="Q3521" s="31">
        <f t="shared" si="3158"/>
        <v>0</v>
      </c>
    </row>
    <row r="3522" spans="1:17" x14ac:dyDescent="0.2">
      <c r="A3522" s="10"/>
      <c r="B3522" s="26"/>
      <c r="C3522" s="11">
        <v>1992</v>
      </c>
      <c r="D3522" s="32">
        <f>SPFI_CLB14!$D$15</f>
        <v>0.43504100000000001</v>
      </c>
      <c r="E3522" s="32"/>
      <c r="F3522" s="32"/>
      <c r="G3522" s="32"/>
      <c r="H3522" s="32"/>
      <c r="I3522" s="32"/>
      <c r="J3522" s="28">
        <f t="shared" si="3157"/>
        <v>0</v>
      </c>
      <c r="K3522" s="29"/>
      <c r="L3522" s="29"/>
      <c r="M3522" s="29"/>
      <c r="N3522" s="29"/>
      <c r="O3522" s="29"/>
      <c r="P3522" s="30">
        <f t="shared" si="3159"/>
        <v>0</v>
      </c>
      <c r="Q3522" s="31">
        <f t="shared" si="3158"/>
        <v>0</v>
      </c>
    </row>
    <row r="3523" spans="1:17" x14ac:dyDescent="0.2">
      <c r="A3523" s="10"/>
      <c r="B3523" s="26"/>
      <c r="C3523" s="11">
        <v>1993</v>
      </c>
      <c r="D3523" s="32">
        <f>SPFI_CLB14!$D$16</f>
        <v>0.499164</v>
      </c>
      <c r="E3523" s="32"/>
      <c r="F3523" s="32"/>
      <c r="G3523" s="32"/>
      <c r="H3523" s="32"/>
      <c r="I3523" s="32"/>
      <c r="J3523" s="28">
        <f t="shared" si="3157"/>
        <v>0</v>
      </c>
      <c r="K3523" s="29"/>
      <c r="L3523" s="29"/>
      <c r="M3523" s="29"/>
      <c r="N3523" s="29"/>
      <c r="O3523" s="29"/>
      <c r="P3523" s="30">
        <f t="shared" si="3159"/>
        <v>0</v>
      </c>
      <c r="Q3523" s="31">
        <f t="shared" si="3158"/>
        <v>0</v>
      </c>
    </row>
    <row r="3524" spans="1:17" x14ac:dyDescent="0.2">
      <c r="A3524" s="10"/>
      <c r="B3524" s="26"/>
      <c r="C3524" s="11">
        <v>1994</v>
      </c>
      <c r="D3524" s="32">
        <f>SPFI_CLB14!$D$17</f>
        <v>0.59591300000000003</v>
      </c>
      <c r="E3524" s="32"/>
      <c r="F3524" s="32"/>
      <c r="G3524" s="32"/>
      <c r="H3524" s="32"/>
      <c r="I3524" s="32"/>
      <c r="J3524" s="28">
        <f t="shared" si="3157"/>
        <v>0</v>
      </c>
      <c r="K3524" s="29"/>
      <c r="L3524" s="29"/>
      <c r="M3524" s="29"/>
      <c r="N3524" s="29"/>
      <c r="O3524" s="29"/>
      <c r="P3524" s="30">
        <f t="shared" si="3159"/>
        <v>0</v>
      </c>
      <c r="Q3524" s="31">
        <f t="shared" si="3158"/>
        <v>0</v>
      </c>
    </row>
    <row r="3525" spans="1:17" x14ac:dyDescent="0.2">
      <c r="A3525" s="10"/>
      <c r="B3525" s="26"/>
      <c r="C3525" s="11">
        <v>1995</v>
      </c>
      <c r="D3525" s="32">
        <f>SPFI_CLB14!$D$18</f>
        <v>0.25400800000000001</v>
      </c>
      <c r="E3525" s="32"/>
      <c r="F3525" s="32"/>
      <c r="G3525" s="32"/>
      <c r="H3525" s="32"/>
      <c r="I3525" s="32"/>
      <c r="J3525" s="28">
        <f t="shared" ref="J3525" si="3160">D3525*J$113</f>
        <v>0</v>
      </c>
      <c r="K3525" s="29"/>
      <c r="L3525" s="29"/>
      <c r="M3525" s="29"/>
      <c r="N3525" s="29"/>
      <c r="O3525" s="29"/>
      <c r="P3525" s="30">
        <f>SUM(J3525:O3525)</f>
        <v>0</v>
      </c>
      <c r="Q3525" s="31">
        <f t="shared" si="3158"/>
        <v>0</v>
      </c>
    </row>
    <row r="3526" spans="1:17" x14ac:dyDescent="0.2">
      <c r="A3526" s="10"/>
      <c r="B3526" s="26"/>
      <c r="C3526" s="11">
        <v>1996</v>
      </c>
      <c r="D3526" s="32">
        <f>SPFI_CLB14!$D$19</f>
        <v>0</v>
      </c>
      <c r="E3526" s="32"/>
      <c r="F3526" s="32"/>
      <c r="G3526" s="32"/>
      <c r="H3526" s="32"/>
      <c r="I3526" s="32"/>
      <c r="J3526" s="28">
        <f t="shared" ref="J3526" si="3161">D3526*J$113</f>
        <v>0</v>
      </c>
      <c r="K3526" s="29"/>
      <c r="L3526" s="29"/>
      <c r="M3526" s="29"/>
      <c r="N3526" s="29"/>
      <c r="O3526" s="29"/>
      <c r="P3526" s="30">
        <f>SUM(J3526:O3526)</f>
        <v>0</v>
      </c>
      <c r="Q3526" s="31">
        <f t="shared" si="3158"/>
        <v>0</v>
      </c>
    </row>
    <row r="3527" spans="1:17" x14ac:dyDescent="0.2">
      <c r="A3527" s="10"/>
      <c r="B3527" s="26"/>
      <c r="C3527" s="11">
        <v>1997</v>
      </c>
      <c r="D3527" s="32">
        <f>SPFI_CLB14!$D$20</f>
        <v>0.201487</v>
      </c>
      <c r="E3527" s="32"/>
      <c r="F3527" s="32"/>
      <c r="G3527" s="32"/>
      <c r="H3527" s="32"/>
      <c r="I3527" s="32"/>
      <c r="J3527" s="28">
        <f t="shared" ref="J3527" si="3162">D3527*J$113</f>
        <v>0</v>
      </c>
      <c r="K3527" s="29"/>
      <c r="L3527" s="29"/>
      <c r="M3527" s="29"/>
      <c r="N3527" s="29"/>
      <c r="O3527" s="29"/>
      <c r="P3527" s="30">
        <f>SUM(J3527:O3527)</f>
        <v>0</v>
      </c>
      <c r="Q3527" s="31">
        <f t="shared" si="3158"/>
        <v>0</v>
      </c>
    </row>
    <row r="3528" spans="1:17" x14ac:dyDescent="0.2">
      <c r="A3528" s="10"/>
      <c r="B3528" s="26"/>
      <c r="C3528" s="11">
        <v>1998</v>
      </c>
      <c r="D3528" s="32">
        <f>SPFI_CLB14!$D$21</f>
        <v>0.37506400000000001</v>
      </c>
      <c r="E3528" s="32"/>
      <c r="F3528" s="32"/>
      <c r="G3528" s="32"/>
      <c r="H3528" s="32"/>
      <c r="I3528" s="32"/>
      <c r="J3528" s="28">
        <f t="shared" ref="J3528" si="3163">D3528*J$113</f>
        <v>0</v>
      </c>
      <c r="K3528" s="29"/>
      <c r="L3528" s="29"/>
      <c r="M3528" s="29"/>
      <c r="N3528" s="29"/>
      <c r="O3528" s="29"/>
      <c r="P3528" s="30">
        <f>SUM(J3528:O3528)</f>
        <v>0</v>
      </c>
      <c r="Q3528" s="31">
        <f t="shared" si="3158"/>
        <v>0</v>
      </c>
    </row>
    <row r="3529" spans="1:17" x14ac:dyDescent="0.2">
      <c r="A3529" s="10"/>
      <c r="B3529" s="26"/>
      <c r="C3529" s="11">
        <v>1999</v>
      </c>
      <c r="D3529" s="32">
        <f>SPFI_CLB14!$D$22</f>
        <v>0.29823699999999997</v>
      </c>
      <c r="E3529" s="32"/>
      <c r="F3529" s="32"/>
      <c r="G3529" s="32"/>
      <c r="H3529" s="32"/>
      <c r="I3529" s="32"/>
      <c r="J3529" s="28">
        <f t="shared" ref="J3529" si="3164">D3529*J$113</f>
        <v>0</v>
      </c>
      <c r="K3529" s="29"/>
      <c r="L3529" s="29"/>
      <c r="M3529" s="29"/>
      <c r="N3529" s="29"/>
      <c r="O3529" s="29"/>
      <c r="P3529" s="30">
        <f>SUM(J3529:O3529)</f>
        <v>0</v>
      </c>
      <c r="Q3529" s="31">
        <f t="shared" ref="Q3529:Q3534" si="3165">IF(C$113&gt;0,P3529/C$113,0)</f>
        <v>0</v>
      </c>
    </row>
    <row r="3530" spans="1:17" x14ac:dyDescent="0.2">
      <c r="A3530" s="10"/>
      <c r="B3530" s="26"/>
      <c r="C3530" s="11">
        <v>2000</v>
      </c>
      <c r="D3530" s="32">
        <f>SPFI_CLB14!$D$23</f>
        <v>8.4414000000000003E-2</v>
      </c>
      <c r="E3530" s="32"/>
      <c r="F3530" s="32"/>
      <c r="G3530" s="32"/>
      <c r="H3530" s="32"/>
      <c r="I3530" s="32"/>
      <c r="J3530" s="28">
        <f t="shared" ref="J3530" si="3166">D3530*J$113</f>
        <v>0</v>
      </c>
      <c r="K3530" s="29"/>
      <c r="L3530" s="29"/>
      <c r="M3530" s="29"/>
      <c r="N3530" s="29"/>
      <c r="O3530" s="29"/>
      <c r="P3530" s="30">
        <f t="shared" ref="P3530:P3535" si="3167">SUM(J3530:O3530)</f>
        <v>0</v>
      </c>
      <c r="Q3530" s="31">
        <f t="shared" si="3165"/>
        <v>0</v>
      </c>
    </row>
    <row r="3531" spans="1:17" x14ac:dyDescent="0.2">
      <c r="A3531" s="10"/>
      <c r="B3531" s="26"/>
      <c r="C3531" s="11">
        <v>2001</v>
      </c>
      <c r="D3531" s="32">
        <f>SPFI_CLB14!$D$24</f>
        <v>7.8909000000000007E-2</v>
      </c>
      <c r="E3531" s="32"/>
      <c r="F3531" s="32"/>
      <c r="G3531" s="32"/>
      <c r="H3531" s="32"/>
      <c r="I3531" s="32"/>
      <c r="J3531" s="28">
        <f t="shared" ref="J3531" si="3168">D3531*J$113</f>
        <v>0</v>
      </c>
      <c r="K3531" s="29"/>
      <c r="L3531" s="29"/>
      <c r="M3531" s="29"/>
      <c r="N3531" s="29"/>
      <c r="O3531" s="29"/>
      <c r="P3531" s="30">
        <f t="shared" si="3167"/>
        <v>0</v>
      </c>
      <c r="Q3531" s="31">
        <f t="shared" si="3165"/>
        <v>0</v>
      </c>
    </row>
    <row r="3532" spans="1:17" x14ac:dyDescent="0.2">
      <c r="A3532" s="10"/>
      <c r="B3532" s="26"/>
      <c r="C3532" s="11">
        <v>2002</v>
      </c>
      <c r="D3532" s="32">
        <f>SPFI_CLB14!$D$25</f>
        <v>0.29974699999999999</v>
      </c>
      <c r="E3532" s="32"/>
      <c r="F3532" s="32"/>
      <c r="G3532" s="32"/>
      <c r="H3532" s="32"/>
      <c r="I3532" s="32"/>
      <c r="J3532" s="28">
        <f t="shared" ref="J3532" si="3169">D3532*J$113</f>
        <v>0</v>
      </c>
      <c r="K3532" s="29"/>
      <c r="L3532" s="29"/>
      <c r="M3532" s="29"/>
      <c r="N3532" s="29"/>
      <c r="O3532" s="29"/>
      <c r="P3532" s="30">
        <f t="shared" si="3167"/>
        <v>0</v>
      </c>
      <c r="Q3532" s="31">
        <f t="shared" si="3165"/>
        <v>0</v>
      </c>
    </row>
    <row r="3533" spans="1:17" x14ac:dyDescent="0.2">
      <c r="A3533" s="10"/>
      <c r="B3533" s="26"/>
      <c r="C3533" s="11">
        <v>2003</v>
      </c>
      <c r="D3533" s="32">
        <f>SPFI_CLB14!$D$26</f>
        <v>0.20691100000000001</v>
      </c>
      <c r="E3533" s="32"/>
      <c r="F3533" s="32"/>
      <c r="G3533" s="32"/>
      <c r="H3533" s="32"/>
      <c r="I3533" s="32"/>
      <c r="J3533" s="28">
        <f t="shared" ref="J3533" si="3170">D3533*J$113</f>
        <v>0</v>
      </c>
      <c r="K3533" s="29"/>
      <c r="L3533" s="29"/>
      <c r="M3533" s="29"/>
      <c r="N3533" s="29"/>
      <c r="O3533" s="29"/>
      <c r="P3533" s="30">
        <f t="shared" si="3167"/>
        <v>0</v>
      </c>
      <c r="Q3533" s="31">
        <f t="shared" si="3165"/>
        <v>0</v>
      </c>
    </row>
    <row r="3534" spans="1:17" x14ac:dyDescent="0.2">
      <c r="A3534" s="10"/>
      <c r="B3534" s="26"/>
      <c r="C3534" s="11">
        <v>2004</v>
      </c>
      <c r="D3534" s="32">
        <f>SPFI_CLB14!$D$27</f>
        <v>0.269237</v>
      </c>
      <c r="E3534" s="32"/>
      <c r="F3534" s="32"/>
      <c r="G3534" s="32"/>
      <c r="H3534" s="32"/>
      <c r="I3534" s="32"/>
      <c r="J3534" s="28">
        <f t="shared" ref="J3534" si="3171">D3534*J$113</f>
        <v>0</v>
      </c>
      <c r="K3534" s="29"/>
      <c r="L3534" s="29"/>
      <c r="M3534" s="29"/>
      <c r="N3534" s="29"/>
      <c r="O3534" s="29"/>
      <c r="P3534" s="30">
        <f t="shared" si="3167"/>
        <v>0</v>
      </c>
      <c r="Q3534" s="31">
        <f t="shared" si="3165"/>
        <v>0</v>
      </c>
    </row>
    <row r="3535" spans="1:17" x14ac:dyDescent="0.2">
      <c r="A3535" s="10"/>
      <c r="B3535" s="26"/>
      <c r="C3535" s="11">
        <v>2005</v>
      </c>
      <c r="D3535" s="32">
        <f>SPFI_CLB14!$D$28</f>
        <v>0.37848700000000002</v>
      </c>
      <c r="E3535" s="32"/>
      <c r="F3535" s="32"/>
      <c r="G3535" s="32"/>
      <c r="H3535" s="32"/>
      <c r="I3535" s="32"/>
      <c r="J3535" s="28">
        <f t="shared" ref="J3535" si="3172">D3535*J$113</f>
        <v>0</v>
      </c>
      <c r="K3535" s="29"/>
      <c r="L3535" s="29"/>
      <c r="M3535" s="29"/>
      <c r="N3535" s="29"/>
      <c r="O3535" s="29"/>
      <c r="P3535" s="30">
        <f t="shared" si="3167"/>
        <v>0</v>
      </c>
      <c r="Q3535" s="31">
        <f t="shared" ref="Q3535:Q3540" si="3173">IF(C$113&gt;0,P3535/C$113,0)</f>
        <v>0</v>
      </c>
    </row>
    <row r="3536" spans="1:17" x14ac:dyDescent="0.2">
      <c r="A3536" s="10"/>
      <c r="B3536" s="26"/>
      <c r="C3536" s="11">
        <v>2006</v>
      </c>
      <c r="D3536" s="32">
        <f>SPFI_CLB14!$D$29</f>
        <v>0.381023</v>
      </c>
      <c r="E3536" s="32"/>
      <c r="F3536" s="32"/>
      <c r="G3536" s="32"/>
      <c r="H3536" s="32"/>
      <c r="I3536" s="32"/>
      <c r="J3536" s="28">
        <f t="shared" ref="J3536" si="3174">D3536*J$113</f>
        <v>0</v>
      </c>
      <c r="K3536" s="29"/>
      <c r="L3536" s="29"/>
      <c r="M3536" s="29"/>
      <c r="N3536" s="29"/>
      <c r="O3536" s="29"/>
      <c r="P3536" s="30">
        <f t="shared" ref="P3536:P3543" si="3175">SUM(J3536:O3536)</f>
        <v>0</v>
      </c>
      <c r="Q3536" s="31">
        <f t="shared" si="3173"/>
        <v>0</v>
      </c>
    </row>
    <row r="3537" spans="1:17" x14ac:dyDescent="0.2">
      <c r="A3537" s="10"/>
      <c r="B3537" s="26"/>
      <c r="C3537" s="11">
        <v>2007</v>
      </c>
      <c r="D3537" s="32">
        <f>SPFI_CLB14!$D$30</f>
        <v>0.356512</v>
      </c>
      <c r="E3537" s="32"/>
      <c r="F3537" s="32"/>
      <c r="G3537" s="32"/>
      <c r="H3537" s="32"/>
      <c r="I3537" s="32"/>
      <c r="J3537" s="28">
        <f t="shared" ref="J3537" si="3176">D3537*J$113</f>
        <v>0</v>
      </c>
      <c r="K3537" s="29"/>
      <c r="L3537" s="29"/>
      <c r="M3537" s="29"/>
      <c r="N3537" s="29"/>
      <c r="O3537" s="29"/>
      <c r="P3537" s="30">
        <f t="shared" si="3175"/>
        <v>0</v>
      </c>
      <c r="Q3537" s="31">
        <f t="shared" si="3173"/>
        <v>0</v>
      </c>
    </row>
    <row r="3538" spans="1:17" x14ac:dyDescent="0.2">
      <c r="A3538" s="10"/>
      <c r="B3538" s="26"/>
      <c r="C3538" s="11">
        <v>2008</v>
      </c>
      <c r="D3538" s="32">
        <f>SPFI_CLB14!$D$31</f>
        <v>0.25494499999999998</v>
      </c>
      <c r="E3538" s="32"/>
      <c r="F3538" s="32"/>
      <c r="G3538" s="32"/>
      <c r="H3538" s="32"/>
      <c r="I3538" s="32"/>
      <c r="J3538" s="28">
        <f t="shared" ref="J3538" si="3177">D3538*J$113</f>
        <v>0</v>
      </c>
      <c r="K3538" s="29"/>
      <c r="L3538" s="29"/>
      <c r="M3538" s="29"/>
      <c r="N3538" s="29"/>
      <c r="O3538" s="29"/>
      <c r="P3538" s="30">
        <f t="shared" si="3175"/>
        <v>0</v>
      </c>
      <c r="Q3538" s="31">
        <f t="shared" si="3173"/>
        <v>0</v>
      </c>
    </row>
    <row r="3539" spans="1:17" x14ac:dyDescent="0.2">
      <c r="A3539" s="10"/>
      <c r="B3539" s="26"/>
      <c r="C3539" s="11">
        <v>2009</v>
      </c>
      <c r="D3539" s="32">
        <f>SPFI_CLB14!$D$32</f>
        <v>0.52383000000000002</v>
      </c>
      <c r="E3539" s="32"/>
      <c r="F3539" s="32"/>
      <c r="G3539" s="32"/>
      <c r="H3539" s="32"/>
      <c r="I3539" s="32"/>
      <c r="J3539" s="28">
        <f t="shared" ref="J3539" si="3178">D3539*J$113</f>
        <v>0</v>
      </c>
      <c r="K3539" s="29"/>
      <c r="L3539" s="29"/>
      <c r="M3539" s="29"/>
      <c r="N3539" s="29"/>
      <c r="O3539" s="29"/>
      <c r="P3539" s="30">
        <f t="shared" si="3175"/>
        <v>0</v>
      </c>
      <c r="Q3539" s="31">
        <f t="shared" si="3173"/>
        <v>0</v>
      </c>
    </row>
    <row r="3540" spans="1:17" x14ac:dyDescent="0.2">
      <c r="A3540" s="10"/>
      <c r="B3540" s="26"/>
      <c r="C3540" s="11">
        <v>2010</v>
      </c>
      <c r="D3540" s="32">
        <f>SPFI_CLB14!$D$33</f>
        <v>0.31394</v>
      </c>
      <c r="E3540" s="32"/>
      <c r="F3540" s="32"/>
      <c r="G3540" s="32"/>
      <c r="H3540" s="32"/>
      <c r="I3540" s="32"/>
      <c r="J3540" s="28">
        <f t="shared" ref="J3540" si="3179">D3540*J$113</f>
        <v>0</v>
      </c>
      <c r="K3540" s="29"/>
      <c r="L3540" s="29"/>
      <c r="M3540" s="29"/>
      <c r="N3540" s="29"/>
      <c r="O3540" s="29"/>
      <c r="P3540" s="30">
        <f t="shared" si="3175"/>
        <v>0</v>
      </c>
      <c r="Q3540" s="31">
        <f t="shared" si="3173"/>
        <v>0</v>
      </c>
    </row>
    <row r="3541" spans="1:17" x14ac:dyDescent="0.2">
      <c r="A3541" s="10"/>
      <c r="B3541" s="26"/>
      <c r="C3541" s="11">
        <v>2011</v>
      </c>
      <c r="D3541" s="32">
        <f>SPFI_CLB14!$D$34</f>
        <v>0.294348</v>
      </c>
      <c r="E3541" s="32"/>
      <c r="F3541" s="32"/>
      <c r="G3541" s="32"/>
      <c r="H3541" s="32"/>
      <c r="I3541" s="32"/>
      <c r="J3541" s="28">
        <f t="shared" ref="J3541" si="3180">D3541*J$113</f>
        <v>0</v>
      </c>
      <c r="K3541" s="29"/>
      <c r="L3541" s="29"/>
      <c r="M3541" s="29"/>
      <c r="N3541" s="29"/>
      <c r="O3541" s="29"/>
      <c r="P3541" s="30">
        <f t="shared" ref="P3541" si="3181">SUM(J3541:O3541)</f>
        <v>0</v>
      </c>
      <c r="Q3541" s="31">
        <f t="shared" ref="Q3541" si="3182">IF(C$113&gt;0,P3541/C$113,0)</f>
        <v>0</v>
      </c>
    </row>
    <row r="3542" spans="1:17" x14ac:dyDescent="0.2">
      <c r="A3542" s="10"/>
      <c r="B3542" s="26"/>
      <c r="C3542" s="11">
        <v>2012</v>
      </c>
      <c r="D3542" s="32">
        <f>SPFI_CLB14!$D$35</f>
        <v>0.34784100000000001</v>
      </c>
      <c r="E3542" s="32"/>
      <c r="F3542" s="32"/>
      <c r="G3542" s="32"/>
      <c r="H3542" s="32"/>
      <c r="I3542" s="32"/>
      <c r="J3542" s="28">
        <f t="shared" ref="J3542" si="3183">D3542*J$113</f>
        <v>0</v>
      </c>
      <c r="K3542" s="29"/>
      <c r="L3542" s="29"/>
      <c r="M3542" s="29"/>
      <c r="N3542" s="29"/>
      <c r="O3542" s="29"/>
      <c r="P3542" s="30">
        <f t="shared" ref="P3542" si="3184">SUM(J3542:O3542)</f>
        <v>0</v>
      </c>
      <c r="Q3542" s="31">
        <f t="shared" ref="Q3542" si="3185">IF(C$113&gt;0,P3542/C$113,0)</f>
        <v>0</v>
      </c>
    </row>
    <row r="3543" spans="1:17" x14ac:dyDescent="0.2">
      <c r="A3543" s="5" t="s">
        <v>33</v>
      </c>
      <c r="B3543" s="21">
        <v>4</v>
      </c>
      <c r="C3543" s="6">
        <v>1982</v>
      </c>
      <c r="D3543" s="27">
        <f>SPFI_CLB14!$D$5</f>
        <v>0.98153299999999999</v>
      </c>
      <c r="E3543" s="27"/>
      <c r="F3543" s="27"/>
      <c r="G3543" s="27"/>
      <c r="H3543" s="27"/>
      <c r="I3543" s="27"/>
      <c r="J3543" s="33">
        <f t="shared" ref="J3543:J3555" si="3186">D3543*J$114</f>
        <v>0</v>
      </c>
      <c r="K3543" s="27"/>
      <c r="L3543" s="27"/>
      <c r="M3543" s="27"/>
      <c r="N3543" s="27"/>
      <c r="O3543" s="27"/>
      <c r="P3543" s="34">
        <f t="shared" si="3175"/>
        <v>0</v>
      </c>
      <c r="Q3543" s="35">
        <f t="shared" ref="Q3543:Q3559" si="3187">IF(C$114&gt;0,P3543/C$114,0)</f>
        <v>0</v>
      </c>
    </row>
    <row r="3544" spans="1:17" x14ac:dyDescent="0.2">
      <c r="A3544" s="10"/>
      <c r="B3544" s="26"/>
      <c r="C3544" s="11">
        <v>1983</v>
      </c>
      <c r="D3544" s="32">
        <f>SPFI_CLB14!$D$6</f>
        <v>0.93659899999999996</v>
      </c>
      <c r="E3544" s="32"/>
      <c r="F3544" s="32"/>
      <c r="G3544" s="32"/>
      <c r="H3544" s="32"/>
      <c r="I3544" s="32"/>
      <c r="J3544" s="28">
        <f t="shared" si="3186"/>
        <v>0</v>
      </c>
      <c r="K3544" s="29"/>
      <c r="L3544" s="29"/>
      <c r="M3544" s="29"/>
      <c r="N3544" s="29"/>
      <c r="O3544" s="29"/>
      <c r="P3544" s="30">
        <f t="shared" ref="P3544:P3555" si="3188">SUM(J3544:O3544)</f>
        <v>0</v>
      </c>
      <c r="Q3544" s="31">
        <f t="shared" si="3187"/>
        <v>0</v>
      </c>
    </row>
    <row r="3545" spans="1:17" x14ac:dyDescent="0.2">
      <c r="A3545" s="10"/>
      <c r="B3545" s="26"/>
      <c r="C3545" s="11">
        <v>1984</v>
      </c>
      <c r="D3545" s="32">
        <f>SPFI_CLB14!$D$7</f>
        <v>0.92793599999999998</v>
      </c>
      <c r="E3545" s="32"/>
      <c r="F3545" s="32"/>
      <c r="G3545" s="32"/>
      <c r="H3545" s="32"/>
      <c r="I3545" s="32"/>
      <c r="J3545" s="28">
        <f t="shared" si="3186"/>
        <v>0</v>
      </c>
      <c r="K3545" s="29"/>
      <c r="L3545" s="29"/>
      <c r="M3545" s="29"/>
      <c r="N3545" s="29"/>
      <c r="O3545" s="29"/>
      <c r="P3545" s="30">
        <f t="shared" si="3188"/>
        <v>0</v>
      </c>
      <c r="Q3545" s="31">
        <f t="shared" si="3187"/>
        <v>0</v>
      </c>
    </row>
    <row r="3546" spans="1:17" x14ac:dyDescent="0.2">
      <c r="A3546" s="10"/>
      <c r="B3546" s="26"/>
      <c r="C3546" s="11">
        <v>1985</v>
      </c>
      <c r="D3546" s="32">
        <f>SPFI_CLB14!$D$8</f>
        <v>0.90386500000000003</v>
      </c>
      <c r="E3546" s="32"/>
      <c r="F3546" s="32"/>
      <c r="G3546" s="32"/>
      <c r="H3546" s="32"/>
      <c r="I3546" s="32"/>
      <c r="J3546" s="28">
        <f t="shared" si="3186"/>
        <v>0</v>
      </c>
      <c r="K3546" s="29"/>
      <c r="L3546" s="29"/>
      <c r="M3546" s="29"/>
      <c r="N3546" s="29"/>
      <c r="O3546" s="29"/>
      <c r="P3546" s="30">
        <f t="shared" si="3188"/>
        <v>0</v>
      </c>
      <c r="Q3546" s="31">
        <f t="shared" si="3187"/>
        <v>0</v>
      </c>
    </row>
    <row r="3547" spans="1:17" x14ac:dyDescent="0.2">
      <c r="A3547" s="10"/>
      <c r="B3547" s="26"/>
      <c r="C3547" s="11">
        <v>1986</v>
      </c>
      <c r="D3547" s="32">
        <f>SPFI_CLB14!$D$9</f>
        <v>0.73087500000000005</v>
      </c>
      <c r="E3547" s="32"/>
      <c r="F3547" s="32"/>
      <c r="G3547" s="32"/>
      <c r="H3547" s="32"/>
      <c r="I3547" s="32"/>
      <c r="J3547" s="28">
        <f t="shared" si="3186"/>
        <v>0</v>
      </c>
      <c r="K3547" s="29"/>
      <c r="L3547" s="29"/>
      <c r="M3547" s="29"/>
      <c r="N3547" s="29"/>
      <c r="O3547" s="29"/>
      <c r="P3547" s="30">
        <f t="shared" si="3188"/>
        <v>0</v>
      </c>
      <c r="Q3547" s="31">
        <f t="shared" si="3187"/>
        <v>0</v>
      </c>
    </row>
    <row r="3548" spans="1:17" x14ac:dyDescent="0.2">
      <c r="A3548" s="10"/>
      <c r="B3548" s="26"/>
      <c r="C3548" s="11">
        <v>1987</v>
      </c>
      <c r="D3548" s="32">
        <f>SPFI_CLB14!$D$10</f>
        <v>0.71733499999999994</v>
      </c>
      <c r="E3548" s="32"/>
      <c r="F3548" s="32"/>
      <c r="G3548" s="32"/>
      <c r="H3548" s="32"/>
      <c r="I3548" s="32"/>
      <c r="J3548" s="28">
        <f t="shared" si="3186"/>
        <v>0</v>
      </c>
      <c r="K3548" s="29"/>
      <c r="L3548" s="29"/>
      <c r="M3548" s="29"/>
      <c r="N3548" s="29"/>
      <c r="O3548" s="29"/>
      <c r="P3548" s="30">
        <f t="shared" si="3188"/>
        <v>0</v>
      </c>
      <c r="Q3548" s="31">
        <f t="shared" si="3187"/>
        <v>0</v>
      </c>
    </row>
    <row r="3549" spans="1:17" x14ac:dyDescent="0.2">
      <c r="A3549" s="10"/>
      <c r="B3549" s="26"/>
      <c r="C3549" s="11">
        <v>1988</v>
      </c>
      <c r="D3549" s="32">
        <f>SPFI_CLB14!$D$11</f>
        <v>0.64558800000000005</v>
      </c>
      <c r="E3549" s="32"/>
      <c r="F3549" s="32"/>
      <c r="G3549" s="32"/>
      <c r="H3549" s="32"/>
      <c r="I3549" s="32"/>
      <c r="J3549" s="28">
        <f t="shared" si="3186"/>
        <v>0</v>
      </c>
      <c r="K3549" s="29"/>
      <c r="L3549" s="29"/>
      <c r="M3549" s="29"/>
      <c r="N3549" s="29"/>
      <c r="O3549" s="29"/>
      <c r="P3549" s="30">
        <f t="shared" si="3188"/>
        <v>0</v>
      </c>
      <c r="Q3549" s="31">
        <f t="shared" si="3187"/>
        <v>0</v>
      </c>
    </row>
    <row r="3550" spans="1:17" x14ac:dyDescent="0.2">
      <c r="A3550" s="10"/>
      <c r="B3550" s="26"/>
      <c r="C3550" s="11">
        <v>1989</v>
      </c>
      <c r="D3550" s="32">
        <f>SPFI_CLB14!$D$12</f>
        <v>0.65287700000000004</v>
      </c>
      <c r="E3550" s="32"/>
      <c r="F3550" s="32"/>
      <c r="G3550" s="32"/>
      <c r="H3550" s="32"/>
      <c r="I3550" s="32"/>
      <c r="J3550" s="28">
        <f t="shared" si="3186"/>
        <v>0</v>
      </c>
      <c r="K3550" s="29"/>
      <c r="L3550" s="29"/>
      <c r="M3550" s="29"/>
      <c r="N3550" s="29"/>
      <c r="O3550" s="29"/>
      <c r="P3550" s="30">
        <f t="shared" si="3188"/>
        <v>0</v>
      </c>
      <c r="Q3550" s="31">
        <f t="shared" si="3187"/>
        <v>0</v>
      </c>
    </row>
    <row r="3551" spans="1:17" x14ac:dyDescent="0.2">
      <c r="A3551" s="10"/>
      <c r="B3551" s="26"/>
      <c r="C3551" s="11">
        <v>1990</v>
      </c>
      <c r="D3551" s="32">
        <f>SPFI_CLB14!$D$13</f>
        <v>0.56965100000000002</v>
      </c>
      <c r="E3551" s="32"/>
      <c r="F3551" s="32"/>
      <c r="G3551" s="32"/>
      <c r="H3551" s="32"/>
      <c r="I3551" s="32"/>
      <c r="J3551" s="28">
        <f t="shared" si="3186"/>
        <v>0</v>
      </c>
      <c r="K3551" s="29"/>
      <c r="L3551" s="29"/>
      <c r="M3551" s="29"/>
      <c r="N3551" s="29"/>
      <c r="O3551" s="29"/>
      <c r="P3551" s="30">
        <f t="shared" si="3188"/>
        <v>0</v>
      </c>
      <c r="Q3551" s="31">
        <f t="shared" si="3187"/>
        <v>0</v>
      </c>
    </row>
    <row r="3552" spans="1:17" x14ac:dyDescent="0.2">
      <c r="A3552" s="10"/>
      <c r="B3552" s="26"/>
      <c r="C3552" s="11">
        <v>1991</v>
      </c>
      <c r="D3552" s="32">
        <f>SPFI_CLB14!$D$14</f>
        <v>0.62776900000000002</v>
      </c>
      <c r="E3552" s="32"/>
      <c r="F3552" s="32"/>
      <c r="G3552" s="32"/>
      <c r="H3552" s="32"/>
      <c r="I3552" s="32"/>
      <c r="J3552" s="28">
        <f t="shared" si="3186"/>
        <v>0</v>
      </c>
      <c r="K3552" s="29"/>
      <c r="L3552" s="29"/>
      <c r="M3552" s="29"/>
      <c r="N3552" s="29"/>
      <c r="O3552" s="29"/>
      <c r="P3552" s="30">
        <f t="shared" si="3188"/>
        <v>0</v>
      </c>
      <c r="Q3552" s="31">
        <f t="shared" si="3187"/>
        <v>0</v>
      </c>
    </row>
    <row r="3553" spans="1:17" x14ac:dyDescent="0.2">
      <c r="A3553" s="10"/>
      <c r="B3553" s="26"/>
      <c r="C3553" s="11">
        <v>1992</v>
      </c>
      <c r="D3553" s="32">
        <f>SPFI_CLB14!$D$15</f>
        <v>0.43504100000000001</v>
      </c>
      <c r="E3553" s="32"/>
      <c r="F3553" s="32"/>
      <c r="G3553" s="32"/>
      <c r="H3553" s="32"/>
      <c r="I3553" s="32"/>
      <c r="J3553" s="28">
        <f t="shared" si="3186"/>
        <v>0</v>
      </c>
      <c r="K3553" s="29"/>
      <c r="L3553" s="29"/>
      <c r="M3553" s="29"/>
      <c r="N3553" s="29"/>
      <c r="O3553" s="29"/>
      <c r="P3553" s="30">
        <f t="shared" si="3188"/>
        <v>0</v>
      </c>
      <c r="Q3553" s="31">
        <f t="shared" si="3187"/>
        <v>0</v>
      </c>
    </row>
    <row r="3554" spans="1:17" x14ac:dyDescent="0.2">
      <c r="A3554" s="10"/>
      <c r="B3554" s="26"/>
      <c r="C3554" s="11">
        <v>1993</v>
      </c>
      <c r="D3554" s="32">
        <f>SPFI_CLB14!$D$16</f>
        <v>0.499164</v>
      </c>
      <c r="E3554" s="32"/>
      <c r="F3554" s="32"/>
      <c r="G3554" s="32"/>
      <c r="H3554" s="32"/>
      <c r="I3554" s="32"/>
      <c r="J3554" s="28">
        <f t="shared" si="3186"/>
        <v>0</v>
      </c>
      <c r="K3554" s="29"/>
      <c r="L3554" s="29"/>
      <c r="M3554" s="29"/>
      <c r="N3554" s="29"/>
      <c r="O3554" s="29"/>
      <c r="P3554" s="30">
        <f t="shared" si="3188"/>
        <v>0</v>
      </c>
      <c r="Q3554" s="31">
        <f t="shared" si="3187"/>
        <v>0</v>
      </c>
    </row>
    <row r="3555" spans="1:17" x14ac:dyDescent="0.2">
      <c r="A3555" s="10"/>
      <c r="B3555" s="26"/>
      <c r="C3555" s="11">
        <v>1994</v>
      </c>
      <c r="D3555" s="32">
        <f>SPFI_CLB14!$D$17</f>
        <v>0.59591300000000003</v>
      </c>
      <c r="E3555" s="32"/>
      <c r="F3555" s="32"/>
      <c r="G3555" s="32"/>
      <c r="H3555" s="32"/>
      <c r="I3555" s="32"/>
      <c r="J3555" s="28">
        <f t="shared" si="3186"/>
        <v>0</v>
      </c>
      <c r="K3555" s="29"/>
      <c r="L3555" s="29"/>
      <c r="M3555" s="29"/>
      <c r="N3555" s="29"/>
      <c r="O3555" s="29"/>
      <c r="P3555" s="30">
        <f t="shared" si="3188"/>
        <v>0</v>
      </c>
      <c r="Q3555" s="31">
        <f t="shared" si="3187"/>
        <v>0</v>
      </c>
    </row>
    <row r="3556" spans="1:17" x14ac:dyDescent="0.2">
      <c r="A3556" s="10"/>
      <c r="B3556" s="26"/>
      <c r="C3556" s="11">
        <v>1995</v>
      </c>
      <c r="D3556" s="32">
        <f>SPFI_CLB14!$D$18</f>
        <v>0.25400800000000001</v>
      </c>
      <c r="E3556" s="32"/>
      <c r="F3556" s="32"/>
      <c r="G3556" s="32"/>
      <c r="H3556" s="32"/>
      <c r="I3556" s="32"/>
      <c r="J3556" s="28">
        <f t="shared" ref="J3556" si="3189">D3556*J$114</f>
        <v>0</v>
      </c>
      <c r="K3556" s="29"/>
      <c r="L3556" s="29"/>
      <c r="M3556" s="29"/>
      <c r="N3556" s="29"/>
      <c r="O3556" s="29"/>
      <c r="P3556" s="30">
        <f>SUM(J3556:O3556)</f>
        <v>0</v>
      </c>
      <c r="Q3556" s="31">
        <f t="shared" si="3187"/>
        <v>0</v>
      </c>
    </row>
    <row r="3557" spans="1:17" x14ac:dyDescent="0.2">
      <c r="A3557" s="10"/>
      <c r="B3557" s="26"/>
      <c r="C3557" s="11">
        <v>1996</v>
      </c>
      <c r="D3557" s="32">
        <f>SPFI_CLB14!$D$19</f>
        <v>0</v>
      </c>
      <c r="E3557" s="32"/>
      <c r="F3557" s="32"/>
      <c r="G3557" s="32"/>
      <c r="H3557" s="32"/>
      <c r="I3557" s="32"/>
      <c r="J3557" s="28">
        <f t="shared" ref="J3557" si="3190">D3557*J$114</f>
        <v>0</v>
      </c>
      <c r="K3557" s="29"/>
      <c r="L3557" s="29"/>
      <c r="M3557" s="29"/>
      <c r="N3557" s="29"/>
      <c r="O3557" s="29"/>
      <c r="P3557" s="30">
        <f>SUM(J3557:O3557)</f>
        <v>0</v>
      </c>
      <c r="Q3557" s="31">
        <f t="shared" si="3187"/>
        <v>0</v>
      </c>
    </row>
    <row r="3558" spans="1:17" x14ac:dyDescent="0.2">
      <c r="A3558" s="10"/>
      <c r="B3558" s="26"/>
      <c r="C3558" s="11">
        <v>1997</v>
      </c>
      <c r="D3558" s="32">
        <f>SPFI_CLB14!$D$20</f>
        <v>0.201487</v>
      </c>
      <c r="E3558" s="32"/>
      <c r="F3558" s="32"/>
      <c r="G3558" s="32"/>
      <c r="H3558" s="32"/>
      <c r="I3558" s="32"/>
      <c r="J3558" s="28">
        <f t="shared" ref="J3558" si="3191">D3558*J$114</f>
        <v>0</v>
      </c>
      <c r="K3558" s="29"/>
      <c r="L3558" s="29"/>
      <c r="M3558" s="29"/>
      <c r="N3558" s="29"/>
      <c r="O3558" s="29"/>
      <c r="P3558" s="30">
        <f>SUM(J3558:O3558)</f>
        <v>0</v>
      </c>
      <c r="Q3558" s="31">
        <f t="shared" si="3187"/>
        <v>0</v>
      </c>
    </row>
    <row r="3559" spans="1:17" x14ac:dyDescent="0.2">
      <c r="A3559" s="10"/>
      <c r="B3559" s="26"/>
      <c r="C3559" s="11">
        <v>1998</v>
      </c>
      <c r="D3559" s="32">
        <f>SPFI_CLB14!$D$21</f>
        <v>0.37506400000000001</v>
      </c>
      <c r="E3559" s="32"/>
      <c r="F3559" s="32"/>
      <c r="G3559" s="32"/>
      <c r="H3559" s="32"/>
      <c r="I3559" s="32"/>
      <c r="J3559" s="28">
        <f t="shared" ref="J3559" si="3192">D3559*J$114</f>
        <v>0</v>
      </c>
      <c r="K3559" s="29"/>
      <c r="L3559" s="29"/>
      <c r="M3559" s="29"/>
      <c r="N3559" s="29"/>
      <c r="O3559" s="29"/>
      <c r="P3559" s="30">
        <f>SUM(J3559:O3559)</f>
        <v>0</v>
      </c>
      <c r="Q3559" s="31">
        <f t="shared" si="3187"/>
        <v>0</v>
      </c>
    </row>
    <row r="3560" spans="1:17" x14ac:dyDescent="0.2">
      <c r="A3560" s="10"/>
      <c r="B3560" s="26"/>
      <c r="C3560" s="11">
        <v>1999</v>
      </c>
      <c r="D3560" s="32">
        <f>SPFI_CLB14!$D$22</f>
        <v>0.29823699999999997</v>
      </c>
      <c r="E3560" s="32"/>
      <c r="F3560" s="32"/>
      <c r="G3560" s="32"/>
      <c r="H3560" s="32"/>
      <c r="I3560" s="32"/>
      <c r="J3560" s="28">
        <f t="shared" ref="J3560" si="3193">D3560*J$114</f>
        <v>0</v>
      </c>
      <c r="K3560" s="29"/>
      <c r="L3560" s="29"/>
      <c r="M3560" s="29"/>
      <c r="N3560" s="29"/>
      <c r="O3560" s="29"/>
      <c r="P3560" s="30">
        <f>SUM(J3560:O3560)</f>
        <v>0</v>
      </c>
      <c r="Q3560" s="31">
        <f t="shared" ref="Q3560:Q3565" si="3194">IF(C$114&gt;0,P3560/C$114,0)</f>
        <v>0</v>
      </c>
    </row>
    <row r="3561" spans="1:17" x14ac:dyDescent="0.2">
      <c r="A3561" s="10"/>
      <c r="B3561" s="26"/>
      <c r="C3561" s="11">
        <v>2000</v>
      </c>
      <c r="D3561" s="32">
        <f>SPFI_CLB14!$D$23</f>
        <v>8.4414000000000003E-2</v>
      </c>
      <c r="E3561" s="32"/>
      <c r="F3561" s="32"/>
      <c r="G3561" s="32"/>
      <c r="H3561" s="32"/>
      <c r="I3561" s="32"/>
      <c r="J3561" s="28">
        <f t="shared" ref="J3561" si="3195">D3561*J$114</f>
        <v>0</v>
      </c>
      <c r="K3561" s="29"/>
      <c r="L3561" s="29"/>
      <c r="M3561" s="29"/>
      <c r="N3561" s="29"/>
      <c r="O3561" s="29"/>
      <c r="P3561" s="30">
        <f t="shared" ref="P3561:P3566" si="3196">SUM(J3561:O3561)</f>
        <v>0</v>
      </c>
      <c r="Q3561" s="31">
        <f t="shared" si="3194"/>
        <v>0</v>
      </c>
    </row>
    <row r="3562" spans="1:17" x14ac:dyDescent="0.2">
      <c r="A3562" s="10"/>
      <c r="B3562" s="26"/>
      <c r="C3562" s="11">
        <v>2001</v>
      </c>
      <c r="D3562" s="32">
        <f>SPFI_CLB14!$D$24</f>
        <v>7.8909000000000007E-2</v>
      </c>
      <c r="E3562" s="32"/>
      <c r="F3562" s="32"/>
      <c r="G3562" s="32"/>
      <c r="H3562" s="32"/>
      <c r="I3562" s="32"/>
      <c r="J3562" s="28">
        <f t="shared" ref="J3562" si="3197">D3562*J$114</f>
        <v>0</v>
      </c>
      <c r="K3562" s="29"/>
      <c r="L3562" s="29"/>
      <c r="M3562" s="29"/>
      <c r="N3562" s="29"/>
      <c r="O3562" s="29"/>
      <c r="P3562" s="30">
        <f t="shared" si="3196"/>
        <v>0</v>
      </c>
      <c r="Q3562" s="31">
        <f t="shared" si="3194"/>
        <v>0</v>
      </c>
    </row>
    <row r="3563" spans="1:17" x14ac:dyDescent="0.2">
      <c r="A3563" s="10"/>
      <c r="B3563" s="26"/>
      <c r="C3563" s="11">
        <v>2002</v>
      </c>
      <c r="D3563" s="32">
        <f>SPFI_CLB14!$D$25</f>
        <v>0.29974699999999999</v>
      </c>
      <c r="E3563" s="32"/>
      <c r="F3563" s="32"/>
      <c r="G3563" s="32"/>
      <c r="H3563" s="32"/>
      <c r="I3563" s="32"/>
      <c r="J3563" s="28">
        <f t="shared" ref="J3563" si="3198">D3563*J$114</f>
        <v>0</v>
      </c>
      <c r="K3563" s="29"/>
      <c r="L3563" s="29"/>
      <c r="M3563" s="29"/>
      <c r="N3563" s="29"/>
      <c r="O3563" s="29"/>
      <c r="P3563" s="30">
        <f t="shared" si="3196"/>
        <v>0</v>
      </c>
      <c r="Q3563" s="31">
        <f t="shared" si="3194"/>
        <v>0</v>
      </c>
    </row>
    <row r="3564" spans="1:17" x14ac:dyDescent="0.2">
      <c r="A3564" s="10"/>
      <c r="B3564" s="26"/>
      <c r="C3564" s="11">
        <v>2003</v>
      </c>
      <c r="D3564" s="32">
        <f>SPFI_CLB14!$D$26</f>
        <v>0.20691100000000001</v>
      </c>
      <c r="E3564" s="32"/>
      <c r="F3564" s="32"/>
      <c r="G3564" s="32"/>
      <c r="H3564" s="32"/>
      <c r="I3564" s="32"/>
      <c r="J3564" s="28">
        <f t="shared" ref="J3564" si="3199">D3564*J$114</f>
        <v>0</v>
      </c>
      <c r="K3564" s="29"/>
      <c r="L3564" s="29"/>
      <c r="M3564" s="29"/>
      <c r="N3564" s="29"/>
      <c r="O3564" s="29"/>
      <c r="P3564" s="30">
        <f t="shared" si="3196"/>
        <v>0</v>
      </c>
      <c r="Q3564" s="31">
        <f t="shared" si="3194"/>
        <v>0</v>
      </c>
    </row>
    <row r="3565" spans="1:17" x14ac:dyDescent="0.2">
      <c r="A3565" s="10"/>
      <c r="B3565" s="26"/>
      <c r="C3565" s="11">
        <v>2004</v>
      </c>
      <c r="D3565" s="32">
        <f>SPFI_CLB14!$D$27</f>
        <v>0.269237</v>
      </c>
      <c r="E3565" s="32"/>
      <c r="F3565" s="32"/>
      <c r="G3565" s="32"/>
      <c r="H3565" s="32"/>
      <c r="I3565" s="32"/>
      <c r="J3565" s="28">
        <f t="shared" ref="J3565" si="3200">D3565*J$114</f>
        <v>0</v>
      </c>
      <c r="K3565" s="29"/>
      <c r="L3565" s="29"/>
      <c r="M3565" s="29"/>
      <c r="N3565" s="29"/>
      <c r="O3565" s="29"/>
      <c r="P3565" s="30">
        <f t="shared" si="3196"/>
        <v>0</v>
      </c>
      <c r="Q3565" s="31">
        <f t="shared" si="3194"/>
        <v>0</v>
      </c>
    </row>
    <row r="3566" spans="1:17" x14ac:dyDescent="0.2">
      <c r="A3566" s="10"/>
      <c r="B3566" s="26"/>
      <c r="C3566" s="11">
        <v>2005</v>
      </c>
      <c r="D3566" s="32">
        <f>SPFI_CLB14!$D$28</f>
        <v>0.37848700000000002</v>
      </c>
      <c r="E3566" s="32"/>
      <c r="F3566" s="32"/>
      <c r="G3566" s="32"/>
      <c r="H3566" s="32"/>
      <c r="I3566" s="32"/>
      <c r="J3566" s="28">
        <f t="shared" ref="J3566" si="3201">D3566*J$114</f>
        <v>0</v>
      </c>
      <c r="K3566" s="29"/>
      <c r="L3566" s="29"/>
      <c r="M3566" s="29"/>
      <c r="N3566" s="29"/>
      <c r="O3566" s="29"/>
      <c r="P3566" s="30">
        <f t="shared" si="3196"/>
        <v>0</v>
      </c>
      <c r="Q3566" s="31">
        <f t="shared" ref="Q3566:Q3571" si="3202">IF(C$114&gt;0,P3566/C$114,0)</f>
        <v>0</v>
      </c>
    </row>
    <row r="3567" spans="1:17" x14ac:dyDescent="0.2">
      <c r="A3567" s="10"/>
      <c r="B3567" s="26"/>
      <c r="C3567" s="11">
        <v>2006</v>
      </c>
      <c r="D3567" s="32">
        <f>SPFI_CLB14!$D$29</f>
        <v>0.381023</v>
      </c>
      <c r="E3567" s="32"/>
      <c r="F3567" s="32"/>
      <c r="G3567" s="32"/>
      <c r="H3567" s="32"/>
      <c r="I3567" s="32"/>
      <c r="J3567" s="28">
        <f t="shared" ref="J3567" si="3203">D3567*J$114</f>
        <v>0</v>
      </c>
      <c r="K3567" s="29"/>
      <c r="L3567" s="29"/>
      <c r="M3567" s="29"/>
      <c r="N3567" s="29"/>
      <c r="O3567" s="29"/>
      <c r="P3567" s="30">
        <f t="shared" ref="P3567:P3574" si="3204">SUM(J3567:O3567)</f>
        <v>0</v>
      </c>
      <c r="Q3567" s="31">
        <f t="shared" si="3202"/>
        <v>0</v>
      </c>
    </row>
    <row r="3568" spans="1:17" x14ac:dyDescent="0.2">
      <c r="A3568" s="10"/>
      <c r="B3568" s="26"/>
      <c r="C3568" s="11">
        <v>2007</v>
      </c>
      <c r="D3568" s="32">
        <f>SPFI_CLB14!$D$30</f>
        <v>0.356512</v>
      </c>
      <c r="E3568" s="32"/>
      <c r="F3568" s="32"/>
      <c r="G3568" s="32"/>
      <c r="H3568" s="32"/>
      <c r="I3568" s="32"/>
      <c r="J3568" s="28">
        <f t="shared" ref="J3568" si="3205">D3568*J$114</f>
        <v>0</v>
      </c>
      <c r="K3568" s="29"/>
      <c r="L3568" s="29"/>
      <c r="M3568" s="29"/>
      <c r="N3568" s="29"/>
      <c r="O3568" s="29"/>
      <c r="P3568" s="30">
        <f t="shared" si="3204"/>
        <v>0</v>
      </c>
      <c r="Q3568" s="31">
        <f t="shared" si="3202"/>
        <v>0</v>
      </c>
    </row>
    <row r="3569" spans="1:17" x14ac:dyDescent="0.2">
      <c r="A3569" s="10"/>
      <c r="B3569" s="26"/>
      <c r="C3569" s="11">
        <v>2008</v>
      </c>
      <c r="D3569" s="32">
        <f>SPFI_CLB14!$D$31</f>
        <v>0.25494499999999998</v>
      </c>
      <c r="E3569" s="32"/>
      <c r="F3569" s="32"/>
      <c r="G3569" s="32"/>
      <c r="H3569" s="32"/>
      <c r="I3569" s="32"/>
      <c r="J3569" s="28">
        <f t="shared" ref="J3569" si="3206">D3569*J$114</f>
        <v>0</v>
      </c>
      <c r="K3569" s="29"/>
      <c r="L3569" s="29"/>
      <c r="M3569" s="29"/>
      <c r="N3569" s="29"/>
      <c r="O3569" s="29"/>
      <c r="P3569" s="30">
        <f t="shared" si="3204"/>
        <v>0</v>
      </c>
      <c r="Q3569" s="31">
        <f t="shared" si="3202"/>
        <v>0</v>
      </c>
    </row>
    <row r="3570" spans="1:17" x14ac:dyDescent="0.2">
      <c r="A3570" s="10"/>
      <c r="B3570" s="26"/>
      <c r="C3570" s="11">
        <v>2009</v>
      </c>
      <c r="D3570" s="32">
        <f>SPFI_CLB14!$D$32</f>
        <v>0.52383000000000002</v>
      </c>
      <c r="E3570" s="32"/>
      <c r="F3570" s="32"/>
      <c r="G3570" s="32"/>
      <c r="H3570" s="32"/>
      <c r="I3570" s="32"/>
      <c r="J3570" s="28">
        <f t="shared" ref="J3570" si="3207">D3570*J$114</f>
        <v>0</v>
      </c>
      <c r="K3570" s="29"/>
      <c r="L3570" s="29"/>
      <c r="M3570" s="29"/>
      <c r="N3570" s="29"/>
      <c r="O3570" s="29"/>
      <c r="P3570" s="30">
        <f t="shared" si="3204"/>
        <v>0</v>
      </c>
      <c r="Q3570" s="31">
        <f t="shared" si="3202"/>
        <v>0</v>
      </c>
    </row>
    <row r="3571" spans="1:17" x14ac:dyDescent="0.2">
      <c r="A3571" s="10"/>
      <c r="B3571" s="26"/>
      <c r="C3571" s="11">
        <v>2010</v>
      </c>
      <c r="D3571" s="32">
        <f>SPFI_CLB14!$D$33</f>
        <v>0.31394</v>
      </c>
      <c r="E3571" s="32"/>
      <c r="F3571" s="32"/>
      <c r="G3571" s="32"/>
      <c r="H3571" s="32"/>
      <c r="I3571" s="32"/>
      <c r="J3571" s="28">
        <f t="shared" ref="J3571" si="3208">D3571*J$114</f>
        <v>0</v>
      </c>
      <c r="K3571" s="29"/>
      <c r="L3571" s="29"/>
      <c r="M3571" s="29"/>
      <c r="N3571" s="29"/>
      <c r="O3571" s="29"/>
      <c r="P3571" s="30">
        <f t="shared" si="3204"/>
        <v>0</v>
      </c>
      <c r="Q3571" s="31">
        <f t="shared" si="3202"/>
        <v>0</v>
      </c>
    </row>
    <row r="3572" spans="1:17" x14ac:dyDescent="0.2">
      <c r="A3572" s="10"/>
      <c r="B3572" s="26"/>
      <c r="C3572" s="11">
        <v>2011</v>
      </c>
      <c r="D3572" s="32">
        <f>SPFI_CLB14!$D$34</f>
        <v>0.294348</v>
      </c>
      <c r="E3572" s="32"/>
      <c r="F3572" s="32"/>
      <c r="G3572" s="32"/>
      <c r="H3572" s="32"/>
      <c r="I3572" s="32"/>
      <c r="J3572" s="28">
        <f t="shared" ref="J3572" si="3209">D3572*J$114</f>
        <v>0</v>
      </c>
      <c r="K3572" s="29"/>
      <c r="L3572" s="29"/>
      <c r="M3572" s="29"/>
      <c r="N3572" s="29"/>
      <c r="O3572" s="29"/>
      <c r="P3572" s="30">
        <f t="shared" ref="P3572" si="3210">SUM(J3572:O3572)</f>
        <v>0</v>
      </c>
      <c r="Q3572" s="31">
        <f t="shared" ref="Q3572" si="3211">IF(C$114&gt;0,P3572/C$114,0)</f>
        <v>0</v>
      </c>
    </row>
    <row r="3573" spans="1:17" x14ac:dyDescent="0.2">
      <c r="A3573" s="10"/>
      <c r="B3573" s="26"/>
      <c r="C3573" s="11">
        <v>2012</v>
      </c>
      <c r="D3573" s="32">
        <f>SPFI_CLB14!$D$35</f>
        <v>0.34784100000000001</v>
      </c>
      <c r="E3573" s="32"/>
      <c r="F3573" s="32"/>
      <c r="G3573" s="32"/>
      <c r="H3573" s="32"/>
      <c r="I3573" s="32"/>
      <c r="J3573" s="28">
        <f t="shared" ref="J3573" si="3212">D3573*J$114</f>
        <v>0</v>
      </c>
      <c r="K3573" s="29"/>
      <c r="L3573" s="29"/>
      <c r="M3573" s="29"/>
      <c r="N3573" s="29"/>
      <c r="O3573" s="29"/>
      <c r="P3573" s="30">
        <f t="shared" ref="P3573" si="3213">SUM(J3573:O3573)</f>
        <v>0</v>
      </c>
      <c r="Q3573" s="31">
        <f t="shared" ref="Q3573" si="3214">IF(C$114&gt;0,P3573/C$114,0)</f>
        <v>0</v>
      </c>
    </row>
    <row r="3574" spans="1:17" x14ac:dyDescent="0.2">
      <c r="A3574" s="5" t="s">
        <v>33</v>
      </c>
      <c r="B3574" s="21">
        <v>5</v>
      </c>
      <c r="C3574" s="6">
        <v>1982</v>
      </c>
      <c r="D3574" s="27">
        <f>SPFI_CLB14!$D$5</f>
        <v>0.98153299999999999</v>
      </c>
      <c r="E3574" s="27"/>
      <c r="F3574" s="27"/>
      <c r="G3574" s="27"/>
      <c r="H3574" s="27"/>
      <c r="I3574" s="27"/>
      <c r="J3574" s="33">
        <f t="shared" ref="J3574:J3586" si="3215">D3574*J$115</f>
        <v>0</v>
      </c>
      <c r="K3574" s="27"/>
      <c r="L3574" s="27"/>
      <c r="M3574" s="27"/>
      <c r="N3574" s="27"/>
      <c r="O3574" s="27"/>
      <c r="P3574" s="34">
        <f t="shared" si="3204"/>
        <v>0</v>
      </c>
      <c r="Q3574" s="35">
        <f t="shared" ref="Q3574:Q3590" si="3216">IF(C$115&gt;0,P3574/C$115,0)</f>
        <v>0</v>
      </c>
    </row>
    <row r="3575" spans="1:17" x14ac:dyDescent="0.2">
      <c r="A3575" s="10"/>
      <c r="B3575" s="26"/>
      <c r="C3575" s="11">
        <v>1983</v>
      </c>
      <c r="D3575" s="32">
        <f>SPFI_CLB14!$D$6</f>
        <v>0.93659899999999996</v>
      </c>
      <c r="E3575" s="32"/>
      <c r="F3575" s="32"/>
      <c r="G3575" s="32"/>
      <c r="H3575" s="32"/>
      <c r="I3575" s="32"/>
      <c r="J3575" s="28">
        <f t="shared" si="3215"/>
        <v>0</v>
      </c>
      <c r="K3575" s="29"/>
      <c r="L3575" s="29"/>
      <c r="M3575" s="29"/>
      <c r="N3575" s="29"/>
      <c r="O3575" s="29"/>
      <c r="P3575" s="30">
        <f t="shared" ref="P3575:P3586" si="3217">SUM(J3575:O3575)</f>
        <v>0</v>
      </c>
      <c r="Q3575" s="31">
        <f t="shared" si="3216"/>
        <v>0</v>
      </c>
    </row>
    <row r="3576" spans="1:17" x14ac:dyDescent="0.2">
      <c r="A3576" s="10"/>
      <c r="B3576" s="26"/>
      <c r="C3576" s="11">
        <v>1984</v>
      </c>
      <c r="D3576" s="32">
        <f>SPFI_CLB14!$D$7</f>
        <v>0.92793599999999998</v>
      </c>
      <c r="E3576" s="32"/>
      <c r="F3576" s="32"/>
      <c r="G3576" s="32"/>
      <c r="H3576" s="32"/>
      <c r="I3576" s="32"/>
      <c r="J3576" s="28">
        <f t="shared" si="3215"/>
        <v>0</v>
      </c>
      <c r="K3576" s="29"/>
      <c r="L3576" s="29"/>
      <c r="M3576" s="29"/>
      <c r="N3576" s="29"/>
      <c r="O3576" s="29"/>
      <c r="P3576" s="30">
        <f t="shared" si="3217"/>
        <v>0</v>
      </c>
      <c r="Q3576" s="31">
        <f t="shared" si="3216"/>
        <v>0</v>
      </c>
    </row>
    <row r="3577" spans="1:17" x14ac:dyDescent="0.2">
      <c r="A3577" s="10"/>
      <c r="B3577" s="26"/>
      <c r="C3577" s="11">
        <v>1985</v>
      </c>
      <c r="D3577" s="32">
        <f>SPFI_CLB14!$D$8</f>
        <v>0.90386500000000003</v>
      </c>
      <c r="E3577" s="32"/>
      <c r="F3577" s="32"/>
      <c r="G3577" s="32"/>
      <c r="H3577" s="32"/>
      <c r="I3577" s="32"/>
      <c r="J3577" s="28">
        <f t="shared" si="3215"/>
        <v>0</v>
      </c>
      <c r="K3577" s="29"/>
      <c r="L3577" s="29"/>
      <c r="M3577" s="29"/>
      <c r="N3577" s="29"/>
      <c r="O3577" s="29"/>
      <c r="P3577" s="30">
        <f t="shared" si="3217"/>
        <v>0</v>
      </c>
      <c r="Q3577" s="31">
        <f t="shared" si="3216"/>
        <v>0</v>
      </c>
    </row>
    <row r="3578" spans="1:17" x14ac:dyDescent="0.2">
      <c r="A3578" s="10"/>
      <c r="B3578" s="26"/>
      <c r="C3578" s="11">
        <v>1986</v>
      </c>
      <c r="D3578" s="32">
        <f>SPFI_CLB14!$D$9</f>
        <v>0.73087500000000005</v>
      </c>
      <c r="E3578" s="32"/>
      <c r="F3578" s="32"/>
      <c r="G3578" s="32"/>
      <c r="H3578" s="32"/>
      <c r="I3578" s="32"/>
      <c r="J3578" s="28">
        <f t="shared" si="3215"/>
        <v>0</v>
      </c>
      <c r="K3578" s="29"/>
      <c r="L3578" s="29"/>
      <c r="M3578" s="29"/>
      <c r="N3578" s="29"/>
      <c r="O3578" s="29"/>
      <c r="P3578" s="30">
        <f t="shared" si="3217"/>
        <v>0</v>
      </c>
      <c r="Q3578" s="31">
        <f t="shared" si="3216"/>
        <v>0</v>
      </c>
    </row>
    <row r="3579" spans="1:17" x14ac:dyDescent="0.2">
      <c r="A3579" s="10"/>
      <c r="B3579" s="26"/>
      <c r="C3579" s="11">
        <v>1987</v>
      </c>
      <c r="D3579" s="32">
        <f>SPFI_CLB14!$D$10</f>
        <v>0.71733499999999994</v>
      </c>
      <c r="E3579" s="32"/>
      <c r="F3579" s="32"/>
      <c r="G3579" s="32"/>
      <c r="H3579" s="32"/>
      <c r="I3579" s="32"/>
      <c r="J3579" s="28">
        <f t="shared" si="3215"/>
        <v>0</v>
      </c>
      <c r="K3579" s="29"/>
      <c r="L3579" s="29"/>
      <c r="M3579" s="29"/>
      <c r="N3579" s="29"/>
      <c r="O3579" s="29"/>
      <c r="P3579" s="30">
        <f t="shared" si="3217"/>
        <v>0</v>
      </c>
      <c r="Q3579" s="31">
        <f t="shared" si="3216"/>
        <v>0</v>
      </c>
    </row>
    <row r="3580" spans="1:17" x14ac:dyDescent="0.2">
      <c r="A3580" s="10"/>
      <c r="B3580" s="26"/>
      <c r="C3580" s="11">
        <v>1988</v>
      </c>
      <c r="D3580" s="32">
        <f>SPFI_CLB14!$D$11</f>
        <v>0.64558800000000005</v>
      </c>
      <c r="E3580" s="32"/>
      <c r="F3580" s="32"/>
      <c r="G3580" s="32"/>
      <c r="H3580" s="32"/>
      <c r="I3580" s="32"/>
      <c r="J3580" s="28">
        <f t="shared" si="3215"/>
        <v>0</v>
      </c>
      <c r="K3580" s="29"/>
      <c r="L3580" s="29"/>
      <c r="M3580" s="29"/>
      <c r="N3580" s="29"/>
      <c r="O3580" s="29"/>
      <c r="P3580" s="30">
        <f t="shared" si="3217"/>
        <v>0</v>
      </c>
      <c r="Q3580" s="31">
        <f t="shared" si="3216"/>
        <v>0</v>
      </c>
    </row>
    <row r="3581" spans="1:17" x14ac:dyDescent="0.2">
      <c r="A3581" s="10"/>
      <c r="B3581" s="26"/>
      <c r="C3581" s="11">
        <v>1989</v>
      </c>
      <c r="D3581" s="32">
        <f>SPFI_CLB14!$D$12</f>
        <v>0.65287700000000004</v>
      </c>
      <c r="E3581" s="32"/>
      <c r="F3581" s="32"/>
      <c r="G3581" s="32"/>
      <c r="H3581" s="32"/>
      <c r="I3581" s="32"/>
      <c r="J3581" s="28">
        <f t="shared" si="3215"/>
        <v>0</v>
      </c>
      <c r="K3581" s="29"/>
      <c r="L3581" s="29"/>
      <c r="M3581" s="29"/>
      <c r="N3581" s="29"/>
      <c r="O3581" s="29"/>
      <c r="P3581" s="30">
        <f t="shared" si="3217"/>
        <v>0</v>
      </c>
      <c r="Q3581" s="31">
        <f t="shared" si="3216"/>
        <v>0</v>
      </c>
    </row>
    <row r="3582" spans="1:17" x14ac:dyDescent="0.2">
      <c r="A3582" s="10"/>
      <c r="B3582" s="26"/>
      <c r="C3582" s="11">
        <v>1990</v>
      </c>
      <c r="D3582" s="32">
        <f>SPFI_CLB14!$D$13</f>
        <v>0.56965100000000002</v>
      </c>
      <c r="E3582" s="32"/>
      <c r="F3582" s="32"/>
      <c r="G3582" s="32"/>
      <c r="H3582" s="32"/>
      <c r="I3582" s="32"/>
      <c r="J3582" s="28">
        <f t="shared" si="3215"/>
        <v>0</v>
      </c>
      <c r="K3582" s="29"/>
      <c r="L3582" s="29"/>
      <c r="M3582" s="29"/>
      <c r="N3582" s="29"/>
      <c r="O3582" s="29"/>
      <c r="P3582" s="30">
        <f t="shared" si="3217"/>
        <v>0</v>
      </c>
      <c r="Q3582" s="31">
        <f t="shared" si="3216"/>
        <v>0</v>
      </c>
    </row>
    <row r="3583" spans="1:17" x14ac:dyDescent="0.2">
      <c r="A3583" s="10"/>
      <c r="B3583" s="26"/>
      <c r="C3583" s="11">
        <v>1991</v>
      </c>
      <c r="D3583" s="32">
        <f>SPFI_CLB14!$D$14</f>
        <v>0.62776900000000002</v>
      </c>
      <c r="E3583" s="32"/>
      <c r="F3583" s="32"/>
      <c r="G3583" s="32"/>
      <c r="H3583" s="32"/>
      <c r="I3583" s="32"/>
      <c r="J3583" s="28">
        <f t="shared" si="3215"/>
        <v>0</v>
      </c>
      <c r="K3583" s="29"/>
      <c r="L3583" s="29"/>
      <c r="M3583" s="29"/>
      <c r="N3583" s="29"/>
      <c r="O3583" s="29"/>
      <c r="P3583" s="30">
        <f t="shared" si="3217"/>
        <v>0</v>
      </c>
      <c r="Q3583" s="31">
        <f t="shared" si="3216"/>
        <v>0</v>
      </c>
    </row>
    <row r="3584" spans="1:17" x14ac:dyDescent="0.2">
      <c r="A3584" s="10"/>
      <c r="B3584" s="26"/>
      <c r="C3584" s="11">
        <v>1992</v>
      </c>
      <c r="D3584" s="32">
        <f>SPFI_CLB14!$D$15</f>
        <v>0.43504100000000001</v>
      </c>
      <c r="E3584" s="32"/>
      <c r="F3584" s="32"/>
      <c r="G3584" s="32"/>
      <c r="H3584" s="32"/>
      <c r="I3584" s="32"/>
      <c r="J3584" s="28">
        <f t="shared" si="3215"/>
        <v>0</v>
      </c>
      <c r="K3584" s="29"/>
      <c r="L3584" s="29"/>
      <c r="M3584" s="29"/>
      <c r="N3584" s="29"/>
      <c r="O3584" s="29"/>
      <c r="P3584" s="30">
        <f t="shared" si="3217"/>
        <v>0</v>
      </c>
      <c r="Q3584" s="31">
        <f t="shared" si="3216"/>
        <v>0</v>
      </c>
    </row>
    <row r="3585" spans="1:17" x14ac:dyDescent="0.2">
      <c r="A3585" s="10"/>
      <c r="B3585" s="26"/>
      <c r="C3585" s="11">
        <v>1993</v>
      </c>
      <c r="D3585" s="32">
        <f>SPFI_CLB14!$D$16</f>
        <v>0.499164</v>
      </c>
      <c r="E3585" s="32"/>
      <c r="F3585" s="32"/>
      <c r="G3585" s="32"/>
      <c r="H3585" s="32"/>
      <c r="I3585" s="32"/>
      <c r="J3585" s="28">
        <f t="shared" si="3215"/>
        <v>0</v>
      </c>
      <c r="K3585" s="29"/>
      <c r="L3585" s="29"/>
      <c r="M3585" s="29"/>
      <c r="N3585" s="29"/>
      <c r="O3585" s="29"/>
      <c r="P3585" s="30">
        <f t="shared" si="3217"/>
        <v>0</v>
      </c>
      <c r="Q3585" s="31">
        <f t="shared" si="3216"/>
        <v>0</v>
      </c>
    </row>
    <row r="3586" spans="1:17" x14ac:dyDescent="0.2">
      <c r="A3586" s="10"/>
      <c r="B3586" s="26" t="s">
        <v>48</v>
      </c>
      <c r="C3586" s="11">
        <v>1994</v>
      </c>
      <c r="D3586" s="32">
        <f>SPFI_CLB14!$D$17</f>
        <v>0.59591300000000003</v>
      </c>
      <c r="E3586" s="32"/>
      <c r="F3586" s="32"/>
      <c r="G3586" s="32"/>
      <c r="H3586" s="32"/>
      <c r="I3586" s="32"/>
      <c r="J3586" s="28">
        <f t="shared" si="3215"/>
        <v>0</v>
      </c>
      <c r="K3586" s="29"/>
      <c r="L3586" s="29"/>
      <c r="M3586" s="29"/>
      <c r="N3586" s="29"/>
      <c r="O3586" s="29"/>
      <c r="P3586" s="30">
        <f t="shared" si="3217"/>
        <v>0</v>
      </c>
      <c r="Q3586" s="31">
        <f t="shared" si="3216"/>
        <v>0</v>
      </c>
    </row>
    <row r="3587" spans="1:17" x14ac:dyDescent="0.2">
      <c r="A3587" s="10"/>
      <c r="B3587" s="26"/>
      <c r="C3587" s="11">
        <v>1995</v>
      </c>
      <c r="D3587" s="32">
        <f>SPFI_CLB14!$D$18</f>
        <v>0.25400800000000001</v>
      </c>
      <c r="E3587" s="32"/>
      <c r="F3587" s="32"/>
      <c r="G3587" s="32"/>
      <c r="H3587" s="32"/>
      <c r="I3587" s="32"/>
      <c r="J3587" s="28">
        <f t="shared" ref="J3587" si="3218">D3587*J$115</f>
        <v>0</v>
      </c>
      <c r="K3587" s="29"/>
      <c r="L3587" s="29"/>
      <c r="M3587" s="29"/>
      <c r="N3587" s="29"/>
      <c r="O3587" s="29"/>
      <c r="P3587" s="30">
        <f>SUM(J3587:O3587)</f>
        <v>0</v>
      </c>
      <c r="Q3587" s="31">
        <f t="shared" si="3216"/>
        <v>0</v>
      </c>
    </row>
    <row r="3588" spans="1:17" x14ac:dyDescent="0.2">
      <c r="A3588" s="10"/>
      <c r="B3588" s="26"/>
      <c r="C3588" s="11">
        <v>1996</v>
      </c>
      <c r="D3588" s="32">
        <f>SPFI_CLB14!$D$19</f>
        <v>0</v>
      </c>
      <c r="E3588" s="32"/>
      <c r="F3588" s="32"/>
      <c r="G3588" s="32"/>
      <c r="H3588" s="32"/>
      <c r="I3588" s="32"/>
      <c r="J3588" s="28">
        <f t="shared" ref="J3588" si="3219">D3588*J$115</f>
        <v>0</v>
      </c>
      <c r="K3588" s="29"/>
      <c r="L3588" s="29"/>
      <c r="M3588" s="29"/>
      <c r="N3588" s="29"/>
      <c r="O3588" s="29"/>
      <c r="P3588" s="30">
        <f>SUM(J3588:O3588)</f>
        <v>0</v>
      </c>
      <c r="Q3588" s="31">
        <f t="shared" si="3216"/>
        <v>0</v>
      </c>
    </row>
    <row r="3589" spans="1:17" x14ac:dyDescent="0.2">
      <c r="A3589" s="10"/>
      <c r="B3589" s="26"/>
      <c r="C3589" s="11">
        <v>1997</v>
      </c>
      <c r="D3589" s="32">
        <f>SPFI_CLB14!$D$20</f>
        <v>0.201487</v>
      </c>
      <c r="E3589" s="32"/>
      <c r="F3589" s="32"/>
      <c r="G3589" s="32"/>
      <c r="H3589" s="32"/>
      <c r="I3589" s="32"/>
      <c r="J3589" s="28">
        <f t="shared" ref="J3589" si="3220">D3589*J$115</f>
        <v>0</v>
      </c>
      <c r="K3589" s="29"/>
      <c r="L3589" s="29"/>
      <c r="M3589" s="29"/>
      <c r="N3589" s="29"/>
      <c r="O3589" s="29"/>
      <c r="P3589" s="30">
        <f>SUM(J3589:O3589)</f>
        <v>0</v>
      </c>
      <c r="Q3589" s="31">
        <f t="shared" si="3216"/>
        <v>0</v>
      </c>
    </row>
    <row r="3590" spans="1:17" x14ac:dyDescent="0.2">
      <c r="A3590" s="10"/>
      <c r="B3590" s="26"/>
      <c r="C3590" s="11">
        <v>1998</v>
      </c>
      <c r="D3590" s="32">
        <f>SPFI_CLB14!$D$21</f>
        <v>0.37506400000000001</v>
      </c>
      <c r="E3590" s="32"/>
      <c r="F3590" s="32"/>
      <c r="G3590" s="32"/>
      <c r="H3590" s="32"/>
      <c r="I3590" s="32"/>
      <c r="J3590" s="28">
        <f t="shared" ref="J3590" si="3221">D3590*J$115</f>
        <v>0</v>
      </c>
      <c r="K3590" s="29"/>
      <c r="L3590" s="29"/>
      <c r="M3590" s="29"/>
      <c r="N3590" s="29"/>
      <c r="O3590" s="29"/>
      <c r="P3590" s="30">
        <f>SUM(J3590:O3590)</f>
        <v>0</v>
      </c>
      <c r="Q3590" s="31">
        <f t="shared" si="3216"/>
        <v>0</v>
      </c>
    </row>
    <row r="3591" spans="1:17" x14ac:dyDescent="0.2">
      <c r="A3591" s="10"/>
      <c r="B3591" s="26"/>
      <c r="C3591" s="11">
        <v>1999</v>
      </c>
      <c r="D3591" s="32">
        <f>SPFI_CLB14!$D$22</f>
        <v>0.29823699999999997</v>
      </c>
      <c r="E3591" s="32"/>
      <c r="F3591" s="32"/>
      <c r="G3591" s="32"/>
      <c r="H3591" s="32"/>
      <c r="I3591" s="32"/>
      <c r="J3591" s="28">
        <f t="shared" ref="J3591" si="3222">D3591*J$115</f>
        <v>0</v>
      </c>
      <c r="K3591" s="29"/>
      <c r="L3591" s="29"/>
      <c r="M3591" s="29"/>
      <c r="N3591" s="29"/>
      <c r="O3591" s="29"/>
      <c r="P3591" s="30">
        <f>SUM(J3591:O3591)</f>
        <v>0</v>
      </c>
      <c r="Q3591" s="31">
        <f t="shared" ref="Q3591:Q3596" si="3223">IF(C$115&gt;0,P3591/C$115,0)</f>
        <v>0</v>
      </c>
    </row>
    <row r="3592" spans="1:17" x14ac:dyDescent="0.2">
      <c r="A3592" s="10"/>
      <c r="B3592" s="26"/>
      <c r="C3592" s="11">
        <v>2000</v>
      </c>
      <c r="D3592" s="32">
        <f>SPFI_CLB14!$D$23</f>
        <v>8.4414000000000003E-2</v>
      </c>
      <c r="E3592" s="32"/>
      <c r="F3592" s="32"/>
      <c r="G3592" s="32"/>
      <c r="H3592" s="32"/>
      <c r="I3592" s="32"/>
      <c r="J3592" s="28">
        <f t="shared" ref="J3592" si="3224">D3592*J$115</f>
        <v>0</v>
      </c>
      <c r="K3592" s="29"/>
      <c r="L3592" s="29"/>
      <c r="M3592" s="29"/>
      <c r="N3592" s="29"/>
      <c r="O3592" s="29"/>
      <c r="P3592" s="30">
        <f t="shared" ref="P3592:P3597" si="3225">SUM(J3592:O3592)</f>
        <v>0</v>
      </c>
      <c r="Q3592" s="31">
        <f t="shared" si="3223"/>
        <v>0</v>
      </c>
    </row>
    <row r="3593" spans="1:17" x14ac:dyDescent="0.2">
      <c r="A3593" s="10"/>
      <c r="B3593" s="26"/>
      <c r="C3593" s="11">
        <v>2001</v>
      </c>
      <c r="D3593" s="32">
        <f>SPFI_CLB14!$D$24</f>
        <v>7.8909000000000007E-2</v>
      </c>
      <c r="E3593" s="32"/>
      <c r="F3593" s="32"/>
      <c r="G3593" s="32"/>
      <c r="H3593" s="32"/>
      <c r="I3593" s="32"/>
      <c r="J3593" s="28">
        <f t="shared" ref="J3593" si="3226">D3593*J$115</f>
        <v>0</v>
      </c>
      <c r="K3593" s="29"/>
      <c r="L3593" s="29"/>
      <c r="M3593" s="29"/>
      <c r="N3593" s="29"/>
      <c r="O3593" s="29"/>
      <c r="P3593" s="30">
        <f t="shared" si="3225"/>
        <v>0</v>
      </c>
      <c r="Q3593" s="31">
        <f t="shared" si="3223"/>
        <v>0</v>
      </c>
    </row>
    <row r="3594" spans="1:17" x14ac:dyDescent="0.2">
      <c r="A3594" s="10"/>
      <c r="B3594" s="26"/>
      <c r="C3594" s="11">
        <v>2002</v>
      </c>
      <c r="D3594" s="32">
        <f>SPFI_CLB14!$D$25</f>
        <v>0.29974699999999999</v>
      </c>
      <c r="E3594" s="32"/>
      <c r="F3594" s="32"/>
      <c r="G3594" s="32"/>
      <c r="H3594" s="32"/>
      <c r="I3594" s="32"/>
      <c r="J3594" s="28">
        <f t="shared" ref="J3594" si="3227">D3594*J$115</f>
        <v>0</v>
      </c>
      <c r="K3594" s="29"/>
      <c r="L3594" s="29"/>
      <c r="M3594" s="29"/>
      <c r="N3594" s="29"/>
      <c r="O3594" s="29"/>
      <c r="P3594" s="30">
        <f t="shared" si="3225"/>
        <v>0</v>
      </c>
      <c r="Q3594" s="31">
        <f t="shared" si="3223"/>
        <v>0</v>
      </c>
    </row>
    <row r="3595" spans="1:17" x14ac:dyDescent="0.2">
      <c r="A3595" s="10"/>
      <c r="B3595" s="26"/>
      <c r="C3595" s="11">
        <v>2003</v>
      </c>
      <c r="D3595" s="32">
        <f>SPFI_CLB14!$D$26</f>
        <v>0.20691100000000001</v>
      </c>
      <c r="E3595" s="32"/>
      <c r="F3595" s="32"/>
      <c r="G3595" s="32"/>
      <c r="H3595" s="32"/>
      <c r="I3595" s="32"/>
      <c r="J3595" s="28">
        <f t="shared" ref="J3595" si="3228">D3595*J$115</f>
        <v>0</v>
      </c>
      <c r="K3595" s="29"/>
      <c r="L3595" s="29"/>
      <c r="M3595" s="29"/>
      <c r="N3595" s="29"/>
      <c r="O3595" s="29"/>
      <c r="P3595" s="30">
        <f t="shared" si="3225"/>
        <v>0</v>
      </c>
      <c r="Q3595" s="31">
        <f t="shared" si="3223"/>
        <v>0</v>
      </c>
    </row>
    <row r="3596" spans="1:17" x14ac:dyDescent="0.2">
      <c r="A3596" s="10"/>
      <c r="B3596" s="26"/>
      <c r="C3596" s="11">
        <v>2004</v>
      </c>
      <c r="D3596" s="32">
        <f>SPFI_CLB14!$D$27</f>
        <v>0.269237</v>
      </c>
      <c r="E3596" s="32"/>
      <c r="F3596" s="32"/>
      <c r="G3596" s="32"/>
      <c r="H3596" s="32"/>
      <c r="I3596" s="32"/>
      <c r="J3596" s="28">
        <f t="shared" ref="J3596" si="3229">D3596*J$115</f>
        <v>0</v>
      </c>
      <c r="K3596" s="29"/>
      <c r="L3596" s="29"/>
      <c r="M3596" s="29"/>
      <c r="N3596" s="29"/>
      <c r="O3596" s="29"/>
      <c r="P3596" s="30">
        <f t="shared" si="3225"/>
        <v>0</v>
      </c>
      <c r="Q3596" s="31">
        <f t="shared" si="3223"/>
        <v>0</v>
      </c>
    </row>
    <row r="3597" spans="1:17" x14ac:dyDescent="0.2">
      <c r="A3597" s="10"/>
      <c r="B3597" s="26"/>
      <c r="C3597" s="11">
        <v>2005</v>
      </c>
      <c r="D3597" s="32">
        <f>SPFI_CLB14!$D$28</f>
        <v>0.37848700000000002</v>
      </c>
      <c r="E3597" s="32"/>
      <c r="F3597" s="32"/>
      <c r="G3597" s="32"/>
      <c r="H3597" s="32"/>
      <c r="I3597" s="32"/>
      <c r="J3597" s="28">
        <f t="shared" ref="J3597" si="3230">D3597*J$115</f>
        <v>0</v>
      </c>
      <c r="K3597" s="29"/>
      <c r="L3597" s="29"/>
      <c r="M3597" s="29"/>
      <c r="N3597" s="29"/>
      <c r="O3597" s="29"/>
      <c r="P3597" s="30">
        <f t="shared" si="3225"/>
        <v>0</v>
      </c>
      <c r="Q3597" s="31">
        <f t="shared" ref="Q3597:Q3602" si="3231">IF(C$115&gt;0,P3597/C$115,0)</f>
        <v>0</v>
      </c>
    </row>
    <row r="3598" spans="1:17" x14ac:dyDescent="0.2">
      <c r="A3598" s="10"/>
      <c r="B3598" s="26"/>
      <c r="C3598" s="11">
        <v>2006</v>
      </c>
      <c r="D3598" s="32">
        <f>SPFI_CLB14!$D$29</f>
        <v>0.381023</v>
      </c>
      <c r="E3598" s="32"/>
      <c r="F3598" s="32"/>
      <c r="G3598" s="32"/>
      <c r="H3598" s="32"/>
      <c r="I3598" s="32"/>
      <c r="J3598" s="28">
        <f t="shared" ref="J3598" si="3232">D3598*J$115</f>
        <v>0</v>
      </c>
      <c r="K3598" s="29"/>
      <c r="L3598" s="29"/>
      <c r="M3598" s="29"/>
      <c r="N3598" s="29"/>
      <c r="O3598" s="29"/>
      <c r="P3598" s="30">
        <f t="shared" ref="P3598:P3605" si="3233">SUM(J3598:O3598)</f>
        <v>0</v>
      </c>
      <c r="Q3598" s="31">
        <f t="shared" si="3231"/>
        <v>0</v>
      </c>
    </row>
    <row r="3599" spans="1:17" x14ac:dyDescent="0.2">
      <c r="A3599" s="10"/>
      <c r="B3599" s="26"/>
      <c r="C3599" s="11">
        <v>2007</v>
      </c>
      <c r="D3599" s="32">
        <f>SPFI_CLB14!$D$30</f>
        <v>0.356512</v>
      </c>
      <c r="E3599" s="32"/>
      <c r="F3599" s="32"/>
      <c r="G3599" s="32"/>
      <c r="H3599" s="32"/>
      <c r="I3599" s="32"/>
      <c r="J3599" s="28">
        <f t="shared" ref="J3599" si="3234">D3599*J$115</f>
        <v>0</v>
      </c>
      <c r="K3599" s="29"/>
      <c r="L3599" s="29"/>
      <c r="M3599" s="29"/>
      <c r="N3599" s="29"/>
      <c r="O3599" s="29"/>
      <c r="P3599" s="30">
        <f t="shared" si="3233"/>
        <v>0</v>
      </c>
      <c r="Q3599" s="31">
        <f t="shared" si="3231"/>
        <v>0</v>
      </c>
    </row>
    <row r="3600" spans="1:17" x14ac:dyDescent="0.2">
      <c r="A3600" s="10"/>
      <c r="B3600" s="26"/>
      <c r="C3600" s="11">
        <v>2008</v>
      </c>
      <c r="D3600" s="32">
        <f>SPFI_CLB14!$D$31</f>
        <v>0.25494499999999998</v>
      </c>
      <c r="E3600" s="32"/>
      <c r="F3600" s="32"/>
      <c r="G3600" s="32"/>
      <c r="H3600" s="32"/>
      <c r="I3600" s="32"/>
      <c r="J3600" s="28">
        <f t="shared" ref="J3600" si="3235">D3600*J$115</f>
        <v>0</v>
      </c>
      <c r="K3600" s="29"/>
      <c r="L3600" s="29"/>
      <c r="M3600" s="29"/>
      <c r="N3600" s="29"/>
      <c r="O3600" s="29"/>
      <c r="P3600" s="30">
        <f t="shared" si="3233"/>
        <v>0</v>
      </c>
      <c r="Q3600" s="31">
        <f t="shared" si="3231"/>
        <v>0</v>
      </c>
    </row>
    <row r="3601" spans="1:17" x14ac:dyDescent="0.2">
      <c r="A3601" s="10"/>
      <c r="B3601" s="26"/>
      <c r="C3601" s="11">
        <v>2009</v>
      </c>
      <c r="D3601" s="32">
        <f>SPFI_CLB14!$D$32</f>
        <v>0.52383000000000002</v>
      </c>
      <c r="E3601" s="32"/>
      <c r="F3601" s="32"/>
      <c r="G3601" s="32"/>
      <c r="H3601" s="32"/>
      <c r="I3601" s="32"/>
      <c r="J3601" s="28">
        <f t="shared" ref="J3601" si="3236">D3601*J$115</f>
        <v>0</v>
      </c>
      <c r="K3601" s="29"/>
      <c r="L3601" s="29"/>
      <c r="M3601" s="29"/>
      <c r="N3601" s="29"/>
      <c r="O3601" s="29"/>
      <c r="P3601" s="30">
        <f t="shared" si="3233"/>
        <v>0</v>
      </c>
      <c r="Q3601" s="31">
        <f t="shared" si="3231"/>
        <v>0</v>
      </c>
    </row>
    <row r="3602" spans="1:17" x14ac:dyDescent="0.2">
      <c r="A3602" s="10"/>
      <c r="B3602" s="26"/>
      <c r="C3602" s="11">
        <v>2010</v>
      </c>
      <c r="D3602" s="32">
        <f>SPFI_CLB14!$D$33</f>
        <v>0.31394</v>
      </c>
      <c r="E3602" s="32"/>
      <c r="F3602" s="32"/>
      <c r="G3602" s="32"/>
      <c r="H3602" s="32"/>
      <c r="I3602" s="32"/>
      <c r="J3602" s="28">
        <f t="shared" ref="J3602" si="3237">D3602*J$115</f>
        <v>0</v>
      </c>
      <c r="K3602" s="29"/>
      <c r="L3602" s="29"/>
      <c r="M3602" s="29"/>
      <c r="N3602" s="29"/>
      <c r="O3602" s="29"/>
      <c r="P3602" s="30">
        <f t="shared" si="3233"/>
        <v>0</v>
      </c>
      <c r="Q3602" s="31">
        <f t="shared" si="3231"/>
        <v>0</v>
      </c>
    </row>
    <row r="3603" spans="1:17" x14ac:dyDescent="0.2">
      <c r="A3603" s="10"/>
      <c r="B3603" s="26"/>
      <c r="C3603" s="11">
        <v>2011</v>
      </c>
      <c r="D3603" s="32">
        <f>SPFI_CLB14!$D$34</f>
        <v>0.294348</v>
      </c>
      <c r="E3603" s="32"/>
      <c r="F3603" s="32"/>
      <c r="G3603" s="32"/>
      <c r="H3603" s="32"/>
      <c r="I3603" s="32"/>
      <c r="J3603" s="28">
        <f t="shared" ref="J3603" si="3238">D3603*J$115</f>
        <v>0</v>
      </c>
      <c r="K3603" s="29"/>
      <c r="L3603" s="29"/>
      <c r="M3603" s="29"/>
      <c r="N3603" s="29"/>
      <c r="O3603" s="29"/>
      <c r="P3603" s="30">
        <f t="shared" ref="P3603" si="3239">SUM(J3603:O3603)</f>
        <v>0</v>
      </c>
      <c r="Q3603" s="31">
        <f t="shared" ref="Q3603" si="3240">IF(C$115&gt;0,P3603/C$115,0)</f>
        <v>0</v>
      </c>
    </row>
    <row r="3604" spans="1:17" x14ac:dyDescent="0.2">
      <c r="A3604" s="10"/>
      <c r="B3604" s="26"/>
      <c r="C3604" s="11">
        <v>2012</v>
      </c>
      <c r="D3604" s="32">
        <f>SPFI_CLB14!$D$35</f>
        <v>0.34784100000000001</v>
      </c>
      <c r="E3604" s="32"/>
      <c r="F3604" s="32"/>
      <c r="G3604" s="32"/>
      <c r="H3604" s="32"/>
      <c r="I3604" s="32"/>
      <c r="J3604" s="28">
        <f t="shared" ref="J3604" si="3241">D3604*J$115</f>
        <v>0</v>
      </c>
      <c r="K3604" s="29"/>
      <c r="L3604" s="29"/>
      <c r="M3604" s="29"/>
      <c r="N3604" s="29"/>
      <c r="O3604" s="29"/>
      <c r="P3604" s="30">
        <f t="shared" ref="P3604" si="3242">SUM(J3604:O3604)</f>
        <v>0</v>
      </c>
      <c r="Q3604" s="31">
        <f t="shared" ref="Q3604" si="3243">IF(C$115&gt;0,P3604/C$115,0)</f>
        <v>0</v>
      </c>
    </row>
    <row r="3605" spans="1:17" x14ac:dyDescent="0.2">
      <c r="A3605" s="5" t="s">
        <v>34</v>
      </c>
      <c r="B3605" s="21">
        <v>2</v>
      </c>
      <c r="C3605" s="6">
        <v>1982</v>
      </c>
      <c r="D3605" s="27">
        <f>SPFI_CLB14!$D$5</f>
        <v>0.98153299999999999</v>
      </c>
      <c r="E3605" s="27"/>
      <c r="F3605" s="27"/>
      <c r="G3605" s="27"/>
      <c r="H3605" s="27"/>
      <c r="I3605" s="27"/>
      <c r="J3605" s="33">
        <f t="shared" ref="J3605:J3617" si="3244">D3605*J$116</f>
        <v>0</v>
      </c>
      <c r="K3605" s="27"/>
      <c r="L3605" s="27"/>
      <c r="M3605" s="27"/>
      <c r="N3605" s="27"/>
      <c r="O3605" s="27"/>
      <c r="P3605" s="34">
        <f t="shared" si="3233"/>
        <v>0</v>
      </c>
      <c r="Q3605" s="35">
        <f t="shared" ref="Q3605:Q3621" si="3245">IF(C$116&gt;0,P3605/C$116,0)</f>
        <v>0</v>
      </c>
    </row>
    <row r="3606" spans="1:17" x14ac:dyDescent="0.2">
      <c r="A3606" s="10"/>
      <c r="B3606" s="26"/>
      <c r="C3606" s="11">
        <v>1983</v>
      </c>
      <c r="D3606" s="32">
        <f>SPFI_CLB14!$D$6</f>
        <v>0.93659899999999996</v>
      </c>
      <c r="E3606" s="32"/>
      <c r="F3606" s="32"/>
      <c r="G3606" s="32"/>
      <c r="H3606" s="32"/>
      <c r="I3606" s="32"/>
      <c r="J3606" s="28">
        <f t="shared" si="3244"/>
        <v>0</v>
      </c>
      <c r="K3606" s="29"/>
      <c r="L3606" s="29"/>
      <c r="M3606" s="29"/>
      <c r="N3606" s="29"/>
      <c r="O3606" s="29"/>
      <c r="P3606" s="30">
        <f t="shared" ref="P3606:P3617" si="3246">SUM(J3606:O3606)</f>
        <v>0</v>
      </c>
      <c r="Q3606" s="31">
        <f t="shared" si="3245"/>
        <v>0</v>
      </c>
    </row>
    <row r="3607" spans="1:17" x14ac:dyDescent="0.2">
      <c r="A3607" s="10"/>
      <c r="B3607" s="26"/>
      <c r="C3607" s="11">
        <v>1984</v>
      </c>
      <c r="D3607" s="32">
        <f>SPFI_CLB14!$D$7</f>
        <v>0.92793599999999998</v>
      </c>
      <c r="E3607" s="32"/>
      <c r="F3607" s="32"/>
      <c r="G3607" s="32"/>
      <c r="H3607" s="32"/>
      <c r="I3607" s="32"/>
      <c r="J3607" s="28">
        <f t="shared" si="3244"/>
        <v>0</v>
      </c>
      <c r="K3607" s="29"/>
      <c r="L3607" s="29"/>
      <c r="M3607" s="29"/>
      <c r="N3607" s="29"/>
      <c r="O3607" s="29"/>
      <c r="P3607" s="30">
        <f t="shared" si="3246"/>
        <v>0</v>
      </c>
      <c r="Q3607" s="31">
        <f t="shared" si="3245"/>
        <v>0</v>
      </c>
    </row>
    <row r="3608" spans="1:17" x14ac:dyDescent="0.2">
      <c r="A3608" s="10"/>
      <c r="B3608" s="26"/>
      <c r="C3608" s="11">
        <v>1985</v>
      </c>
      <c r="D3608" s="32">
        <f>SPFI_CLB14!$D$8</f>
        <v>0.90386500000000003</v>
      </c>
      <c r="E3608" s="32"/>
      <c r="F3608" s="32"/>
      <c r="G3608" s="32"/>
      <c r="H3608" s="32"/>
      <c r="I3608" s="32"/>
      <c r="J3608" s="28">
        <f t="shared" si="3244"/>
        <v>0</v>
      </c>
      <c r="K3608" s="29"/>
      <c r="L3608" s="29"/>
      <c r="M3608" s="29"/>
      <c r="N3608" s="29"/>
      <c r="O3608" s="29"/>
      <c r="P3608" s="30">
        <f t="shared" si="3246"/>
        <v>0</v>
      </c>
      <c r="Q3608" s="31">
        <f t="shared" si="3245"/>
        <v>0</v>
      </c>
    </row>
    <row r="3609" spans="1:17" x14ac:dyDescent="0.2">
      <c r="A3609" s="10"/>
      <c r="B3609" s="26"/>
      <c r="C3609" s="11">
        <v>1986</v>
      </c>
      <c r="D3609" s="32">
        <f>SPFI_CLB14!$D$9</f>
        <v>0.73087500000000005</v>
      </c>
      <c r="E3609" s="32"/>
      <c r="F3609" s="32"/>
      <c r="G3609" s="32"/>
      <c r="H3609" s="32"/>
      <c r="I3609" s="32"/>
      <c r="J3609" s="28">
        <f t="shared" si="3244"/>
        <v>0</v>
      </c>
      <c r="K3609" s="29"/>
      <c r="L3609" s="29"/>
      <c r="M3609" s="29"/>
      <c r="N3609" s="29"/>
      <c r="O3609" s="29"/>
      <c r="P3609" s="30">
        <f t="shared" si="3246"/>
        <v>0</v>
      </c>
      <c r="Q3609" s="31">
        <f t="shared" si="3245"/>
        <v>0</v>
      </c>
    </row>
    <row r="3610" spans="1:17" x14ac:dyDescent="0.2">
      <c r="A3610" s="10"/>
      <c r="B3610" s="26"/>
      <c r="C3610" s="11">
        <v>1987</v>
      </c>
      <c r="D3610" s="32">
        <f>SPFI_CLB14!$D$10</f>
        <v>0.71733499999999994</v>
      </c>
      <c r="E3610" s="32"/>
      <c r="F3610" s="32"/>
      <c r="G3610" s="32"/>
      <c r="H3610" s="32"/>
      <c r="I3610" s="32"/>
      <c r="J3610" s="28">
        <f t="shared" si="3244"/>
        <v>0</v>
      </c>
      <c r="K3610" s="29"/>
      <c r="L3610" s="29"/>
      <c r="M3610" s="29"/>
      <c r="N3610" s="29"/>
      <c r="O3610" s="29"/>
      <c r="P3610" s="30">
        <f t="shared" si="3246"/>
        <v>0</v>
      </c>
      <c r="Q3610" s="31">
        <f t="shared" si="3245"/>
        <v>0</v>
      </c>
    </row>
    <row r="3611" spans="1:17" x14ac:dyDescent="0.2">
      <c r="A3611" s="10"/>
      <c r="B3611" s="26"/>
      <c r="C3611" s="11">
        <v>1988</v>
      </c>
      <c r="D3611" s="32">
        <f>SPFI_CLB14!$D$11</f>
        <v>0.64558800000000005</v>
      </c>
      <c r="E3611" s="32"/>
      <c r="F3611" s="32"/>
      <c r="G3611" s="32"/>
      <c r="H3611" s="32"/>
      <c r="I3611" s="32"/>
      <c r="J3611" s="28">
        <f t="shared" si="3244"/>
        <v>0</v>
      </c>
      <c r="K3611" s="29"/>
      <c r="L3611" s="29"/>
      <c r="M3611" s="29"/>
      <c r="N3611" s="29"/>
      <c r="O3611" s="29"/>
      <c r="P3611" s="30">
        <f t="shared" si="3246"/>
        <v>0</v>
      </c>
      <c r="Q3611" s="31">
        <f t="shared" si="3245"/>
        <v>0</v>
      </c>
    </row>
    <row r="3612" spans="1:17" x14ac:dyDescent="0.2">
      <c r="A3612" s="10"/>
      <c r="B3612" s="26"/>
      <c r="C3612" s="11">
        <v>1989</v>
      </c>
      <c r="D3612" s="32">
        <f>SPFI_CLB14!$D$12</f>
        <v>0.65287700000000004</v>
      </c>
      <c r="E3612" s="32"/>
      <c r="F3612" s="32"/>
      <c r="G3612" s="32"/>
      <c r="H3612" s="32"/>
      <c r="I3612" s="32"/>
      <c r="J3612" s="28">
        <f t="shared" si="3244"/>
        <v>0</v>
      </c>
      <c r="K3612" s="29"/>
      <c r="L3612" s="29"/>
      <c r="M3612" s="29"/>
      <c r="N3612" s="29"/>
      <c r="O3612" s="29"/>
      <c r="P3612" s="30">
        <f t="shared" si="3246"/>
        <v>0</v>
      </c>
      <c r="Q3612" s="31">
        <f t="shared" si="3245"/>
        <v>0</v>
      </c>
    </row>
    <row r="3613" spans="1:17" x14ac:dyDescent="0.2">
      <c r="A3613" s="10"/>
      <c r="B3613" s="26"/>
      <c r="C3613" s="11">
        <v>1990</v>
      </c>
      <c r="D3613" s="32">
        <f>SPFI_CLB14!$D$13</f>
        <v>0.56965100000000002</v>
      </c>
      <c r="E3613" s="32"/>
      <c r="F3613" s="32"/>
      <c r="G3613" s="32"/>
      <c r="H3613" s="32"/>
      <c r="I3613" s="32"/>
      <c r="J3613" s="28">
        <f t="shared" si="3244"/>
        <v>0</v>
      </c>
      <c r="K3613" s="29"/>
      <c r="L3613" s="29"/>
      <c r="M3613" s="29"/>
      <c r="N3613" s="29"/>
      <c r="O3613" s="29"/>
      <c r="P3613" s="30">
        <f t="shared" si="3246"/>
        <v>0</v>
      </c>
      <c r="Q3613" s="31">
        <f t="shared" si="3245"/>
        <v>0</v>
      </c>
    </row>
    <row r="3614" spans="1:17" x14ac:dyDescent="0.2">
      <c r="A3614" s="10"/>
      <c r="B3614" s="26"/>
      <c r="C3614" s="11">
        <v>1991</v>
      </c>
      <c r="D3614" s="32">
        <f>SPFI_CLB14!$D$14</f>
        <v>0.62776900000000002</v>
      </c>
      <c r="E3614" s="32"/>
      <c r="F3614" s="32"/>
      <c r="G3614" s="32"/>
      <c r="H3614" s="32"/>
      <c r="I3614" s="32"/>
      <c r="J3614" s="28">
        <f t="shared" si="3244"/>
        <v>0</v>
      </c>
      <c r="K3614" s="29"/>
      <c r="L3614" s="29"/>
      <c r="M3614" s="29"/>
      <c r="N3614" s="29"/>
      <c r="O3614" s="29"/>
      <c r="P3614" s="30">
        <f t="shared" si="3246"/>
        <v>0</v>
      </c>
      <c r="Q3614" s="31">
        <f t="shared" si="3245"/>
        <v>0</v>
      </c>
    </row>
    <row r="3615" spans="1:17" x14ac:dyDescent="0.2">
      <c r="A3615" s="10"/>
      <c r="B3615" s="26"/>
      <c r="C3615" s="11">
        <v>1992</v>
      </c>
      <c r="D3615" s="32">
        <f>SPFI_CLB14!$D$15</f>
        <v>0.43504100000000001</v>
      </c>
      <c r="E3615" s="32"/>
      <c r="F3615" s="32"/>
      <c r="G3615" s="32"/>
      <c r="H3615" s="32"/>
      <c r="I3615" s="32"/>
      <c r="J3615" s="28">
        <f t="shared" si="3244"/>
        <v>0</v>
      </c>
      <c r="K3615" s="29"/>
      <c r="L3615" s="29"/>
      <c r="M3615" s="29"/>
      <c r="N3615" s="29"/>
      <c r="O3615" s="29"/>
      <c r="P3615" s="30">
        <f t="shared" si="3246"/>
        <v>0</v>
      </c>
      <c r="Q3615" s="31">
        <f t="shared" si="3245"/>
        <v>0</v>
      </c>
    </row>
    <row r="3616" spans="1:17" x14ac:dyDescent="0.2">
      <c r="A3616" s="10"/>
      <c r="B3616" s="26"/>
      <c r="C3616" s="11">
        <v>1993</v>
      </c>
      <c r="D3616" s="32">
        <f>SPFI_CLB14!$D$16</f>
        <v>0.499164</v>
      </c>
      <c r="E3616" s="32"/>
      <c r="F3616" s="32"/>
      <c r="G3616" s="32"/>
      <c r="H3616" s="32"/>
      <c r="I3616" s="32"/>
      <c r="J3616" s="28">
        <f t="shared" si="3244"/>
        <v>0</v>
      </c>
      <c r="K3616" s="29"/>
      <c r="L3616" s="29"/>
      <c r="M3616" s="29"/>
      <c r="N3616" s="29"/>
      <c r="O3616" s="29"/>
      <c r="P3616" s="30">
        <f t="shared" si="3246"/>
        <v>0</v>
      </c>
      <c r="Q3616" s="31">
        <f t="shared" si="3245"/>
        <v>0</v>
      </c>
    </row>
    <row r="3617" spans="1:17" x14ac:dyDescent="0.2">
      <c r="A3617" s="10"/>
      <c r="B3617" s="26"/>
      <c r="C3617" s="11">
        <v>1994</v>
      </c>
      <c r="D3617" s="32">
        <f>SPFI_CLB14!$D$17</f>
        <v>0.59591300000000003</v>
      </c>
      <c r="E3617" s="32"/>
      <c r="F3617" s="32"/>
      <c r="G3617" s="32"/>
      <c r="H3617" s="32"/>
      <c r="I3617" s="32"/>
      <c r="J3617" s="28">
        <f t="shared" si="3244"/>
        <v>0</v>
      </c>
      <c r="K3617" s="29"/>
      <c r="L3617" s="29"/>
      <c r="M3617" s="29"/>
      <c r="N3617" s="29"/>
      <c r="O3617" s="29"/>
      <c r="P3617" s="30">
        <f t="shared" si="3246"/>
        <v>0</v>
      </c>
      <c r="Q3617" s="31">
        <f t="shared" si="3245"/>
        <v>0</v>
      </c>
    </row>
    <row r="3618" spans="1:17" x14ac:dyDescent="0.2">
      <c r="A3618" s="10"/>
      <c r="B3618" s="26"/>
      <c r="C3618" s="11">
        <v>1995</v>
      </c>
      <c r="D3618" s="32">
        <f>SPFI_CLB14!$D$18</f>
        <v>0.25400800000000001</v>
      </c>
      <c r="E3618" s="32"/>
      <c r="F3618" s="32"/>
      <c r="G3618" s="32"/>
      <c r="H3618" s="32"/>
      <c r="I3618" s="32"/>
      <c r="J3618" s="28">
        <f t="shared" ref="J3618" si="3247">D3618*J$116</f>
        <v>0</v>
      </c>
      <c r="K3618" s="29"/>
      <c r="L3618" s="29"/>
      <c r="M3618" s="29"/>
      <c r="N3618" s="29"/>
      <c r="O3618" s="29"/>
      <c r="P3618" s="30">
        <f>SUM(J3618:O3618)</f>
        <v>0</v>
      </c>
      <c r="Q3618" s="31">
        <f t="shared" si="3245"/>
        <v>0</v>
      </c>
    </row>
    <row r="3619" spans="1:17" x14ac:dyDescent="0.2">
      <c r="A3619" s="10"/>
      <c r="B3619" s="26"/>
      <c r="C3619" s="11">
        <v>1996</v>
      </c>
      <c r="D3619" s="32">
        <f>SPFI_CLB14!$D$19</f>
        <v>0</v>
      </c>
      <c r="E3619" s="32"/>
      <c r="F3619" s="32"/>
      <c r="G3619" s="32"/>
      <c r="H3619" s="32"/>
      <c r="I3619" s="32"/>
      <c r="J3619" s="28">
        <f t="shared" ref="J3619" si="3248">D3619*J$116</f>
        <v>0</v>
      </c>
      <c r="K3619" s="29"/>
      <c r="L3619" s="29"/>
      <c r="M3619" s="29"/>
      <c r="N3619" s="29"/>
      <c r="O3619" s="29"/>
      <c r="P3619" s="30">
        <f>SUM(J3619:O3619)</f>
        <v>0</v>
      </c>
      <c r="Q3619" s="31">
        <f t="shared" si="3245"/>
        <v>0</v>
      </c>
    </row>
    <row r="3620" spans="1:17" x14ac:dyDescent="0.2">
      <c r="A3620" s="10"/>
      <c r="B3620" s="26"/>
      <c r="C3620" s="11">
        <v>1997</v>
      </c>
      <c r="D3620" s="32">
        <f>SPFI_CLB14!$D$20</f>
        <v>0.201487</v>
      </c>
      <c r="E3620" s="32"/>
      <c r="F3620" s="32"/>
      <c r="G3620" s="32"/>
      <c r="H3620" s="32"/>
      <c r="I3620" s="32"/>
      <c r="J3620" s="28">
        <f t="shared" ref="J3620" si="3249">D3620*J$116</f>
        <v>0</v>
      </c>
      <c r="K3620" s="29"/>
      <c r="L3620" s="29"/>
      <c r="M3620" s="29"/>
      <c r="N3620" s="29"/>
      <c r="O3620" s="29"/>
      <c r="P3620" s="30">
        <f>SUM(J3620:O3620)</f>
        <v>0</v>
      </c>
      <c r="Q3620" s="31">
        <f t="shared" si="3245"/>
        <v>0</v>
      </c>
    </row>
    <row r="3621" spans="1:17" x14ac:dyDescent="0.2">
      <c r="A3621" s="10"/>
      <c r="B3621" s="26"/>
      <c r="C3621" s="11">
        <v>1998</v>
      </c>
      <c r="D3621" s="32">
        <f>SPFI_CLB14!$D$21</f>
        <v>0.37506400000000001</v>
      </c>
      <c r="E3621" s="32"/>
      <c r="F3621" s="32"/>
      <c r="G3621" s="32"/>
      <c r="H3621" s="32"/>
      <c r="I3621" s="32"/>
      <c r="J3621" s="28">
        <f t="shared" ref="J3621" si="3250">D3621*J$116</f>
        <v>0</v>
      </c>
      <c r="K3621" s="29"/>
      <c r="L3621" s="29"/>
      <c r="M3621" s="29"/>
      <c r="N3621" s="29"/>
      <c r="O3621" s="29"/>
      <c r="P3621" s="30">
        <f>SUM(J3621:O3621)</f>
        <v>0</v>
      </c>
      <c r="Q3621" s="31">
        <f t="shared" si="3245"/>
        <v>0</v>
      </c>
    </row>
    <row r="3622" spans="1:17" x14ac:dyDescent="0.2">
      <c r="A3622" s="10"/>
      <c r="B3622" s="26"/>
      <c r="C3622" s="11">
        <v>1999</v>
      </c>
      <c r="D3622" s="32">
        <f>SPFI_CLB14!$D$22</f>
        <v>0.29823699999999997</v>
      </c>
      <c r="E3622" s="32"/>
      <c r="F3622" s="32"/>
      <c r="G3622" s="32"/>
      <c r="H3622" s="32"/>
      <c r="I3622" s="32"/>
      <c r="J3622" s="28">
        <f t="shared" ref="J3622" si="3251">D3622*J$116</f>
        <v>0</v>
      </c>
      <c r="K3622" s="29"/>
      <c r="L3622" s="29"/>
      <c r="M3622" s="29"/>
      <c r="N3622" s="29"/>
      <c r="O3622" s="29"/>
      <c r="P3622" s="30">
        <f>SUM(J3622:O3622)</f>
        <v>0</v>
      </c>
      <c r="Q3622" s="31">
        <f t="shared" ref="Q3622:Q3627" si="3252">IF(C$116&gt;0,P3622/C$116,0)</f>
        <v>0</v>
      </c>
    </row>
    <row r="3623" spans="1:17" x14ac:dyDescent="0.2">
      <c r="A3623" s="10"/>
      <c r="B3623" s="26"/>
      <c r="C3623" s="11">
        <v>2000</v>
      </c>
      <c r="D3623" s="32">
        <f>SPFI_CLB14!$D$23</f>
        <v>8.4414000000000003E-2</v>
      </c>
      <c r="E3623" s="32"/>
      <c r="F3623" s="32"/>
      <c r="G3623" s="32"/>
      <c r="H3623" s="32"/>
      <c r="I3623" s="32"/>
      <c r="J3623" s="28">
        <f t="shared" ref="J3623" si="3253">D3623*J$116</f>
        <v>0</v>
      </c>
      <c r="K3623" s="29"/>
      <c r="L3623" s="29"/>
      <c r="M3623" s="29"/>
      <c r="N3623" s="29"/>
      <c r="O3623" s="29"/>
      <c r="P3623" s="30">
        <f t="shared" ref="P3623:P3628" si="3254">SUM(J3623:O3623)</f>
        <v>0</v>
      </c>
      <c r="Q3623" s="31">
        <f t="shared" si="3252"/>
        <v>0</v>
      </c>
    </row>
    <row r="3624" spans="1:17" x14ac:dyDescent="0.2">
      <c r="A3624" s="10"/>
      <c r="B3624" s="26"/>
      <c r="C3624" s="11">
        <v>2001</v>
      </c>
      <c r="D3624" s="32">
        <f>SPFI_CLB14!$D$24</f>
        <v>7.8909000000000007E-2</v>
      </c>
      <c r="E3624" s="32"/>
      <c r="F3624" s="32"/>
      <c r="G3624" s="32"/>
      <c r="H3624" s="32"/>
      <c r="I3624" s="32"/>
      <c r="J3624" s="28">
        <f t="shared" ref="J3624" si="3255">D3624*J$116</f>
        <v>0</v>
      </c>
      <c r="K3624" s="29"/>
      <c r="L3624" s="29"/>
      <c r="M3624" s="29"/>
      <c r="N3624" s="29"/>
      <c r="O3624" s="29"/>
      <c r="P3624" s="30">
        <f t="shared" si="3254"/>
        <v>0</v>
      </c>
      <c r="Q3624" s="31">
        <f t="shared" si="3252"/>
        <v>0</v>
      </c>
    </row>
    <row r="3625" spans="1:17" x14ac:dyDescent="0.2">
      <c r="A3625" s="10"/>
      <c r="B3625" s="26"/>
      <c r="C3625" s="11">
        <v>2002</v>
      </c>
      <c r="D3625" s="32">
        <f>SPFI_CLB14!$D$25</f>
        <v>0.29974699999999999</v>
      </c>
      <c r="E3625" s="32"/>
      <c r="F3625" s="32"/>
      <c r="G3625" s="32"/>
      <c r="H3625" s="32"/>
      <c r="I3625" s="32"/>
      <c r="J3625" s="28">
        <f t="shared" ref="J3625" si="3256">D3625*J$116</f>
        <v>0</v>
      </c>
      <c r="K3625" s="29"/>
      <c r="L3625" s="29"/>
      <c r="M3625" s="29"/>
      <c r="N3625" s="29"/>
      <c r="O3625" s="29"/>
      <c r="P3625" s="30">
        <f t="shared" si="3254"/>
        <v>0</v>
      </c>
      <c r="Q3625" s="31">
        <f t="shared" si="3252"/>
        <v>0</v>
      </c>
    </row>
    <row r="3626" spans="1:17" x14ac:dyDescent="0.2">
      <c r="A3626" s="10"/>
      <c r="B3626" s="26"/>
      <c r="C3626" s="11">
        <v>2003</v>
      </c>
      <c r="D3626" s="32">
        <f>SPFI_CLB14!$D$26</f>
        <v>0.20691100000000001</v>
      </c>
      <c r="E3626" s="32"/>
      <c r="F3626" s="32"/>
      <c r="G3626" s="32"/>
      <c r="H3626" s="32"/>
      <c r="I3626" s="32"/>
      <c r="J3626" s="28">
        <f t="shared" ref="J3626" si="3257">D3626*J$116</f>
        <v>0</v>
      </c>
      <c r="K3626" s="29"/>
      <c r="L3626" s="29"/>
      <c r="M3626" s="29"/>
      <c r="N3626" s="29"/>
      <c r="O3626" s="29"/>
      <c r="P3626" s="30">
        <f t="shared" si="3254"/>
        <v>0</v>
      </c>
      <c r="Q3626" s="31">
        <f t="shared" si="3252"/>
        <v>0</v>
      </c>
    </row>
    <row r="3627" spans="1:17" x14ac:dyDescent="0.2">
      <c r="A3627" s="10"/>
      <c r="B3627" s="26"/>
      <c r="C3627" s="11">
        <v>2004</v>
      </c>
      <c r="D3627" s="32">
        <f>SPFI_CLB14!$D$27</f>
        <v>0.269237</v>
      </c>
      <c r="E3627" s="32"/>
      <c r="F3627" s="32"/>
      <c r="G3627" s="32"/>
      <c r="H3627" s="32"/>
      <c r="I3627" s="32"/>
      <c r="J3627" s="28">
        <f t="shared" ref="J3627" si="3258">D3627*J$116</f>
        <v>0</v>
      </c>
      <c r="K3627" s="29"/>
      <c r="L3627" s="29"/>
      <c r="M3627" s="29"/>
      <c r="N3627" s="29"/>
      <c r="O3627" s="29"/>
      <c r="P3627" s="30">
        <f t="shared" si="3254"/>
        <v>0</v>
      </c>
      <c r="Q3627" s="31">
        <f t="shared" si="3252"/>
        <v>0</v>
      </c>
    </row>
    <row r="3628" spans="1:17" x14ac:dyDescent="0.2">
      <c r="A3628" s="10"/>
      <c r="B3628" s="26"/>
      <c r="C3628" s="11">
        <v>2005</v>
      </c>
      <c r="D3628" s="32">
        <f>SPFI_CLB14!$D$28</f>
        <v>0.37848700000000002</v>
      </c>
      <c r="E3628" s="32"/>
      <c r="F3628" s="32"/>
      <c r="G3628" s="32"/>
      <c r="H3628" s="32"/>
      <c r="I3628" s="32"/>
      <c r="J3628" s="28">
        <f t="shared" ref="J3628" si="3259">D3628*J$116</f>
        <v>0</v>
      </c>
      <c r="K3628" s="29"/>
      <c r="L3628" s="29"/>
      <c r="M3628" s="29"/>
      <c r="N3628" s="29"/>
      <c r="O3628" s="29"/>
      <c r="P3628" s="30">
        <f t="shared" si="3254"/>
        <v>0</v>
      </c>
      <c r="Q3628" s="31">
        <f t="shared" ref="Q3628:Q3633" si="3260">IF(C$116&gt;0,P3628/C$116,0)</f>
        <v>0</v>
      </c>
    </row>
    <row r="3629" spans="1:17" x14ac:dyDescent="0.2">
      <c r="A3629" s="10"/>
      <c r="B3629" s="26"/>
      <c r="C3629" s="11">
        <v>2006</v>
      </c>
      <c r="D3629" s="32">
        <f>SPFI_CLB14!$D$29</f>
        <v>0.381023</v>
      </c>
      <c r="E3629" s="32"/>
      <c r="F3629" s="32"/>
      <c r="G3629" s="32"/>
      <c r="H3629" s="32"/>
      <c r="I3629" s="32"/>
      <c r="J3629" s="28">
        <f t="shared" ref="J3629" si="3261">D3629*J$116</f>
        <v>0</v>
      </c>
      <c r="K3629" s="29"/>
      <c r="L3629" s="29"/>
      <c r="M3629" s="29"/>
      <c r="N3629" s="29"/>
      <c r="O3629" s="29"/>
      <c r="P3629" s="30">
        <f t="shared" ref="P3629:P3636" si="3262">SUM(J3629:O3629)</f>
        <v>0</v>
      </c>
      <c r="Q3629" s="31">
        <f t="shared" si="3260"/>
        <v>0</v>
      </c>
    </row>
    <row r="3630" spans="1:17" x14ac:dyDescent="0.2">
      <c r="A3630" s="10"/>
      <c r="B3630" s="26"/>
      <c r="C3630" s="11">
        <v>2007</v>
      </c>
      <c r="D3630" s="32">
        <f>SPFI_CLB14!$D$30</f>
        <v>0.356512</v>
      </c>
      <c r="E3630" s="32"/>
      <c r="F3630" s="32"/>
      <c r="G3630" s="32"/>
      <c r="H3630" s="32"/>
      <c r="I3630" s="32"/>
      <c r="J3630" s="28">
        <f t="shared" ref="J3630" si="3263">D3630*J$116</f>
        <v>0</v>
      </c>
      <c r="K3630" s="29"/>
      <c r="L3630" s="29"/>
      <c r="M3630" s="29"/>
      <c r="N3630" s="29"/>
      <c r="O3630" s="29"/>
      <c r="P3630" s="30">
        <f t="shared" si="3262"/>
        <v>0</v>
      </c>
      <c r="Q3630" s="31">
        <f t="shared" si="3260"/>
        <v>0</v>
      </c>
    </row>
    <row r="3631" spans="1:17" x14ac:dyDescent="0.2">
      <c r="A3631" s="10"/>
      <c r="B3631" s="26"/>
      <c r="C3631" s="11">
        <v>2008</v>
      </c>
      <c r="D3631" s="32">
        <f>SPFI_CLB14!$D$31</f>
        <v>0.25494499999999998</v>
      </c>
      <c r="E3631" s="32"/>
      <c r="F3631" s="32"/>
      <c r="G3631" s="32"/>
      <c r="H3631" s="32"/>
      <c r="I3631" s="32"/>
      <c r="J3631" s="28">
        <f t="shared" ref="J3631" si="3264">D3631*J$116</f>
        <v>0</v>
      </c>
      <c r="K3631" s="29"/>
      <c r="L3631" s="29"/>
      <c r="M3631" s="29"/>
      <c r="N3631" s="29"/>
      <c r="O3631" s="29"/>
      <c r="P3631" s="30">
        <f t="shared" si="3262"/>
        <v>0</v>
      </c>
      <c r="Q3631" s="31">
        <f t="shared" si="3260"/>
        <v>0</v>
      </c>
    </row>
    <row r="3632" spans="1:17" x14ac:dyDescent="0.2">
      <c r="A3632" s="10"/>
      <c r="B3632" s="26"/>
      <c r="C3632" s="11">
        <v>2009</v>
      </c>
      <c r="D3632" s="32">
        <f>SPFI_CLB14!$D$32</f>
        <v>0.52383000000000002</v>
      </c>
      <c r="E3632" s="32"/>
      <c r="F3632" s="32"/>
      <c r="G3632" s="32"/>
      <c r="H3632" s="32"/>
      <c r="I3632" s="32"/>
      <c r="J3632" s="28">
        <f t="shared" ref="J3632" si="3265">D3632*J$116</f>
        <v>0</v>
      </c>
      <c r="K3632" s="29"/>
      <c r="L3632" s="29"/>
      <c r="M3632" s="29"/>
      <c r="N3632" s="29"/>
      <c r="O3632" s="29"/>
      <c r="P3632" s="30">
        <f t="shared" si="3262"/>
        <v>0</v>
      </c>
      <c r="Q3632" s="31">
        <f t="shared" si="3260"/>
        <v>0</v>
      </c>
    </row>
    <row r="3633" spans="1:17" x14ac:dyDescent="0.2">
      <c r="A3633" s="10"/>
      <c r="B3633" s="26"/>
      <c r="C3633" s="11">
        <v>2010</v>
      </c>
      <c r="D3633" s="32">
        <f>SPFI_CLB14!$D$33</f>
        <v>0.31394</v>
      </c>
      <c r="E3633" s="32"/>
      <c r="F3633" s="32"/>
      <c r="G3633" s="32"/>
      <c r="H3633" s="32"/>
      <c r="I3633" s="32"/>
      <c r="J3633" s="28">
        <f t="shared" ref="J3633" si="3266">D3633*J$116</f>
        <v>0</v>
      </c>
      <c r="K3633" s="29"/>
      <c r="L3633" s="29"/>
      <c r="M3633" s="29"/>
      <c r="N3633" s="29"/>
      <c r="O3633" s="29"/>
      <c r="P3633" s="30">
        <f t="shared" si="3262"/>
        <v>0</v>
      </c>
      <c r="Q3633" s="31">
        <f t="shared" si="3260"/>
        <v>0</v>
      </c>
    </row>
    <row r="3634" spans="1:17" x14ac:dyDescent="0.2">
      <c r="A3634" s="10"/>
      <c r="B3634" s="26"/>
      <c r="C3634" s="11">
        <v>2011</v>
      </c>
      <c r="D3634" s="32">
        <f>SPFI_CLB14!$D$34</f>
        <v>0.294348</v>
      </c>
      <c r="E3634" s="32"/>
      <c r="F3634" s="32"/>
      <c r="G3634" s="32"/>
      <c r="H3634" s="32"/>
      <c r="I3634" s="32"/>
      <c r="J3634" s="28">
        <f t="shared" ref="J3634" si="3267">D3634*J$116</f>
        <v>0</v>
      </c>
      <c r="K3634" s="29"/>
      <c r="L3634" s="29"/>
      <c r="M3634" s="29"/>
      <c r="N3634" s="29"/>
      <c r="O3634" s="29"/>
      <c r="P3634" s="30">
        <f t="shared" ref="P3634" si="3268">SUM(J3634:O3634)</f>
        <v>0</v>
      </c>
      <c r="Q3634" s="31">
        <f t="shared" ref="Q3634" si="3269">IF(C$116&gt;0,P3634/C$116,0)</f>
        <v>0</v>
      </c>
    </row>
    <row r="3635" spans="1:17" x14ac:dyDescent="0.2">
      <c r="A3635" s="10"/>
      <c r="B3635" s="26"/>
      <c r="C3635" s="11">
        <v>2012</v>
      </c>
      <c r="D3635" s="32">
        <f>SPFI_CLB14!$D$35</f>
        <v>0.34784100000000001</v>
      </c>
      <c r="E3635" s="32"/>
      <c r="F3635" s="32"/>
      <c r="G3635" s="32"/>
      <c r="H3635" s="32"/>
      <c r="I3635" s="32"/>
      <c r="J3635" s="28">
        <f t="shared" ref="J3635" si="3270">D3635*J$116</f>
        <v>0</v>
      </c>
      <c r="K3635" s="29"/>
      <c r="L3635" s="29"/>
      <c r="M3635" s="29"/>
      <c r="N3635" s="29"/>
      <c r="O3635" s="29"/>
      <c r="P3635" s="30">
        <f t="shared" ref="P3635" si="3271">SUM(J3635:O3635)</f>
        <v>0</v>
      </c>
      <c r="Q3635" s="31">
        <f t="shared" ref="Q3635" si="3272">IF(C$116&gt;0,P3635/C$116,0)</f>
        <v>0</v>
      </c>
    </row>
    <row r="3636" spans="1:17" x14ac:dyDescent="0.2">
      <c r="A3636" s="5" t="s">
        <v>34</v>
      </c>
      <c r="B3636" s="21">
        <v>3</v>
      </c>
      <c r="C3636" s="6">
        <v>1982</v>
      </c>
      <c r="D3636" s="27">
        <f>SPFI_CLB14!$D$5</f>
        <v>0.98153299999999999</v>
      </c>
      <c r="E3636" s="27"/>
      <c r="F3636" s="27"/>
      <c r="G3636" s="27"/>
      <c r="H3636" s="27"/>
      <c r="I3636" s="27"/>
      <c r="J3636" s="33">
        <f t="shared" ref="J3636:J3648" si="3273">D3636*J$117</f>
        <v>0</v>
      </c>
      <c r="K3636" s="27"/>
      <c r="L3636" s="27"/>
      <c r="M3636" s="27"/>
      <c r="N3636" s="27"/>
      <c r="O3636" s="27"/>
      <c r="P3636" s="34">
        <f t="shared" si="3262"/>
        <v>0</v>
      </c>
      <c r="Q3636" s="35">
        <f t="shared" ref="Q3636:Q3652" si="3274">IF(C$117&gt;0,P3636/C$117,0)</f>
        <v>0</v>
      </c>
    </row>
    <row r="3637" spans="1:17" x14ac:dyDescent="0.2">
      <c r="A3637" s="10"/>
      <c r="B3637" s="26"/>
      <c r="C3637" s="11">
        <v>1983</v>
      </c>
      <c r="D3637" s="32">
        <f>SPFI_CLB14!$D$6</f>
        <v>0.93659899999999996</v>
      </c>
      <c r="E3637" s="32"/>
      <c r="F3637" s="32"/>
      <c r="G3637" s="32"/>
      <c r="H3637" s="32"/>
      <c r="I3637" s="32"/>
      <c r="J3637" s="28">
        <f t="shared" si="3273"/>
        <v>0</v>
      </c>
      <c r="K3637" s="29"/>
      <c r="L3637" s="29"/>
      <c r="M3637" s="29"/>
      <c r="N3637" s="29"/>
      <c r="O3637" s="29"/>
      <c r="P3637" s="30">
        <f t="shared" ref="P3637:P3648" si="3275">SUM(J3637:O3637)</f>
        <v>0</v>
      </c>
      <c r="Q3637" s="31">
        <f t="shared" si="3274"/>
        <v>0</v>
      </c>
    </row>
    <row r="3638" spans="1:17" x14ac:dyDescent="0.2">
      <c r="A3638" s="10"/>
      <c r="B3638" s="26"/>
      <c r="C3638" s="11">
        <v>1984</v>
      </c>
      <c r="D3638" s="32">
        <f>SPFI_CLB14!$D$7</f>
        <v>0.92793599999999998</v>
      </c>
      <c r="E3638" s="32"/>
      <c r="F3638" s="32"/>
      <c r="G3638" s="32"/>
      <c r="H3638" s="32"/>
      <c r="I3638" s="32"/>
      <c r="J3638" s="28">
        <f t="shared" si="3273"/>
        <v>0</v>
      </c>
      <c r="K3638" s="29"/>
      <c r="L3638" s="29"/>
      <c r="M3638" s="29"/>
      <c r="N3638" s="29"/>
      <c r="O3638" s="29"/>
      <c r="P3638" s="30">
        <f t="shared" si="3275"/>
        <v>0</v>
      </c>
      <c r="Q3638" s="31">
        <f t="shared" si="3274"/>
        <v>0</v>
      </c>
    </row>
    <row r="3639" spans="1:17" x14ac:dyDescent="0.2">
      <c r="A3639" s="10"/>
      <c r="B3639" s="26"/>
      <c r="C3639" s="11">
        <v>1985</v>
      </c>
      <c r="D3639" s="32">
        <f>SPFI_CLB14!$D$8</f>
        <v>0.90386500000000003</v>
      </c>
      <c r="E3639" s="32"/>
      <c r="F3639" s="32"/>
      <c r="G3639" s="32"/>
      <c r="H3639" s="32"/>
      <c r="I3639" s="32"/>
      <c r="J3639" s="28">
        <f t="shared" si="3273"/>
        <v>0</v>
      </c>
      <c r="K3639" s="29"/>
      <c r="L3639" s="29"/>
      <c r="M3639" s="29"/>
      <c r="N3639" s="29"/>
      <c r="O3639" s="29"/>
      <c r="P3639" s="30">
        <f t="shared" si="3275"/>
        <v>0</v>
      </c>
      <c r="Q3639" s="31">
        <f t="shared" si="3274"/>
        <v>0</v>
      </c>
    </row>
    <row r="3640" spans="1:17" x14ac:dyDescent="0.2">
      <c r="A3640" s="10"/>
      <c r="B3640" s="26"/>
      <c r="C3640" s="11">
        <v>1986</v>
      </c>
      <c r="D3640" s="32">
        <f>SPFI_CLB14!$D$9</f>
        <v>0.73087500000000005</v>
      </c>
      <c r="E3640" s="32"/>
      <c r="F3640" s="32"/>
      <c r="G3640" s="32"/>
      <c r="H3640" s="32"/>
      <c r="I3640" s="32"/>
      <c r="J3640" s="28">
        <f t="shared" si="3273"/>
        <v>0</v>
      </c>
      <c r="K3640" s="29"/>
      <c r="L3640" s="29"/>
      <c r="M3640" s="29"/>
      <c r="N3640" s="29"/>
      <c r="O3640" s="29"/>
      <c r="P3640" s="30">
        <f t="shared" si="3275"/>
        <v>0</v>
      </c>
      <c r="Q3640" s="31">
        <f t="shared" si="3274"/>
        <v>0</v>
      </c>
    </row>
    <row r="3641" spans="1:17" x14ac:dyDescent="0.2">
      <c r="A3641" s="10"/>
      <c r="B3641" s="26"/>
      <c r="C3641" s="11">
        <v>1987</v>
      </c>
      <c r="D3641" s="32">
        <f>SPFI_CLB14!$D$10</f>
        <v>0.71733499999999994</v>
      </c>
      <c r="E3641" s="32"/>
      <c r="F3641" s="32"/>
      <c r="G3641" s="32"/>
      <c r="H3641" s="32"/>
      <c r="I3641" s="32"/>
      <c r="J3641" s="28">
        <f t="shared" si="3273"/>
        <v>0</v>
      </c>
      <c r="K3641" s="29"/>
      <c r="L3641" s="29"/>
      <c r="M3641" s="29"/>
      <c r="N3641" s="29"/>
      <c r="O3641" s="29"/>
      <c r="P3641" s="30">
        <f t="shared" si="3275"/>
        <v>0</v>
      </c>
      <c r="Q3641" s="31">
        <f t="shared" si="3274"/>
        <v>0</v>
      </c>
    </row>
    <row r="3642" spans="1:17" x14ac:dyDescent="0.2">
      <c r="A3642" s="10"/>
      <c r="B3642" s="26"/>
      <c r="C3642" s="11">
        <v>1988</v>
      </c>
      <c r="D3642" s="32">
        <f>SPFI_CLB14!$D$11</f>
        <v>0.64558800000000005</v>
      </c>
      <c r="E3642" s="32"/>
      <c r="F3642" s="32"/>
      <c r="G3642" s="32"/>
      <c r="H3642" s="32"/>
      <c r="I3642" s="32"/>
      <c r="J3642" s="28">
        <f t="shared" si="3273"/>
        <v>0</v>
      </c>
      <c r="K3642" s="29"/>
      <c r="L3642" s="29"/>
      <c r="M3642" s="29"/>
      <c r="N3642" s="29"/>
      <c r="O3642" s="29"/>
      <c r="P3642" s="30">
        <f t="shared" si="3275"/>
        <v>0</v>
      </c>
      <c r="Q3642" s="31">
        <f t="shared" si="3274"/>
        <v>0</v>
      </c>
    </row>
    <row r="3643" spans="1:17" x14ac:dyDescent="0.2">
      <c r="A3643" s="10"/>
      <c r="B3643" s="26"/>
      <c r="C3643" s="11">
        <v>1989</v>
      </c>
      <c r="D3643" s="32">
        <f>SPFI_CLB14!$D$12</f>
        <v>0.65287700000000004</v>
      </c>
      <c r="E3643" s="32"/>
      <c r="F3643" s="32"/>
      <c r="G3643" s="32"/>
      <c r="H3643" s="32"/>
      <c r="I3643" s="32"/>
      <c r="J3643" s="28">
        <f t="shared" si="3273"/>
        <v>0</v>
      </c>
      <c r="K3643" s="29"/>
      <c r="L3643" s="29"/>
      <c r="M3643" s="29"/>
      <c r="N3643" s="29"/>
      <c r="O3643" s="29"/>
      <c r="P3643" s="30">
        <f t="shared" si="3275"/>
        <v>0</v>
      </c>
      <c r="Q3643" s="31">
        <f t="shared" si="3274"/>
        <v>0</v>
      </c>
    </row>
    <row r="3644" spans="1:17" x14ac:dyDescent="0.2">
      <c r="A3644" s="10"/>
      <c r="B3644" s="26"/>
      <c r="C3644" s="11">
        <v>1990</v>
      </c>
      <c r="D3644" s="32">
        <f>SPFI_CLB14!$D$13</f>
        <v>0.56965100000000002</v>
      </c>
      <c r="E3644" s="32"/>
      <c r="F3644" s="32"/>
      <c r="G3644" s="32"/>
      <c r="H3644" s="32"/>
      <c r="I3644" s="32"/>
      <c r="J3644" s="28">
        <f t="shared" si="3273"/>
        <v>0</v>
      </c>
      <c r="K3644" s="29"/>
      <c r="L3644" s="29"/>
      <c r="M3644" s="29"/>
      <c r="N3644" s="29"/>
      <c r="O3644" s="29"/>
      <c r="P3644" s="30">
        <f t="shared" si="3275"/>
        <v>0</v>
      </c>
      <c r="Q3644" s="31">
        <f t="shared" si="3274"/>
        <v>0</v>
      </c>
    </row>
    <row r="3645" spans="1:17" x14ac:dyDescent="0.2">
      <c r="A3645" s="10"/>
      <c r="B3645" s="26"/>
      <c r="C3645" s="11">
        <v>1991</v>
      </c>
      <c r="D3645" s="32">
        <f>SPFI_CLB14!$D$14</f>
        <v>0.62776900000000002</v>
      </c>
      <c r="E3645" s="32"/>
      <c r="F3645" s="32"/>
      <c r="G3645" s="32"/>
      <c r="H3645" s="32"/>
      <c r="I3645" s="32"/>
      <c r="J3645" s="28">
        <f t="shared" si="3273"/>
        <v>0</v>
      </c>
      <c r="K3645" s="29"/>
      <c r="L3645" s="29"/>
      <c r="M3645" s="29"/>
      <c r="N3645" s="29"/>
      <c r="O3645" s="29"/>
      <c r="P3645" s="30">
        <f t="shared" si="3275"/>
        <v>0</v>
      </c>
      <c r="Q3645" s="31">
        <f t="shared" si="3274"/>
        <v>0</v>
      </c>
    </row>
    <row r="3646" spans="1:17" x14ac:dyDescent="0.2">
      <c r="A3646" s="10"/>
      <c r="B3646" s="26"/>
      <c r="C3646" s="11">
        <v>1992</v>
      </c>
      <c r="D3646" s="32">
        <f>SPFI_CLB14!$D$15</f>
        <v>0.43504100000000001</v>
      </c>
      <c r="E3646" s="32"/>
      <c r="F3646" s="32"/>
      <c r="G3646" s="32"/>
      <c r="H3646" s="32"/>
      <c r="I3646" s="32"/>
      <c r="J3646" s="28">
        <f t="shared" si="3273"/>
        <v>0</v>
      </c>
      <c r="K3646" s="29"/>
      <c r="L3646" s="29"/>
      <c r="M3646" s="29"/>
      <c r="N3646" s="29"/>
      <c r="O3646" s="29"/>
      <c r="P3646" s="30">
        <f t="shared" si="3275"/>
        <v>0</v>
      </c>
      <c r="Q3646" s="31">
        <f t="shared" si="3274"/>
        <v>0</v>
      </c>
    </row>
    <row r="3647" spans="1:17" x14ac:dyDescent="0.2">
      <c r="A3647" s="10"/>
      <c r="B3647" s="26"/>
      <c r="C3647" s="11">
        <v>1993</v>
      </c>
      <c r="D3647" s="32">
        <f>SPFI_CLB14!$D$16</f>
        <v>0.499164</v>
      </c>
      <c r="E3647" s="32"/>
      <c r="F3647" s="32"/>
      <c r="G3647" s="32"/>
      <c r="H3647" s="32"/>
      <c r="I3647" s="32"/>
      <c r="J3647" s="28">
        <f t="shared" si="3273"/>
        <v>0</v>
      </c>
      <c r="K3647" s="29"/>
      <c r="L3647" s="29"/>
      <c r="M3647" s="29"/>
      <c r="N3647" s="29"/>
      <c r="O3647" s="29"/>
      <c r="P3647" s="30">
        <f t="shared" si="3275"/>
        <v>0</v>
      </c>
      <c r="Q3647" s="31">
        <f t="shared" si="3274"/>
        <v>0</v>
      </c>
    </row>
    <row r="3648" spans="1:17" x14ac:dyDescent="0.2">
      <c r="A3648" s="10"/>
      <c r="B3648" s="26"/>
      <c r="C3648" s="11">
        <v>1994</v>
      </c>
      <c r="D3648" s="32">
        <f>SPFI_CLB14!$D$17</f>
        <v>0.59591300000000003</v>
      </c>
      <c r="E3648" s="32"/>
      <c r="F3648" s="32"/>
      <c r="G3648" s="32"/>
      <c r="H3648" s="32"/>
      <c r="I3648" s="32"/>
      <c r="J3648" s="28">
        <f t="shared" si="3273"/>
        <v>0</v>
      </c>
      <c r="K3648" s="29"/>
      <c r="L3648" s="29"/>
      <c r="M3648" s="29"/>
      <c r="N3648" s="29"/>
      <c r="O3648" s="29"/>
      <c r="P3648" s="30">
        <f t="shared" si="3275"/>
        <v>0</v>
      </c>
      <c r="Q3648" s="31">
        <f t="shared" si="3274"/>
        <v>0</v>
      </c>
    </row>
    <row r="3649" spans="1:17" x14ac:dyDescent="0.2">
      <c r="A3649" s="10"/>
      <c r="B3649" s="26"/>
      <c r="C3649" s="11">
        <v>1995</v>
      </c>
      <c r="D3649" s="32">
        <f>SPFI_CLB14!$D$18</f>
        <v>0.25400800000000001</v>
      </c>
      <c r="E3649" s="32"/>
      <c r="F3649" s="32"/>
      <c r="G3649" s="32"/>
      <c r="H3649" s="32"/>
      <c r="I3649" s="32"/>
      <c r="J3649" s="28">
        <f t="shared" ref="J3649" si="3276">D3649*J$117</f>
        <v>0</v>
      </c>
      <c r="K3649" s="29"/>
      <c r="L3649" s="29"/>
      <c r="M3649" s="29"/>
      <c r="N3649" s="29"/>
      <c r="O3649" s="29"/>
      <c r="P3649" s="30">
        <f>SUM(J3649:O3649)</f>
        <v>0</v>
      </c>
      <c r="Q3649" s="31">
        <f t="shared" si="3274"/>
        <v>0</v>
      </c>
    </row>
    <row r="3650" spans="1:17" x14ac:dyDescent="0.2">
      <c r="A3650" s="10"/>
      <c r="B3650" s="26"/>
      <c r="C3650" s="11">
        <v>1996</v>
      </c>
      <c r="D3650" s="32">
        <f>SPFI_CLB14!$D$19</f>
        <v>0</v>
      </c>
      <c r="E3650" s="32"/>
      <c r="F3650" s="32"/>
      <c r="G3650" s="32"/>
      <c r="H3650" s="32"/>
      <c r="I3650" s="32"/>
      <c r="J3650" s="28">
        <f t="shared" ref="J3650" si="3277">D3650*J$117</f>
        <v>0</v>
      </c>
      <c r="K3650" s="29"/>
      <c r="L3650" s="29"/>
      <c r="M3650" s="29"/>
      <c r="N3650" s="29"/>
      <c r="O3650" s="29"/>
      <c r="P3650" s="30">
        <f>SUM(J3650:O3650)</f>
        <v>0</v>
      </c>
      <c r="Q3650" s="31">
        <f t="shared" si="3274"/>
        <v>0</v>
      </c>
    </row>
    <row r="3651" spans="1:17" x14ac:dyDescent="0.2">
      <c r="A3651" s="10"/>
      <c r="B3651" s="26"/>
      <c r="C3651" s="11">
        <v>1997</v>
      </c>
      <c r="D3651" s="32">
        <f>SPFI_CLB14!$D$20</f>
        <v>0.201487</v>
      </c>
      <c r="E3651" s="32"/>
      <c r="F3651" s="32"/>
      <c r="G3651" s="32"/>
      <c r="H3651" s="32"/>
      <c r="I3651" s="32"/>
      <c r="J3651" s="28">
        <f t="shared" ref="J3651" si="3278">D3651*J$117</f>
        <v>0</v>
      </c>
      <c r="K3651" s="29"/>
      <c r="L3651" s="29"/>
      <c r="M3651" s="29"/>
      <c r="N3651" s="29"/>
      <c r="O3651" s="29"/>
      <c r="P3651" s="30">
        <f>SUM(J3651:O3651)</f>
        <v>0</v>
      </c>
      <c r="Q3651" s="31">
        <f t="shared" si="3274"/>
        <v>0</v>
      </c>
    </row>
    <row r="3652" spans="1:17" x14ac:dyDescent="0.2">
      <c r="A3652" s="10"/>
      <c r="B3652" s="26"/>
      <c r="C3652" s="11">
        <v>1998</v>
      </c>
      <c r="D3652" s="32">
        <f>SPFI_CLB14!$D$21</f>
        <v>0.37506400000000001</v>
      </c>
      <c r="E3652" s="32"/>
      <c r="F3652" s="32"/>
      <c r="G3652" s="32"/>
      <c r="H3652" s="32"/>
      <c r="I3652" s="32"/>
      <c r="J3652" s="28">
        <f t="shared" ref="J3652" si="3279">D3652*J$117</f>
        <v>0</v>
      </c>
      <c r="K3652" s="29"/>
      <c r="L3652" s="29"/>
      <c r="M3652" s="29"/>
      <c r="N3652" s="29"/>
      <c r="O3652" s="29"/>
      <c r="P3652" s="30">
        <f>SUM(J3652:O3652)</f>
        <v>0</v>
      </c>
      <c r="Q3652" s="31">
        <f t="shared" si="3274"/>
        <v>0</v>
      </c>
    </row>
    <row r="3653" spans="1:17" x14ac:dyDescent="0.2">
      <c r="A3653" s="10"/>
      <c r="B3653" s="26"/>
      <c r="C3653" s="11">
        <v>1999</v>
      </c>
      <c r="D3653" s="32">
        <f>SPFI_CLB14!$D$22</f>
        <v>0.29823699999999997</v>
      </c>
      <c r="E3653" s="32"/>
      <c r="F3653" s="32"/>
      <c r="G3653" s="32"/>
      <c r="H3653" s="32"/>
      <c r="I3653" s="32"/>
      <c r="J3653" s="28">
        <f t="shared" ref="J3653" si="3280">D3653*J$117</f>
        <v>0</v>
      </c>
      <c r="K3653" s="29"/>
      <c r="L3653" s="29"/>
      <c r="M3653" s="29"/>
      <c r="N3653" s="29"/>
      <c r="O3653" s="29"/>
      <c r="P3653" s="30">
        <f>SUM(J3653:O3653)</f>
        <v>0</v>
      </c>
      <c r="Q3653" s="31">
        <f t="shared" ref="Q3653:Q3658" si="3281">IF(C$117&gt;0,P3653/C$117,0)</f>
        <v>0</v>
      </c>
    </row>
    <row r="3654" spans="1:17" x14ac:dyDescent="0.2">
      <c r="A3654" s="10"/>
      <c r="B3654" s="26"/>
      <c r="C3654" s="11">
        <v>2000</v>
      </c>
      <c r="D3654" s="32">
        <f>SPFI_CLB14!$D$23</f>
        <v>8.4414000000000003E-2</v>
      </c>
      <c r="E3654" s="32"/>
      <c r="F3654" s="32"/>
      <c r="G3654" s="32"/>
      <c r="H3654" s="32"/>
      <c r="I3654" s="32"/>
      <c r="J3654" s="28">
        <f t="shared" ref="J3654" si="3282">D3654*J$117</f>
        <v>0</v>
      </c>
      <c r="K3654" s="29"/>
      <c r="L3654" s="29"/>
      <c r="M3654" s="29"/>
      <c r="N3654" s="29"/>
      <c r="O3654" s="29"/>
      <c r="P3654" s="30">
        <f t="shared" ref="P3654:P3659" si="3283">SUM(J3654:O3654)</f>
        <v>0</v>
      </c>
      <c r="Q3654" s="31">
        <f t="shared" si="3281"/>
        <v>0</v>
      </c>
    </row>
    <row r="3655" spans="1:17" x14ac:dyDescent="0.2">
      <c r="A3655" s="10"/>
      <c r="B3655" s="26"/>
      <c r="C3655" s="11">
        <v>2001</v>
      </c>
      <c r="D3655" s="32">
        <f>SPFI_CLB14!$D$24</f>
        <v>7.8909000000000007E-2</v>
      </c>
      <c r="E3655" s="32"/>
      <c r="F3655" s="32"/>
      <c r="G3655" s="32"/>
      <c r="H3655" s="32"/>
      <c r="I3655" s="32"/>
      <c r="J3655" s="28">
        <f t="shared" ref="J3655" si="3284">D3655*J$117</f>
        <v>0</v>
      </c>
      <c r="K3655" s="29"/>
      <c r="L3655" s="29"/>
      <c r="M3655" s="29"/>
      <c r="N3655" s="29"/>
      <c r="O3655" s="29"/>
      <c r="P3655" s="30">
        <f t="shared" si="3283"/>
        <v>0</v>
      </c>
      <c r="Q3655" s="31">
        <f t="shared" si="3281"/>
        <v>0</v>
      </c>
    </row>
    <row r="3656" spans="1:17" x14ac:dyDescent="0.2">
      <c r="A3656" s="10"/>
      <c r="B3656" s="26"/>
      <c r="C3656" s="11">
        <v>2002</v>
      </c>
      <c r="D3656" s="32">
        <f>SPFI_CLB14!$D$25</f>
        <v>0.29974699999999999</v>
      </c>
      <c r="E3656" s="32"/>
      <c r="F3656" s="32"/>
      <c r="G3656" s="32"/>
      <c r="H3656" s="32"/>
      <c r="I3656" s="32"/>
      <c r="J3656" s="28">
        <f t="shared" ref="J3656" si="3285">D3656*J$117</f>
        <v>0</v>
      </c>
      <c r="K3656" s="29"/>
      <c r="L3656" s="29"/>
      <c r="M3656" s="29"/>
      <c r="N3656" s="29"/>
      <c r="O3656" s="29"/>
      <c r="P3656" s="30">
        <f t="shared" si="3283"/>
        <v>0</v>
      </c>
      <c r="Q3656" s="31">
        <f t="shared" si="3281"/>
        <v>0</v>
      </c>
    </row>
    <row r="3657" spans="1:17" x14ac:dyDescent="0.2">
      <c r="A3657" s="10"/>
      <c r="B3657" s="26"/>
      <c r="C3657" s="11">
        <v>2003</v>
      </c>
      <c r="D3657" s="32">
        <f>SPFI_CLB14!$D$26</f>
        <v>0.20691100000000001</v>
      </c>
      <c r="E3657" s="32"/>
      <c r="F3657" s="32"/>
      <c r="G3657" s="32"/>
      <c r="H3657" s="32"/>
      <c r="I3657" s="32"/>
      <c r="J3657" s="28">
        <f t="shared" ref="J3657" si="3286">D3657*J$117</f>
        <v>0</v>
      </c>
      <c r="K3657" s="29"/>
      <c r="L3657" s="29"/>
      <c r="M3657" s="29"/>
      <c r="N3657" s="29"/>
      <c r="O3657" s="29"/>
      <c r="P3657" s="30">
        <f t="shared" si="3283"/>
        <v>0</v>
      </c>
      <c r="Q3657" s="31">
        <f t="shared" si="3281"/>
        <v>0</v>
      </c>
    </row>
    <row r="3658" spans="1:17" x14ac:dyDescent="0.2">
      <c r="A3658" s="10"/>
      <c r="B3658" s="26"/>
      <c r="C3658" s="11">
        <v>2004</v>
      </c>
      <c r="D3658" s="32">
        <f>SPFI_CLB14!$D$27</f>
        <v>0.269237</v>
      </c>
      <c r="E3658" s="32"/>
      <c r="F3658" s="32"/>
      <c r="G3658" s="32"/>
      <c r="H3658" s="32"/>
      <c r="I3658" s="32"/>
      <c r="J3658" s="28">
        <f t="shared" ref="J3658" si="3287">D3658*J$117</f>
        <v>0</v>
      </c>
      <c r="K3658" s="29"/>
      <c r="L3658" s="29"/>
      <c r="M3658" s="29"/>
      <c r="N3658" s="29"/>
      <c r="O3658" s="29"/>
      <c r="P3658" s="30">
        <f t="shared" si="3283"/>
        <v>0</v>
      </c>
      <c r="Q3658" s="31">
        <f t="shared" si="3281"/>
        <v>0</v>
      </c>
    </row>
    <row r="3659" spans="1:17" x14ac:dyDescent="0.2">
      <c r="A3659" s="10"/>
      <c r="B3659" s="26"/>
      <c r="C3659" s="11">
        <v>2005</v>
      </c>
      <c r="D3659" s="32">
        <f>SPFI_CLB14!$D$28</f>
        <v>0.37848700000000002</v>
      </c>
      <c r="E3659" s="32"/>
      <c r="F3659" s="32"/>
      <c r="G3659" s="32"/>
      <c r="H3659" s="32"/>
      <c r="I3659" s="32"/>
      <c r="J3659" s="28">
        <f t="shared" ref="J3659" si="3288">D3659*J$117</f>
        <v>0</v>
      </c>
      <c r="K3659" s="29"/>
      <c r="L3659" s="29"/>
      <c r="M3659" s="29"/>
      <c r="N3659" s="29"/>
      <c r="O3659" s="29"/>
      <c r="P3659" s="30">
        <f t="shared" si="3283"/>
        <v>0</v>
      </c>
      <c r="Q3659" s="31">
        <f t="shared" ref="Q3659:Q3664" si="3289">IF(C$117&gt;0,P3659/C$117,0)</f>
        <v>0</v>
      </c>
    </row>
    <row r="3660" spans="1:17" x14ac:dyDescent="0.2">
      <c r="A3660" s="10"/>
      <c r="B3660" s="26"/>
      <c r="C3660" s="11">
        <v>2006</v>
      </c>
      <c r="D3660" s="32">
        <f>SPFI_CLB14!$D$29</f>
        <v>0.381023</v>
      </c>
      <c r="E3660" s="32"/>
      <c r="F3660" s="32"/>
      <c r="G3660" s="32"/>
      <c r="H3660" s="32"/>
      <c r="I3660" s="32"/>
      <c r="J3660" s="28">
        <f t="shared" ref="J3660" si="3290">D3660*J$117</f>
        <v>0</v>
      </c>
      <c r="K3660" s="29"/>
      <c r="L3660" s="29"/>
      <c r="M3660" s="29"/>
      <c r="N3660" s="29"/>
      <c r="O3660" s="29"/>
      <c r="P3660" s="30">
        <f t="shared" ref="P3660:P3667" si="3291">SUM(J3660:O3660)</f>
        <v>0</v>
      </c>
      <c r="Q3660" s="31">
        <f t="shared" si="3289"/>
        <v>0</v>
      </c>
    </row>
    <row r="3661" spans="1:17" x14ac:dyDescent="0.2">
      <c r="A3661" s="10"/>
      <c r="B3661" s="26"/>
      <c r="C3661" s="11">
        <v>2007</v>
      </c>
      <c r="D3661" s="32">
        <f>SPFI_CLB14!$D$30</f>
        <v>0.356512</v>
      </c>
      <c r="E3661" s="32"/>
      <c r="F3661" s="32"/>
      <c r="G3661" s="32"/>
      <c r="H3661" s="32"/>
      <c r="I3661" s="32"/>
      <c r="J3661" s="28">
        <f t="shared" ref="J3661" si="3292">D3661*J$117</f>
        <v>0</v>
      </c>
      <c r="K3661" s="29"/>
      <c r="L3661" s="29"/>
      <c r="M3661" s="29"/>
      <c r="N3661" s="29"/>
      <c r="O3661" s="29"/>
      <c r="P3661" s="30">
        <f t="shared" si="3291"/>
        <v>0</v>
      </c>
      <c r="Q3661" s="31">
        <f t="shared" si="3289"/>
        <v>0</v>
      </c>
    </row>
    <row r="3662" spans="1:17" x14ac:dyDescent="0.2">
      <c r="A3662" s="10"/>
      <c r="B3662" s="26"/>
      <c r="C3662" s="11">
        <v>2008</v>
      </c>
      <c r="D3662" s="32">
        <f>SPFI_CLB14!$D$31</f>
        <v>0.25494499999999998</v>
      </c>
      <c r="E3662" s="32"/>
      <c r="F3662" s="32"/>
      <c r="G3662" s="32"/>
      <c r="H3662" s="32"/>
      <c r="I3662" s="32"/>
      <c r="J3662" s="28">
        <f t="shared" ref="J3662" si="3293">D3662*J$117</f>
        <v>0</v>
      </c>
      <c r="K3662" s="29"/>
      <c r="L3662" s="29"/>
      <c r="M3662" s="29"/>
      <c r="N3662" s="29"/>
      <c r="O3662" s="29"/>
      <c r="P3662" s="30">
        <f t="shared" si="3291"/>
        <v>0</v>
      </c>
      <c r="Q3662" s="31">
        <f t="shared" si="3289"/>
        <v>0</v>
      </c>
    </row>
    <row r="3663" spans="1:17" x14ac:dyDescent="0.2">
      <c r="A3663" s="10"/>
      <c r="B3663" s="26"/>
      <c r="C3663" s="11">
        <v>2009</v>
      </c>
      <c r="D3663" s="32">
        <f>SPFI_CLB14!$D$32</f>
        <v>0.52383000000000002</v>
      </c>
      <c r="E3663" s="32"/>
      <c r="F3663" s="32"/>
      <c r="G3663" s="32"/>
      <c r="H3663" s="32"/>
      <c r="I3663" s="32"/>
      <c r="J3663" s="28">
        <f t="shared" ref="J3663" si="3294">D3663*J$117</f>
        <v>0</v>
      </c>
      <c r="K3663" s="29"/>
      <c r="L3663" s="29"/>
      <c r="M3663" s="29"/>
      <c r="N3663" s="29"/>
      <c r="O3663" s="29"/>
      <c r="P3663" s="30">
        <f t="shared" si="3291"/>
        <v>0</v>
      </c>
      <c r="Q3663" s="31">
        <f t="shared" si="3289"/>
        <v>0</v>
      </c>
    </row>
    <row r="3664" spans="1:17" x14ac:dyDescent="0.2">
      <c r="A3664" s="10"/>
      <c r="B3664" s="26"/>
      <c r="C3664" s="11">
        <v>2010</v>
      </c>
      <c r="D3664" s="32">
        <f>SPFI_CLB14!$D$33</f>
        <v>0.31394</v>
      </c>
      <c r="E3664" s="32"/>
      <c r="F3664" s="32"/>
      <c r="G3664" s="32"/>
      <c r="H3664" s="32"/>
      <c r="I3664" s="32"/>
      <c r="J3664" s="28">
        <f t="shared" ref="J3664" si="3295">D3664*J$117</f>
        <v>0</v>
      </c>
      <c r="K3664" s="29"/>
      <c r="L3664" s="29"/>
      <c r="M3664" s="29"/>
      <c r="N3664" s="29"/>
      <c r="O3664" s="29"/>
      <c r="P3664" s="30">
        <f t="shared" si="3291"/>
        <v>0</v>
      </c>
      <c r="Q3664" s="31">
        <f t="shared" si="3289"/>
        <v>0</v>
      </c>
    </row>
    <row r="3665" spans="1:17" x14ac:dyDescent="0.2">
      <c r="A3665" s="10"/>
      <c r="B3665" s="26"/>
      <c r="C3665" s="11">
        <v>2011</v>
      </c>
      <c r="D3665" s="32">
        <f>SPFI_CLB14!$D$34</f>
        <v>0.294348</v>
      </c>
      <c r="E3665" s="32"/>
      <c r="F3665" s="32"/>
      <c r="G3665" s="32"/>
      <c r="H3665" s="32"/>
      <c r="I3665" s="32"/>
      <c r="J3665" s="28">
        <f t="shared" ref="J3665" si="3296">D3665*J$117</f>
        <v>0</v>
      </c>
      <c r="K3665" s="29"/>
      <c r="L3665" s="29"/>
      <c r="M3665" s="29"/>
      <c r="N3665" s="29"/>
      <c r="O3665" s="29"/>
      <c r="P3665" s="30">
        <f t="shared" ref="P3665" si="3297">SUM(J3665:O3665)</f>
        <v>0</v>
      </c>
      <c r="Q3665" s="31">
        <f t="shared" ref="Q3665" si="3298">IF(C$117&gt;0,P3665/C$117,0)</f>
        <v>0</v>
      </c>
    </row>
    <row r="3666" spans="1:17" x14ac:dyDescent="0.2">
      <c r="A3666" s="10"/>
      <c r="B3666" s="26"/>
      <c r="C3666" s="11">
        <v>2012</v>
      </c>
      <c r="D3666" s="32">
        <f>SPFI_CLB14!$D$35</f>
        <v>0.34784100000000001</v>
      </c>
      <c r="E3666" s="32"/>
      <c r="F3666" s="32"/>
      <c r="G3666" s="32"/>
      <c r="H3666" s="32"/>
      <c r="I3666" s="32"/>
      <c r="J3666" s="28">
        <f t="shared" ref="J3666" si="3299">D3666*J$117</f>
        <v>0</v>
      </c>
      <c r="K3666" s="29"/>
      <c r="L3666" s="29"/>
      <c r="M3666" s="29"/>
      <c r="N3666" s="29"/>
      <c r="O3666" s="29"/>
      <c r="P3666" s="30">
        <f t="shared" ref="P3666" si="3300">SUM(J3666:O3666)</f>
        <v>0</v>
      </c>
      <c r="Q3666" s="31">
        <f t="shared" ref="Q3666" si="3301">IF(C$117&gt;0,P3666/C$117,0)</f>
        <v>0</v>
      </c>
    </row>
    <row r="3667" spans="1:17" x14ac:dyDescent="0.2">
      <c r="A3667" s="5" t="s">
        <v>34</v>
      </c>
      <c r="B3667" s="21">
        <v>4</v>
      </c>
      <c r="C3667" s="6">
        <v>1982</v>
      </c>
      <c r="D3667" s="27">
        <f>SPFI_CLB14!$D$5</f>
        <v>0.98153299999999999</v>
      </c>
      <c r="E3667" s="27"/>
      <c r="F3667" s="27"/>
      <c r="G3667" s="27"/>
      <c r="H3667" s="27"/>
      <c r="I3667" s="27"/>
      <c r="J3667" s="33">
        <f t="shared" ref="J3667:J3679" si="3302">D3667*J$118</f>
        <v>0</v>
      </c>
      <c r="K3667" s="27"/>
      <c r="L3667" s="27"/>
      <c r="M3667" s="27"/>
      <c r="N3667" s="27"/>
      <c r="O3667" s="27"/>
      <c r="P3667" s="34">
        <f t="shared" si="3291"/>
        <v>0</v>
      </c>
      <c r="Q3667" s="35">
        <f t="shared" ref="Q3667:Q3683" si="3303">IF(C$118&gt;0,P3667/C$118,0)</f>
        <v>0</v>
      </c>
    </row>
    <row r="3668" spans="1:17" x14ac:dyDescent="0.2">
      <c r="A3668" s="10"/>
      <c r="B3668" s="26"/>
      <c r="C3668" s="11">
        <v>1983</v>
      </c>
      <c r="D3668" s="32">
        <f>SPFI_CLB14!$D$6</f>
        <v>0.93659899999999996</v>
      </c>
      <c r="E3668" s="32"/>
      <c r="F3668" s="32"/>
      <c r="G3668" s="32"/>
      <c r="H3668" s="32"/>
      <c r="I3668" s="32"/>
      <c r="J3668" s="28">
        <f t="shared" si="3302"/>
        <v>0</v>
      </c>
      <c r="K3668" s="29"/>
      <c r="L3668" s="29"/>
      <c r="M3668" s="29"/>
      <c r="N3668" s="29"/>
      <c r="O3668" s="29"/>
      <c r="P3668" s="30">
        <f t="shared" ref="P3668:P3679" si="3304">SUM(J3668:O3668)</f>
        <v>0</v>
      </c>
      <c r="Q3668" s="31">
        <f t="shared" si="3303"/>
        <v>0</v>
      </c>
    </row>
    <row r="3669" spans="1:17" x14ac:dyDescent="0.2">
      <c r="A3669" s="10"/>
      <c r="B3669" s="26"/>
      <c r="C3669" s="11">
        <v>1984</v>
      </c>
      <c r="D3669" s="32">
        <f>SPFI_CLB14!$D$7</f>
        <v>0.92793599999999998</v>
      </c>
      <c r="E3669" s="32"/>
      <c r="F3669" s="32"/>
      <c r="G3669" s="32"/>
      <c r="H3669" s="32"/>
      <c r="I3669" s="32"/>
      <c r="J3669" s="28">
        <f t="shared" si="3302"/>
        <v>0</v>
      </c>
      <c r="K3669" s="29"/>
      <c r="L3669" s="29"/>
      <c r="M3669" s="29"/>
      <c r="N3669" s="29"/>
      <c r="O3669" s="29"/>
      <c r="P3669" s="30">
        <f t="shared" si="3304"/>
        <v>0</v>
      </c>
      <c r="Q3669" s="31">
        <f t="shared" si="3303"/>
        <v>0</v>
      </c>
    </row>
    <row r="3670" spans="1:17" x14ac:dyDescent="0.2">
      <c r="A3670" s="10"/>
      <c r="B3670" s="26"/>
      <c r="C3670" s="11">
        <v>1985</v>
      </c>
      <c r="D3670" s="32">
        <f>SPFI_CLB14!$D$8</f>
        <v>0.90386500000000003</v>
      </c>
      <c r="E3670" s="32"/>
      <c r="F3670" s="32"/>
      <c r="G3670" s="32"/>
      <c r="H3670" s="32"/>
      <c r="I3670" s="32"/>
      <c r="J3670" s="28">
        <f t="shared" si="3302"/>
        <v>0</v>
      </c>
      <c r="K3670" s="29"/>
      <c r="L3670" s="29"/>
      <c r="M3670" s="29"/>
      <c r="N3670" s="29"/>
      <c r="O3670" s="29"/>
      <c r="P3670" s="30">
        <f t="shared" si="3304"/>
        <v>0</v>
      </c>
      <c r="Q3670" s="31">
        <f t="shared" si="3303"/>
        <v>0</v>
      </c>
    </row>
    <row r="3671" spans="1:17" x14ac:dyDescent="0.2">
      <c r="A3671" s="10"/>
      <c r="B3671" s="26"/>
      <c r="C3671" s="11">
        <v>1986</v>
      </c>
      <c r="D3671" s="32">
        <f>SPFI_CLB14!$D$9</f>
        <v>0.73087500000000005</v>
      </c>
      <c r="E3671" s="32"/>
      <c r="F3671" s="32"/>
      <c r="G3671" s="32"/>
      <c r="H3671" s="32"/>
      <c r="I3671" s="32"/>
      <c r="J3671" s="28">
        <f t="shared" si="3302"/>
        <v>0</v>
      </c>
      <c r="K3671" s="29"/>
      <c r="L3671" s="29"/>
      <c r="M3671" s="29"/>
      <c r="N3671" s="29"/>
      <c r="O3671" s="29"/>
      <c r="P3671" s="30">
        <f t="shared" si="3304"/>
        <v>0</v>
      </c>
      <c r="Q3671" s="31">
        <f t="shared" si="3303"/>
        <v>0</v>
      </c>
    </row>
    <row r="3672" spans="1:17" x14ac:dyDescent="0.2">
      <c r="A3672" s="10"/>
      <c r="B3672" s="26"/>
      <c r="C3672" s="11">
        <v>1987</v>
      </c>
      <c r="D3672" s="32">
        <f>SPFI_CLB14!$D$10</f>
        <v>0.71733499999999994</v>
      </c>
      <c r="E3672" s="32"/>
      <c r="F3672" s="32"/>
      <c r="G3672" s="32"/>
      <c r="H3672" s="32"/>
      <c r="I3672" s="32"/>
      <c r="J3672" s="28">
        <f t="shared" si="3302"/>
        <v>0</v>
      </c>
      <c r="K3672" s="29"/>
      <c r="L3672" s="29"/>
      <c r="M3672" s="29"/>
      <c r="N3672" s="29"/>
      <c r="O3672" s="29"/>
      <c r="P3672" s="30">
        <f t="shared" si="3304"/>
        <v>0</v>
      </c>
      <c r="Q3672" s="31">
        <f t="shared" si="3303"/>
        <v>0</v>
      </c>
    </row>
    <row r="3673" spans="1:17" x14ac:dyDescent="0.2">
      <c r="A3673" s="10"/>
      <c r="B3673" s="26"/>
      <c r="C3673" s="11">
        <v>1988</v>
      </c>
      <c r="D3673" s="32">
        <f>SPFI_CLB14!$D$11</f>
        <v>0.64558800000000005</v>
      </c>
      <c r="E3673" s="32"/>
      <c r="F3673" s="32"/>
      <c r="G3673" s="32"/>
      <c r="H3673" s="32"/>
      <c r="I3673" s="32"/>
      <c r="J3673" s="28">
        <f t="shared" si="3302"/>
        <v>0</v>
      </c>
      <c r="K3673" s="29"/>
      <c r="L3673" s="29"/>
      <c r="M3673" s="29"/>
      <c r="N3673" s="29"/>
      <c r="O3673" s="29"/>
      <c r="P3673" s="30">
        <f t="shared" si="3304"/>
        <v>0</v>
      </c>
      <c r="Q3673" s="31">
        <f t="shared" si="3303"/>
        <v>0</v>
      </c>
    </row>
    <row r="3674" spans="1:17" x14ac:dyDescent="0.2">
      <c r="A3674" s="10"/>
      <c r="B3674" s="26"/>
      <c r="C3674" s="11">
        <v>1989</v>
      </c>
      <c r="D3674" s="32">
        <f>SPFI_CLB14!$D$12</f>
        <v>0.65287700000000004</v>
      </c>
      <c r="E3674" s="32"/>
      <c r="F3674" s="32"/>
      <c r="G3674" s="32"/>
      <c r="H3674" s="32"/>
      <c r="I3674" s="32"/>
      <c r="J3674" s="28">
        <f t="shared" si="3302"/>
        <v>0</v>
      </c>
      <c r="K3674" s="29"/>
      <c r="L3674" s="29"/>
      <c r="M3674" s="29"/>
      <c r="N3674" s="29"/>
      <c r="O3674" s="29"/>
      <c r="P3674" s="30">
        <f t="shared" si="3304"/>
        <v>0</v>
      </c>
      <c r="Q3674" s="31">
        <f t="shared" si="3303"/>
        <v>0</v>
      </c>
    </row>
    <row r="3675" spans="1:17" x14ac:dyDescent="0.2">
      <c r="A3675" s="10"/>
      <c r="B3675" s="26"/>
      <c r="C3675" s="11">
        <v>1990</v>
      </c>
      <c r="D3675" s="32">
        <f>SPFI_CLB14!$D$13</f>
        <v>0.56965100000000002</v>
      </c>
      <c r="E3675" s="32"/>
      <c r="F3675" s="32"/>
      <c r="G3675" s="32"/>
      <c r="H3675" s="32"/>
      <c r="I3675" s="32"/>
      <c r="J3675" s="28">
        <f t="shared" si="3302"/>
        <v>0</v>
      </c>
      <c r="K3675" s="29"/>
      <c r="L3675" s="29"/>
      <c r="M3675" s="29"/>
      <c r="N3675" s="29"/>
      <c r="O3675" s="29"/>
      <c r="P3675" s="30">
        <f t="shared" si="3304"/>
        <v>0</v>
      </c>
      <c r="Q3675" s="31">
        <f t="shared" si="3303"/>
        <v>0</v>
      </c>
    </row>
    <row r="3676" spans="1:17" x14ac:dyDescent="0.2">
      <c r="A3676" s="10"/>
      <c r="B3676" s="26"/>
      <c r="C3676" s="11">
        <v>1991</v>
      </c>
      <c r="D3676" s="32">
        <f>SPFI_CLB14!$D$14</f>
        <v>0.62776900000000002</v>
      </c>
      <c r="E3676" s="32"/>
      <c r="F3676" s="32"/>
      <c r="G3676" s="32"/>
      <c r="H3676" s="32"/>
      <c r="I3676" s="32"/>
      <c r="J3676" s="28">
        <f t="shared" si="3302"/>
        <v>0</v>
      </c>
      <c r="K3676" s="29"/>
      <c r="L3676" s="29"/>
      <c r="M3676" s="29"/>
      <c r="N3676" s="29"/>
      <c r="O3676" s="29"/>
      <c r="P3676" s="30">
        <f t="shared" si="3304"/>
        <v>0</v>
      </c>
      <c r="Q3676" s="31">
        <f t="shared" si="3303"/>
        <v>0</v>
      </c>
    </row>
    <row r="3677" spans="1:17" x14ac:dyDescent="0.2">
      <c r="A3677" s="10"/>
      <c r="B3677" s="26"/>
      <c r="C3677" s="11">
        <v>1992</v>
      </c>
      <c r="D3677" s="32">
        <f>SPFI_CLB14!$D$15</f>
        <v>0.43504100000000001</v>
      </c>
      <c r="E3677" s="32"/>
      <c r="F3677" s="32"/>
      <c r="G3677" s="32"/>
      <c r="H3677" s="32"/>
      <c r="I3677" s="32"/>
      <c r="J3677" s="28">
        <f t="shared" si="3302"/>
        <v>0</v>
      </c>
      <c r="K3677" s="29"/>
      <c r="L3677" s="29"/>
      <c r="M3677" s="29"/>
      <c r="N3677" s="29"/>
      <c r="O3677" s="29"/>
      <c r="P3677" s="30">
        <f t="shared" si="3304"/>
        <v>0</v>
      </c>
      <c r="Q3677" s="31">
        <f t="shared" si="3303"/>
        <v>0</v>
      </c>
    </row>
    <row r="3678" spans="1:17" x14ac:dyDescent="0.2">
      <c r="A3678" s="10"/>
      <c r="B3678" s="26"/>
      <c r="C3678" s="11">
        <v>1993</v>
      </c>
      <c r="D3678" s="32">
        <f>SPFI_CLB14!$D$16</f>
        <v>0.499164</v>
      </c>
      <c r="E3678" s="32"/>
      <c r="F3678" s="32"/>
      <c r="G3678" s="32"/>
      <c r="H3678" s="32"/>
      <c r="I3678" s="32"/>
      <c r="J3678" s="28">
        <f t="shared" si="3302"/>
        <v>0</v>
      </c>
      <c r="K3678" s="29"/>
      <c r="L3678" s="29"/>
      <c r="M3678" s="29"/>
      <c r="N3678" s="29"/>
      <c r="O3678" s="29"/>
      <c r="P3678" s="30">
        <f t="shared" si="3304"/>
        <v>0</v>
      </c>
      <c r="Q3678" s="31">
        <f t="shared" si="3303"/>
        <v>0</v>
      </c>
    </row>
    <row r="3679" spans="1:17" x14ac:dyDescent="0.2">
      <c r="A3679" s="10"/>
      <c r="B3679" s="26"/>
      <c r="C3679" s="11">
        <v>1994</v>
      </c>
      <c r="D3679" s="32">
        <f>SPFI_CLB14!$D$17</f>
        <v>0.59591300000000003</v>
      </c>
      <c r="E3679" s="32"/>
      <c r="F3679" s="32"/>
      <c r="G3679" s="32"/>
      <c r="H3679" s="32"/>
      <c r="I3679" s="32"/>
      <c r="J3679" s="28">
        <f t="shared" si="3302"/>
        <v>0</v>
      </c>
      <c r="K3679" s="29"/>
      <c r="L3679" s="29"/>
      <c r="M3679" s="29"/>
      <c r="N3679" s="29"/>
      <c r="O3679" s="29"/>
      <c r="P3679" s="30">
        <f t="shared" si="3304"/>
        <v>0</v>
      </c>
      <c r="Q3679" s="31">
        <f t="shared" si="3303"/>
        <v>0</v>
      </c>
    </row>
    <row r="3680" spans="1:17" x14ac:dyDescent="0.2">
      <c r="A3680" s="10"/>
      <c r="B3680" s="26"/>
      <c r="C3680" s="11">
        <v>1995</v>
      </c>
      <c r="D3680" s="32">
        <f>SPFI_CLB14!$D$18</f>
        <v>0.25400800000000001</v>
      </c>
      <c r="E3680" s="32"/>
      <c r="F3680" s="32"/>
      <c r="G3680" s="32"/>
      <c r="H3680" s="32"/>
      <c r="I3680" s="32"/>
      <c r="J3680" s="28">
        <f t="shared" ref="J3680" si="3305">D3680*J$118</f>
        <v>0</v>
      </c>
      <c r="K3680" s="29"/>
      <c r="L3680" s="29"/>
      <c r="M3680" s="29"/>
      <c r="N3680" s="29"/>
      <c r="O3680" s="29"/>
      <c r="P3680" s="30">
        <f>SUM(J3680:O3680)</f>
        <v>0</v>
      </c>
      <c r="Q3680" s="31">
        <f t="shared" si="3303"/>
        <v>0</v>
      </c>
    </row>
    <row r="3681" spans="1:17" x14ac:dyDescent="0.2">
      <c r="A3681" s="10"/>
      <c r="B3681" s="26"/>
      <c r="C3681" s="11">
        <v>1996</v>
      </c>
      <c r="D3681" s="32">
        <f>SPFI_CLB14!$D$19</f>
        <v>0</v>
      </c>
      <c r="E3681" s="32"/>
      <c r="F3681" s="32"/>
      <c r="G3681" s="32"/>
      <c r="H3681" s="32"/>
      <c r="I3681" s="32"/>
      <c r="J3681" s="28">
        <f t="shared" ref="J3681" si="3306">D3681*J$118</f>
        <v>0</v>
      </c>
      <c r="K3681" s="29"/>
      <c r="L3681" s="29"/>
      <c r="M3681" s="29"/>
      <c r="N3681" s="29"/>
      <c r="O3681" s="29"/>
      <c r="P3681" s="30">
        <f>SUM(J3681:O3681)</f>
        <v>0</v>
      </c>
      <c r="Q3681" s="31">
        <f t="shared" si="3303"/>
        <v>0</v>
      </c>
    </row>
    <row r="3682" spans="1:17" x14ac:dyDescent="0.2">
      <c r="A3682" s="10"/>
      <c r="B3682" s="26"/>
      <c r="C3682" s="11">
        <v>1997</v>
      </c>
      <c r="D3682" s="32">
        <f>SPFI_CLB14!$D$20</f>
        <v>0.201487</v>
      </c>
      <c r="E3682" s="32"/>
      <c r="F3682" s="32"/>
      <c r="G3682" s="32"/>
      <c r="H3682" s="32"/>
      <c r="I3682" s="32"/>
      <c r="J3682" s="28">
        <f t="shared" ref="J3682" si="3307">D3682*J$118</f>
        <v>0</v>
      </c>
      <c r="K3682" s="29"/>
      <c r="L3682" s="29"/>
      <c r="M3682" s="29"/>
      <c r="N3682" s="29"/>
      <c r="O3682" s="29"/>
      <c r="P3682" s="30">
        <f>SUM(J3682:O3682)</f>
        <v>0</v>
      </c>
      <c r="Q3682" s="31">
        <f t="shared" si="3303"/>
        <v>0</v>
      </c>
    </row>
    <row r="3683" spans="1:17" x14ac:dyDescent="0.2">
      <c r="A3683" s="10"/>
      <c r="B3683" s="26"/>
      <c r="C3683" s="11">
        <v>1998</v>
      </c>
      <c r="D3683" s="32">
        <f>SPFI_CLB14!$D$21</f>
        <v>0.37506400000000001</v>
      </c>
      <c r="E3683" s="32"/>
      <c r="F3683" s="32"/>
      <c r="G3683" s="32"/>
      <c r="H3683" s="32"/>
      <c r="I3683" s="32"/>
      <c r="J3683" s="28">
        <f t="shared" ref="J3683" si="3308">D3683*J$118</f>
        <v>0</v>
      </c>
      <c r="K3683" s="29"/>
      <c r="L3683" s="29"/>
      <c r="M3683" s="29"/>
      <c r="N3683" s="29"/>
      <c r="O3683" s="29"/>
      <c r="P3683" s="30">
        <f>SUM(J3683:O3683)</f>
        <v>0</v>
      </c>
      <c r="Q3683" s="31">
        <f t="shared" si="3303"/>
        <v>0</v>
      </c>
    </row>
    <row r="3684" spans="1:17" x14ac:dyDescent="0.2">
      <c r="A3684" s="10"/>
      <c r="B3684" s="26"/>
      <c r="C3684" s="11">
        <v>1999</v>
      </c>
      <c r="D3684" s="32">
        <f>SPFI_CLB14!$D$22</f>
        <v>0.29823699999999997</v>
      </c>
      <c r="E3684" s="32"/>
      <c r="F3684" s="32"/>
      <c r="G3684" s="32"/>
      <c r="H3684" s="32"/>
      <c r="I3684" s="32"/>
      <c r="J3684" s="28">
        <f t="shared" ref="J3684" si="3309">D3684*J$118</f>
        <v>0</v>
      </c>
      <c r="K3684" s="29"/>
      <c r="L3684" s="29"/>
      <c r="M3684" s="29"/>
      <c r="N3684" s="29"/>
      <c r="O3684" s="29"/>
      <c r="P3684" s="30">
        <f>SUM(J3684:O3684)</f>
        <v>0</v>
      </c>
      <c r="Q3684" s="31">
        <f t="shared" ref="Q3684:Q3689" si="3310">IF(C$118&gt;0,P3684/C$118,0)</f>
        <v>0</v>
      </c>
    </row>
    <row r="3685" spans="1:17" x14ac:dyDescent="0.2">
      <c r="A3685" s="10"/>
      <c r="B3685" s="26"/>
      <c r="C3685" s="11">
        <v>2000</v>
      </c>
      <c r="D3685" s="32">
        <f>SPFI_CLB14!$D$23</f>
        <v>8.4414000000000003E-2</v>
      </c>
      <c r="E3685" s="32"/>
      <c r="F3685" s="32"/>
      <c r="G3685" s="32"/>
      <c r="H3685" s="32"/>
      <c r="I3685" s="32"/>
      <c r="J3685" s="28">
        <f t="shared" ref="J3685" si="3311">D3685*J$118</f>
        <v>0</v>
      </c>
      <c r="K3685" s="29"/>
      <c r="L3685" s="29"/>
      <c r="M3685" s="29"/>
      <c r="N3685" s="29"/>
      <c r="O3685" s="29"/>
      <c r="P3685" s="30">
        <f t="shared" ref="P3685:P3690" si="3312">SUM(J3685:O3685)</f>
        <v>0</v>
      </c>
      <c r="Q3685" s="31">
        <f t="shared" si="3310"/>
        <v>0</v>
      </c>
    </row>
    <row r="3686" spans="1:17" x14ac:dyDescent="0.2">
      <c r="A3686" s="10"/>
      <c r="B3686" s="26"/>
      <c r="C3686" s="11">
        <v>2001</v>
      </c>
      <c r="D3686" s="32">
        <f>SPFI_CLB14!$D$24</f>
        <v>7.8909000000000007E-2</v>
      </c>
      <c r="E3686" s="32"/>
      <c r="F3686" s="32"/>
      <c r="G3686" s="32"/>
      <c r="H3686" s="32"/>
      <c r="I3686" s="32"/>
      <c r="J3686" s="28">
        <f t="shared" ref="J3686" si="3313">D3686*J$118</f>
        <v>0</v>
      </c>
      <c r="K3686" s="29"/>
      <c r="L3686" s="29"/>
      <c r="M3686" s="29"/>
      <c r="N3686" s="29"/>
      <c r="O3686" s="29"/>
      <c r="P3686" s="30">
        <f t="shared" si="3312"/>
        <v>0</v>
      </c>
      <c r="Q3686" s="31">
        <f t="shared" si="3310"/>
        <v>0</v>
      </c>
    </row>
    <row r="3687" spans="1:17" x14ac:dyDescent="0.2">
      <c r="A3687" s="10"/>
      <c r="B3687" s="26"/>
      <c r="C3687" s="11">
        <v>2002</v>
      </c>
      <c r="D3687" s="32">
        <f>SPFI_CLB14!$D$25</f>
        <v>0.29974699999999999</v>
      </c>
      <c r="E3687" s="32"/>
      <c r="F3687" s="32"/>
      <c r="G3687" s="32"/>
      <c r="H3687" s="32"/>
      <c r="I3687" s="32"/>
      <c r="J3687" s="28">
        <f t="shared" ref="J3687" si="3314">D3687*J$118</f>
        <v>0</v>
      </c>
      <c r="K3687" s="29"/>
      <c r="L3687" s="29"/>
      <c r="M3687" s="29"/>
      <c r="N3687" s="29"/>
      <c r="O3687" s="29"/>
      <c r="P3687" s="30">
        <f t="shared" si="3312"/>
        <v>0</v>
      </c>
      <c r="Q3687" s="31">
        <f t="shared" si="3310"/>
        <v>0</v>
      </c>
    </row>
    <row r="3688" spans="1:17" x14ac:dyDescent="0.2">
      <c r="A3688" s="10"/>
      <c r="B3688" s="26"/>
      <c r="C3688" s="11">
        <v>2003</v>
      </c>
      <c r="D3688" s="32">
        <f>SPFI_CLB14!$D$26</f>
        <v>0.20691100000000001</v>
      </c>
      <c r="E3688" s="32"/>
      <c r="F3688" s="32"/>
      <c r="G3688" s="32"/>
      <c r="H3688" s="32"/>
      <c r="I3688" s="32"/>
      <c r="J3688" s="28">
        <f t="shared" ref="J3688" si="3315">D3688*J$118</f>
        <v>0</v>
      </c>
      <c r="K3688" s="29"/>
      <c r="L3688" s="29"/>
      <c r="M3688" s="29"/>
      <c r="N3688" s="29"/>
      <c r="O3688" s="29"/>
      <c r="P3688" s="30">
        <f t="shared" si="3312"/>
        <v>0</v>
      </c>
      <c r="Q3688" s="31">
        <f t="shared" si="3310"/>
        <v>0</v>
      </c>
    </row>
    <row r="3689" spans="1:17" x14ac:dyDescent="0.2">
      <c r="A3689" s="10"/>
      <c r="B3689" s="26"/>
      <c r="C3689" s="11">
        <v>2004</v>
      </c>
      <c r="D3689" s="32">
        <f>SPFI_CLB14!$D$27</f>
        <v>0.269237</v>
      </c>
      <c r="E3689" s="32"/>
      <c r="F3689" s="32"/>
      <c r="G3689" s="32"/>
      <c r="H3689" s="32"/>
      <c r="I3689" s="32"/>
      <c r="J3689" s="28">
        <f t="shared" ref="J3689" si="3316">D3689*J$118</f>
        <v>0</v>
      </c>
      <c r="K3689" s="29"/>
      <c r="L3689" s="29"/>
      <c r="M3689" s="29"/>
      <c r="N3689" s="29"/>
      <c r="O3689" s="29"/>
      <c r="P3689" s="30">
        <f t="shared" si="3312"/>
        <v>0</v>
      </c>
      <c r="Q3689" s="31">
        <f t="shared" si="3310"/>
        <v>0</v>
      </c>
    </row>
    <row r="3690" spans="1:17" x14ac:dyDescent="0.2">
      <c r="A3690" s="10"/>
      <c r="B3690" s="26"/>
      <c r="C3690" s="11">
        <v>2005</v>
      </c>
      <c r="D3690" s="32">
        <f>SPFI_CLB14!$D$28</f>
        <v>0.37848700000000002</v>
      </c>
      <c r="E3690" s="32"/>
      <c r="F3690" s="32"/>
      <c r="G3690" s="32"/>
      <c r="H3690" s="32"/>
      <c r="I3690" s="32"/>
      <c r="J3690" s="28">
        <f t="shared" ref="J3690" si="3317">D3690*J$118</f>
        <v>0</v>
      </c>
      <c r="K3690" s="29"/>
      <c r="L3690" s="29"/>
      <c r="M3690" s="29"/>
      <c r="N3690" s="29"/>
      <c r="O3690" s="29"/>
      <c r="P3690" s="30">
        <f t="shared" si="3312"/>
        <v>0</v>
      </c>
      <c r="Q3690" s="31">
        <f t="shared" ref="Q3690:Q3695" si="3318">IF(C$118&gt;0,P3690/C$118,0)</f>
        <v>0</v>
      </c>
    </row>
    <row r="3691" spans="1:17" x14ac:dyDescent="0.2">
      <c r="A3691" s="10"/>
      <c r="B3691" s="26"/>
      <c r="C3691" s="11">
        <v>2006</v>
      </c>
      <c r="D3691" s="32">
        <f>SPFI_CLB14!$D$29</f>
        <v>0.381023</v>
      </c>
      <c r="E3691" s="32"/>
      <c r="F3691" s="32"/>
      <c r="G3691" s="32"/>
      <c r="H3691" s="32"/>
      <c r="I3691" s="32"/>
      <c r="J3691" s="28">
        <f t="shared" ref="J3691" si="3319">D3691*J$118</f>
        <v>0</v>
      </c>
      <c r="K3691" s="29"/>
      <c r="L3691" s="29"/>
      <c r="M3691" s="29"/>
      <c r="N3691" s="29"/>
      <c r="O3691" s="29"/>
      <c r="P3691" s="30">
        <f t="shared" ref="P3691:P3698" si="3320">SUM(J3691:O3691)</f>
        <v>0</v>
      </c>
      <c r="Q3691" s="31">
        <f t="shared" si="3318"/>
        <v>0</v>
      </c>
    </row>
    <row r="3692" spans="1:17" x14ac:dyDescent="0.2">
      <c r="A3692" s="10"/>
      <c r="B3692" s="26"/>
      <c r="C3692" s="11">
        <v>2007</v>
      </c>
      <c r="D3692" s="32">
        <f>SPFI_CLB14!$D$30</f>
        <v>0.356512</v>
      </c>
      <c r="E3692" s="32"/>
      <c r="F3692" s="32"/>
      <c r="G3692" s="32"/>
      <c r="H3692" s="32"/>
      <c r="I3692" s="32"/>
      <c r="J3692" s="28">
        <f t="shared" ref="J3692" si="3321">D3692*J$118</f>
        <v>0</v>
      </c>
      <c r="K3692" s="29"/>
      <c r="L3692" s="29"/>
      <c r="M3692" s="29"/>
      <c r="N3692" s="29"/>
      <c r="O3692" s="29"/>
      <c r="P3692" s="30">
        <f t="shared" si="3320"/>
        <v>0</v>
      </c>
      <c r="Q3692" s="31">
        <f t="shared" si="3318"/>
        <v>0</v>
      </c>
    </row>
    <row r="3693" spans="1:17" x14ac:dyDescent="0.2">
      <c r="A3693" s="10"/>
      <c r="B3693" s="26"/>
      <c r="C3693" s="11">
        <v>2008</v>
      </c>
      <c r="D3693" s="32">
        <f>SPFI_CLB14!$D$31</f>
        <v>0.25494499999999998</v>
      </c>
      <c r="E3693" s="32"/>
      <c r="F3693" s="32"/>
      <c r="G3693" s="32"/>
      <c r="H3693" s="32"/>
      <c r="I3693" s="32"/>
      <c r="J3693" s="28">
        <f t="shared" ref="J3693" si="3322">D3693*J$118</f>
        <v>0</v>
      </c>
      <c r="K3693" s="29"/>
      <c r="L3693" s="29"/>
      <c r="M3693" s="29"/>
      <c r="N3693" s="29"/>
      <c r="O3693" s="29"/>
      <c r="P3693" s="30">
        <f t="shared" si="3320"/>
        <v>0</v>
      </c>
      <c r="Q3693" s="31">
        <f t="shared" si="3318"/>
        <v>0</v>
      </c>
    </row>
    <row r="3694" spans="1:17" x14ac:dyDescent="0.2">
      <c r="A3694" s="10"/>
      <c r="B3694" s="26"/>
      <c r="C3694" s="11">
        <v>2009</v>
      </c>
      <c r="D3694" s="32">
        <f>SPFI_CLB14!$D$32</f>
        <v>0.52383000000000002</v>
      </c>
      <c r="E3694" s="32"/>
      <c r="F3694" s="32"/>
      <c r="G3694" s="32"/>
      <c r="H3694" s="32"/>
      <c r="I3694" s="32"/>
      <c r="J3694" s="28">
        <f t="shared" ref="J3694" si="3323">D3694*J$118</f>
        <v>0</v>
      </c>
      <c r="K3694" s="29"/>
      <c r="L3694" s="29"/>
      <c r="M3694" s="29"/>
      <c r="N3694" s="29"/>
      <c r="O3694" s="29"/>
      <c r="P3694" s="30">
        <f t="shared" si="3320"/>
        <v>0</v>
      </c>
      <c r="Q3694" s="31">
        <f t="shared" si="3318"/>
        <v>0</v>
      </c>
    </row>
    <row r="3695" spans="1:17" x14ac:dyDescent="0.2">
      <c r="A3695" s="10"/>
      <c r="B3695" s="26"/>
      <c r="C3695" s="11">
        <v>2010</v>
      </c>
      <c r="D3695" s="32">
        <f>SPFI_CLB14!$D$33</f>
        <v>0.31394</v>
      </c>
      <c r="E3695" s="32"/>
      <c r="F3695" s="32"/>
      <c r="G3695" s="32"/>
      <c r="H3695" s="32"/>
      <c r="I3695" s="32"/>
      <c r="J3695" s="28">
        <f t="shared" ref="J3695" si="3324">D3695*J$118</f>
        <v>0</v>
      </c>
      <c r="K3695" s="29"/>
      <c r="L3695" s="29"/>
      <c r="M3695" s="29"/>
      <c r="N3695" s="29"/>
      <c r="O3695" s="29"/>
      <c r="P3695" s="30">
        <f t="shared" si="3320"/>
        <v>0</v>
      </c>
      <c r="Q3695" s="31">
        <f t="shared" si="3318"/>
        <v>0</v>
      </c>
    </row>
    <row r="3696" spans="1:17" x14ac:dyDescent="0.2">
      <c r="A3696" s="10"/>
      <c r="B3696" s="26"/>
      <c r="C3696" s="11">
        <v>2011</v>
      </c>
      <c r="D3696" s="32">
        <f>SPFI_CLB14!$D$34</f>
        <v>0.294348</v>
      </c>
      <c r="E3696" s="32"/>
      <c r="F3696" s="32"/>
      <c r="G3696" s="32"/>
      <c r="H3696" s="32"/>
      <c r="I3696" s="32"/>
      <c r="J3696" s="28">
        <f t="shared" ref="J3696" si="3325">D3696*J$118</f>
        <v>0</v>
      </c>
      <c r="K3696" s="29"/>
      <c r="L3696" s="29"/>
      <c r="M3696" s="29"/>
      <c r="N3696" s="29"/>
      <c r="O3696" s="29"/>
      <c r="P3696" s="30">
        <f t="shared" ref="P3696" si="3326">SUM(J3696:O3696)</f>
        <v>0</v>
      </c>
      <c r="Q3696" s="31">
        <f t="shared" ref="Q3696" si="3327">IF(C$118&gt;0,P3696/C$118,0)</f>
        <v>0</v>
      </c>
    </row>
    <row r="3697" spans="1:17" x14ac:dyDescent="0.2">
      <c r="A3697" s="10"/>
      <c r="B3697" s="26"/>
      <c r="C3697" s="11">
        <v>2012</v>
      </c>
      <c r="D3697" s="32">
        <f>SPFI_CLB14!$D$35</f>
        <v>0.34784100000000001</v>
      </c>
      <c r="E3697" s="32"/>
      <c r="F3697" s="32"/>
      <c r="G3697" s="32"/>
      <c r="H3697" s="32"/>
      <c r="I3697" s="32"/>
      <c r="J3697" s="28">
        <f t="shared" ref="J3697" si="3328">D3697*J$118</f>
        <v>0</v>
      </c>
      <c r="K3697" s="29"/>
      <c r="L3697" s="29"/>
      <c r="M3697" s="29"/>
      <c r="N3697" s="29"/>
      <c r="O3697" s="29"/>
      <c r="P3697" s="30">
        <f t="shared" ref="P3697" si="3329">SUM(J3697:O3697)</f>
        <v>0</v>
      </c>
      <c r="Q3697" s="31">
        <f t="shared" ref="Q3697" si="3330">IF(C$118&gt;0,P3697/C$118,0)</f>
        <v>0</v>
      </c>
    </row>
    <row r="3698" spans="1:17" x14ac:dyDescent="0.2">
      <c r="A3698" s="5" t="s">
        <v>34</v>
      </c>
      <c r="B3698" s="21">
        <v>5</v>
      </c>
      <c r="C3698" s="6">
        <v>1982</v>
      </c>
      <c r="D3698" s="27">
        <f>SPFI_CLB14!$D$5</f>
        <v>0.98153299999999999</v>
      </c>
      <c r="E3698" s="27"/>
      <c r="F3698" s="27"/>
      <c r="G3698" s="27"/>
      <c r="H3698" s="27"/>
      <c r="I3698" s="27"/>
      <c r="J3698" s="33">
        <f t="shared" ref="J3698:J3710" si="3331">D3698*J$119</f>
        <v>0</v>
      </c>
      <c r="K3698" s="27"/>
      <c r="L3698" s="27"/>
      <c r="M3698" s="27"/>
      <c r="N3698" s="27"/>
      <c r="O3698" s="27"/>
      <c r="P3698" s="34">
        <f t="shared" si="3320"/>
        <v>0</v>
      </c>
      <c r="Q3698" s="35">
        <f t="shared" ref="Q3698:Q3714" si="3332">IF(C$119&gt;0,P3698/C$119,0)</f>
        <v>0</v>
      </c>
    </row>
    <row r="3699" spans="1:17" x14ac:dyDescent="0.2">
      <c r="A3699" s="10"/>
      <c r="B3699" s="26"/>
      <c r="C3699" s="11">
        <v>1983</v>
      </c>
      <c r="D3699" s="32">
        <f>SPFI_CLB14!$D$6</f>
        <v>0.93659899999999996</v>
      </c>
      <c r="E3699" s="32"/>
      <c r="F3699" s="32"/>
      <c r="G3699" s="32"/>
      <c r="H3699" s="32"/>
      <c r="I3699" s="32"/>
      <c r="J3699" s="28">
        <f t="shared" si="3331"/>
        <v>0</v>
      </c>
      <c r="K3699" s="29"/>
      <c r="L3699" s="29"/>
      <c r="M3699" s="29"/>
      <c r="N3699" s="29"/>
      <c r="O3699" s="29"/>
      <c r="P3699" s="30">
        <f t="shared" ref="P3699:P3710" si="3333">SUM(J3699:O3699)</f>
        <v>0</v>
      </c>
      <c r="Q3699" s="31">
        <f t="shared" si="3332"/>
        <v>0</v>
      </c>
    </row>
    <row r="3700" spans="1:17" x14ac:dyDescent="0.2">
      <c r="A3700" s="10"/>
      <c r="B3700" s="26"/>
      <c r="C3700" s="11">
        <v>1984</v>
      </c>
      <c r="D3700" s="32">
        <f>SPFI_CLB14!$D$7</f>
        <v>0.92793599999999998</v>
      </c>
      <c r="E3700" s="32"/>
      <c r="F3700" s="32"/>
      <c r="G3700" s="32"/>
      <c r="H3700" s="32"/>
      <c r="I3700" s="32"/>
      <c r="J3700" s="28">
        <f t="shared" si="3331"/>
        <v>0</v>
      </c>
      <c r="K3700" s="29"/>
      <c r="L3700" s="29"/>
      <c r="M3700" s="29"/>
      <c r="N3700" s="29"/>
      <c r="O3700" s="29"/>
      <c r="P3700" s="30">
        <f t="shared" si="3333"/>
        <v>0</v>
      </c>
      <c r="Q3700" s="31">
        <f t="shared" si="3332"/>
        <v>0</v>
      </c>
    </row>
    <row r="3701" spans="1:17" x14ac:dyDescent="0.2">
      <c r="A3701" s="10"/>
      <c r="B3701" s="26"/>
      <c r="C3701" s="11">
        <v>1985</v>
      </c>
      <c r="D3701" s="32">
        <f>SPFI_CLB14!$D$8</f>
        <v>0.90386500000000003</v>
      </c>
      <c r="E3701" s="32"/>
      <c r="F3701" s="32"/>
      <c r="G3701" s="32"/>
      <c r="H3701" s="32"/>
      <c r="I3701" s="32"/>
      <c r="J3701" s="28">
        <f t="shared" si="3331"/>
        <v>0</v>
      </c>
      <c r="K3701" s="29"/>
      <c r="L3701" s="29"/>
      <c r="M3701" s="29"/>
      <c r="N3701" s="29"/>
      <c r="O3701" s="29"/>
      <c r="P3701" s="30">
        <f t="shared" si="3333"/>
        <v>0</v>
      </c>
      <c r="Q3701" s="31">
        <f t="shared" si="3332"/>
        <v>0</v>
      </c>
    </row>
    <row r="3702" spans="1:17" x14ac:dyDescent="0.2">
      <c r="A3702" s="10"/>
      <c r="B3702" s="26"/>
      <c r="C3702" s="11">
        <v>1986</v>
      </c>
      <c r="D3702" s="32">
        <f>SPFI_CLB14!$D$9</f>
        <v>0.73087500000000005</v>
      </c>
      <c r="E3702" s="32"/>
      <c r="F3702" s="32"/>
      <c r="G3702" s="32"/>
      <c r="H3702" s="32"/>
      <c r="I3702" s="32"/>
      <c r="J3702" s="28">
        <f t="shared" si="3331"/>
        <v>0</v>
      </c>
      <c r="K3702" s="29"/>
      <c r="L3702" s="29"/>
      <c r="M3702" s="29"/>
      <c r="N3702" s="29"/>
      <c r="O3702" s="29"/>
      <c r="P3702" s="30">
        <f t="shared" si="3333"/>
        <v>0</v>
      </c>
      <c r="Q3702" s="31">
        <f t="shared" si="3332"/>
        <v>0</v>
      </c>
    </row>
    <row r="3703" spans="1:17" x14ac:dyDescent="0.2">
      <c r="A3703" s="10"/>
      <c r="B3703" s="26"/>
      <c r="C3703" s="11">
        <v>1987</v>
      </c>
      <c r="D3703" s="32">
        <f>SPFI_CLB14!$D$10</f>
        <v>0.71733499999999994</v>
      </c>
      <c r="E3703" s="32"/>
      <c r="F3703" s="32"/>
      <c r="G3703" s="32"/>
      <c r="H3703" s="32"/>
      <c r="I3703" s="32"/>
      <c r="J3703" s="28">
        <f t="shared" si="3331"/>
        <v>0</v>
      </c>
      <c r="K3703" s="29"/>
      <c r="L3703" s="29"/>
      <c r="M3703" s="29"/>
      <c r="N3703" s="29"/>
      <c r="O3703" s="29"/>
      <c r="P3703" s="30">
        <f t="shared" si="3333"/>
        <v>0</v>
      </c>
      <c r="Q3703" s="31">
        <f t="shared" si="3332"/>
        <v>0</v>
      </c>
    </row>
    <row r="3704" spans="1:17" x14ac:dyDescent="0.2">
      <c r="A3704" s="10"/>
      <c r="B3704" s="26"/>
      <c r="C3704" s="11">
        <v>1988</v>
      </c>
      <c r="D3704" s="32">
        <f>SPFI_CLB14!$D$11</f>
        <v>0.64558800000000005</v>
      </c>
      <c r="E3704" s="32"/>
      <c r="F3704" s="32"/>
      <c r="G3704" s="32"/>
      <c r="H3704" s="32"/>
      <c r="I3704" s="32"/>
      <c r="J3704" s="28">
        <f t="shared" si="3331"/>
        <v>0</v>
      </c>
      <c r="K3704" s="29"/>
      <c r="L3704" s="29"/>
      <c r="M3704" s="29"/>
      <c r="N3704" s="29"/>
      <c r="O3704" s="29"/>
      <c r="P3704" s="30">
        <f t="shared" si="3333"/>
        <v>0</v>
      </c>
      <c r="Q3704" s="31">
        <f t="shared" si="3332"/>
        <v>0</v>
      </c>
    </row>
    <row r="3705" spans="1:17" x14ac:dyDescent="0.2">
      <c r="A3705" s="10"/>
      <c r="B3705" s="26"/>
      <c r="C3705" s="11">
        <v>1989</v>
      </c>
      <c r="D3705" s="32">
        <f>SPFI_CLB14!$D$12</f>
        <v>0.65287700000000004</v>
      </c>
      <c r="E3705" s="32"/>
      <c r="F3705" s="32"/>
      <c r="G3705" s="32"/>
      <c r="H3705" s="32"/>
      <c r="I3705" s="32"/>
      <c r="J3705" s="28">
        <f t="shared" si="3331"/>
        <v>0</v>
      </c>
      <c r="K3705" s="29"/>
      <c r="L3705" s="29"/>
      <c r="M3705" s="29"/>
      <c r="N3705" s="29"/>
      <c r="O3705" s="29"/>
      <c r="P3705" s="30">
        <f t="shared" si="3333"/>
        <v>0</v>
      </c>
      <c r="Q3705" s="31">
        <f t="shared" si="3332"/>
        <v>0</v>
      </c>
    </row>
    <row r="3706" spans="1:17" x14ac:dyDescent="0.2">
      <c r="A3706" s="10"/>
      <c r="B3706" s="26"/>
      <c r="C3706" s="11">
        <v>1990</v>
      </c>
      <c r="D3706" s="32">
        <f>SPFI_CLB14!$D$13</f>
        <v>0.56965100000000002</v>
      </c>
      <c r="E3706" s="32"/>
      <c r="F3706" s="32"/>
      <c r="G3706" s="32"/>
      <c r="H3706" s="32"/>
      <c r="I3706" s="32"/>
      <c r="J3706" s="28">
        <f t="shared" si="3331"/>
        <v>0</v>
      </c>
      <c r="K3706" s="29"/>
      <c r="L3706" s="29"/>
      <c r="M3706" s="29"/>
      <c r="N3706" s="29"/>
      <c r="O3706" s="29"/>
      <c r="P3706" s="30">
        <f t="shared" si="3333"/>
        <v>0</v>
      </c>
      <c r="Q3706" s="31">
        <f t="shared" si="3332"/>
        <v>0</v>
      </c>
    </row>
    <row r="3707" spans="1:17" x14ac:dyDescent="0.2">
      <c r="A3707" s="10"/>
      <c r="B3707" s="26"/>
      <c r="C3707" s="11">
        <v>1991</v>
      </c>
      <c r="D3707" s="32">
        <f>SPFI_CLB14!$D$14</f>
        <v>0.62776900000000002</v>
      </c>
      <c r="E3707" s="32"/>
      <c r="F3707" s="32"/>
      <c r="G3707" s="32"/>
      <c r="H3707" s="32"/>
      <c r="I3707" s="32"/>
      <c r="J3707" s="28">
        <f t="shared" si="3331"/>
        <v>0</v>
      </c>
      <c r="K3707" s="29"/>
      <c r="L3707" s="29"/>
      <c r="M3707" s="29"/>
      <c r="N3707" s="29"/>
      <c r="O3707" s="29"/>
      <c r="P3707" s="30">
        <f t="shared" si="3333"/>
        <v>0</v>
      </c>
      <c r="Q3707" s="31">
        <f t="shared" si="3332"/>
        <v>0</v>
      </c>
    </row>
    <row r="3708" spans="1:17" x14ac:dyDescent="0.2">
      <c r="A3708" s="10"/>
      <c r="B3708" s="26"/>
      <c r="C3708" s="11">
        <v>1992</v>
      </c>
      <c r="D3708" s="32">
        <f>SPFI_CLB14!$D$15</f>
        <v>0.43504100000000001</v>
      </c>
      <c r="E3708" s="32"/>
      <c r="F3708" s="32"/>
      <c r="G3708" s="32"/>
      <c r="H3708" s="32"/>
      <c r="I3708" s="32"/>
      <c r="J3708" s="28">
        <f t="shared" si="3331"/>
        <v>0</v>
      </c>
      <c r="K3708" s="29"/>
      <c r="L3708" s="29"/>
      <c r="M3708" s="29"/>
      <c r="N3708" s="29"/>
      <c r="O3708" s="29"/>
      <c r="P3708" s="30">
        <f t="shared" si="3333"/>
        <v>0</v>
      </c>
      <c r="Q3708" s="31">
        <f t="shared" si="3332"/>
        <v>0</v>
      </c>
    </row>
    <row r="3709" spans="1:17" x14ac:dyDescent="0.2">
      <c r="A3709" s="10"/>
      <c r="B3709" s="26"/>
      <c r="C3709" s="11">
        <v>1993</v>
      </c>
      <c r="D3709" s="32">
        <f>SPFI_CLB14!$D$16</f>
        <v>0.499164</v>
      </c>
      <c r="E3709" s="32"/>
      <c r="F3709" s="32"/>
      <c r="G3709" s="32"/>
      <c r="H3709" s="32"/>
      <c r="I3709" s="32"/>
      <c r="J3709" s="28">
        <f t="shared" si="3331"/>
        <v>0</v>
      </c>
      <c r="K3709" s="29"/>
      <c r="L3709" s="29"/>
      <c r="M3709" s="29"/>
      <c r="N3709" s="29"/>
      <c r="O3709" s="29"/>
      <c r="P3709" s="30">
        <f t="shared" si="3333"/>
        <v>0</v>
      </c>
      <c r="Q3709" s="31">
        <f t="shared" si="3332"/>
        <v>0</v>
      </c>
    </row>
    <row r="3710" spans="1:17" x14ac:dyDescent="0.2">
      <c r="A3710" s="10"/>
      <c r="B3710" s="26" t="s">
        <v>48</v>
      </c>
      <c r="C3710" s="11">
        <v>1994</v>
      </c>
      <c r="D3710" s="32">
        <f>SPFI_CLB14!$D$17</f>
        <v>0.59591300000000003</v>
      </c>
      <c r="E3710" s="32"/>
      <c r="F3710" s="32"/>
      <c r="G3710" s="32"/>
      <c r="H3710" s="32"/>
      <c r="I3710" s="32"/>
      <c r="J3710" s="28">
        <f t="shared" si="3331"/>
        <v>0</v>
      </c>
      <c r="K3710" s="29"/>
      <c r="L3710" s="29"/>
      <c r="M3710" s="29"/>
      <c r="N3710" s="29"/>
      <c r="O3710" s="29"/>
      <c r="P3710" s="30">
        <f t="shared" si="3333"/>
        <v>0</v>
      </c>
      <c r="Q3710" s="31">
        <f t="shared" si="3332"/>
        <v>0</v>
      </c>
    </row>
    <row r="3711" spans="1:17" x14ac:dyDescent="0.2">
      <c r="A3711" s="10"/>
      <c r="B3711" s="26"/>
      <c r="C3711" s="11">
        <v>1995</v>
      </c>
      <c r="D3711" s="32">
        <f>SPFI_CLB14!$D$18</f>
        <v>0.25400800000000001</v>
      </c>
      <c r="E3711" s="32"/>
      <c r="F3711" s="32"/>
      <c r="G3711" s="32"/>
      <c r="H3711" s="32"/>
      <c r="I3711" s="32"/>
      <c r="J3711" s="28">
        <f t="shared" ref="J3711" si="3334">D3711*J$119</f>
        <v>0</v>
      </c>
      <c r="K3711" s="29"/>
      <c r="L3711" s="29"/>
      <c r="M3711" s="29"/>
      <c r="N3711" s="29"/>
      <c r="O3711" s="29"/>
      <c r="P3711" s="30">
        <f>SUM(J3711:O3711)</f>
        <v>0</v>
      </c>
      <c r="Q3711" s="31">
        <f t="shared" si="3332"/>
        <v>0</v>
      </c>
    </row>
    <row r="3712" spans="1:17" x14ac:dyDescent="0.2">
      <c r="A3712" s="10"/>
      <c r="B3712" s="26"/>
      <c r="C3712" s="11">
        <v>1996</v>
      </c>
      <c r="D3712" s="32">
        <f>SPFI_CLB14!$D$19</f>
        <v>0</v>
      </c>
      <c r="E3712" s="32"/>
      <c r="F3712" s="32"/>
      <c r="G3712" s="32"/>
      <c r="H3712" s="32"/>
      <c r="I3712" s="32"/>
      <c r="J3712" s="28">
        <f t="shared" ref="J3712" si="3335">D3712*J$119</f>
        <v>0</v>
      </c>
      <c r="K3712" s="29"/>
      <c r="L3712" s="29"/>
      <c r="M3712" s="29"/>
      <c r="N3712" s="29"/>
      <c r="O3712" s="29"/>
      <c r="P3712" s="30">
        <f>SUM(J3712:O3712)</f>
        <v>0</v>
      </c>
      <c r="Q3712" s="31">
        <f t="shared" si="3332"/>
        <v>0</v>
      </c>
    </row>
    <row r="3713" spans="1:17" x14ac:dyDescent="0.2">
      <c r="A3713" s="10"/>
      <c r="B3713" s="26"/>
      <c r="C3713" s="11">
        <v>1997</v>
      </c>
      <c r="D3713" s="32">
        <f>SPFI_CLB14!$D$20</f>
        <v>0.201487</v>
      </c>
      <c r="E3713" s="32"/>
      <c r="F3713" s="32"/>
      <c r="G3713" s="32"/>
      <c r="H3713" s="32"/>
      <c r="I3713" s="32"/>
      <c r="J3713" s="28">
        <f t="shared" ref="J3713" si="3336">D3713*J$119</f>
        <v>0</v>
      </c>
      <c r="K3713" s="29"/>
      <c r="L3713" s="29"/>
      <c r="M3713" s="29"/>
      <c r="N3713" s="29"/>
      <c r="O3713" s="29"/>
      <c r="P3713" s="30">
        <f>SUM(J3713:O3713)</f>
        <v>0</v>
      </c>
      <c r="Q3713" s="31">
        <f t="shared" si="3332"/>
        <v>0</v>
      </c>
    </row>
    <row r="3714" spans="1:17" x14ac:dyDescent="0.2">
      <c r="A3714" s="10"/>
      <c r="B3714" s="26"/>
      <c r="C3714" s="11">
        <v>1998</v>
      </c>
      <c r="D3714" s="32">
        <f>SPFI_CLB14!$D$21</f>
        <v>0.37506400000000001</v>
      </c>
      <c r="E3714" s="32"/>
      <c r="F3714" s="32"/>
      <c r="G3714" s="32"/>
      <c r="H3714" s="32"/>
      <c r="I3714" s="32"/>
      <c r="J3714" s="28">
        <f t="shared" ref="J3714" si="3337">D3714*J$119</f>
        <v>0</v>
      </c>
      <c r="K3714" s="29"/>
      <c r="L3714" s="29"/>
      <c r="M3714" s="29"/>
      <c r="N3714" s="29"/>
      <c r="O3714" s="29"/>
      <c r="P3714" s="30">
        <f>SUM(J3714:O3714)</f>
        <v>0</v>
      </c>
      <c r="Q3714" s="31">
        <f t="shared" si="3332"/>
        <v>0</v>
      </c>
    </row>
    <row r="3715" spans="1:17" x14ac:dyDescent="0.2">
      <c r="A3715" s="10"/>
      <c r="B3715" s="26"/>
      <c r="C3715" s="11">
        <v>1999</v>
      </c>
      <c r="D3715" s="32">
        <f>SPFI_CLB14!$D$22</f>
        <v>0.29823699999999997</v>
      </c>
      <c r="E3715" s="32"/>
      <c r="F3715" s="32"/>
      <c r="G3715" s="32"/>
      <c r="H3715" s="32"/>
      <c r="I3715" s="32"/>
      <c r="J3715" s="28">
        <f t="shared" ref="J3715" si="3338">D3715*J$119</f>
        <v>0</v>
      </c>
      <c r="K3715" s="29"/>
      <c r="L3715" s="29"/>
      <c r="M3715" s="29"/>
      <c r="N3715" s="29"/>
      <c r="O3715" s="29"/>
      <c r="P3715" s="30">
        <f>SUM(J3715:O3715)</f>
        <v>0</v>
      </c>
      <c r="Q3715" s="31">
        <f t="shared" ref="Q3715:Q3720" si="3339">IF(C$119&gt;0,P3715/C$119,0)</f>
        <v>0</v>
      </c>
    </row>
    <row r="3716" spans="1:17" x14ac:dyDescent="0.2">
      <c r="A3716" s="10"/>
      <c r="B3716" s="26"/>
      <c r="C3716" s="11">
        <v>2000</v>
      </c>
      <c r="D3716" s="32">
        <f>SPFI_CLB14!$D$23</f>
        <v>8.4414000000000003E-2</v>
      </c>
      <c r="E3716" s="32"/>
      <c r="F3716" s="32"/>
      <c r="G3716" s="32"/>
      <c r="H3716" s="32"/>
      <c r="I3716" s="32"/>
      <c r="J3716" s="28">
        <f t="shared" ref="J3716" si="3340">D3716*J$119</f>
        <v>0</v>
      </c>
      <c r="K3716" s="29"/>
      <c r="L3716" s="29"/>
      <c r="M3716" s="29"/>
      <c r="N3716" s="29"/>
      <c r="O3716" s="29"/>
      <c r="P3716" s="30">
        <f t="shared" ref="P3716:P3721" si="3341">SUM(J3716:O3716)</f>
        <v>0</v>
      </c>
      <c r="Q3716" s="31">
        <f t="shared" si="3339"/>
        <v>0</v>
      </c>
    </row>
    <row r="3717" spans="1:17" x14ac:dyDescent="0.2">
      <c r="A3717" s="10"/>
      <c r="B3717" s="26"/>
      <c r="C3717" s="11">
        <v>2001</v>
      </c>
      <c r="D3717" s="32">
        <f>SPFI_CLB14!$D$24</f>
        <v>7.8909000000000007E-2</v>
      </c>
      <c r="E3717" s="32"/>
      <c r="F3717" s="32"/>
      <c r="G3717" s="32"/>
      <c r="H3717" s="32"/>
      <c r="I3717" s="32"/>
      <c r="J3717" s="28">
        <f t="shared" ref="J3717" si="3342">D3717*J$119</f>
        <v>0</v>
      </c>
      <c r="K3717" s="29"/>
      <c r="L3717" s="29"/>
      <c r="M3717" s="29"/>
      <c r="N3717" s="29"/>
      <c r="O3717" s="29"/>
      <c r="P3717" s="30">
        <f t="shared" si="3341"/>
        <v>0</v>
      </c>
      <c r="Q3717" s="31">
        <f t="shared" si="3339"/>
        <v>0</v>
      </c>
    </row>
    <row r="3718" spans="1:17" x14ac:dyDescent="0.2">
      <c r="A3718" s="10"/>
      <c r="B3718" s="26"/>
      <c r="C3718" s="11">
        <v>2002</v>
      </c>
      <c r="D3718" s="32">
        <f>SPFI_CLB14!$D$25</f>
        <v>0.29974699999999999</v>
      </c>
      <c r="E3718" s="32"/>
      <c r="F3718" s="32"/>
      <c r="G3718" s="32"/>
      <c r="H3718" s="32"/>
      <c r="I3718" s="32"/>
      <c r="J3718" s="28">
        <f t="shared" ref="J3718" si="3343">D3718*J$119</f>
        <v>0</v>
      </c>
      <c r="K3718" s="29"/>
      <c r="L3718" s="29"/>
      <c r="M3718" s="29"/>
      <c r="N3718" s="29"/>
      <c r="O3718" s="29"/>
      <c r="P3718" s="30">
        <f t="shared" si="3341"/>
        <v>0</v>
      </c>
      <c r="Q3718" s="31">
        <f t="shared" si="3339"/>
        <v>0</v>
      </c>
    </row>
    <row r="3719" spans="1:17" x14ac:dyDescent="0.2">
      <c r="A3719" s="10"/>
      <c r="B3719" s="26"/>
      <c r="C3719" s="11">
        <v>2003</v>
      </c>
      <c r="D3719" s="32">
        <f>SPFI_CLB14!$D$26</f>
        <v>0.20691100000000001</v>
      </c>
      <c r="E3719" s="32"/>
      <c r="F3719" s="32"/>
      <c r="G3719" s="32"/>
      <c r="H3719" s="32"/>
      <c r="I3719" s="32"/>
      <c r="J3719" s="28">
        <f t="shared" ref="J3719" si="3344">D3719*J$119</f>
        <v>0</v>
      </c>
      <c r="K3719" s="29"/>
      <c r="L3719" s="29"/>
      <c r="M3719" s="29"/>
      <c r="N3719" s="29"/>
      <c r="O3719" s="29"/>
      <c r="P3719" s="30">
        <f t="shared" si="3341"/>
        <v>0</v>
      </c>
      <c r="Q3719" s="31">
        <f t="shared" si="3339"/>
        <v>0</v>
      </c>
    </row>
    <row r="3720" spans="1:17" x14ac:dyDescent="0.2">
      <c r="A3720" s="10"/>
      <c r="B3720" s="26"/>
      <c r="C3720" s="11">
        <v>2004</v>
      </c>
      <c r="D3720" s="32">
        <f>SPFI_CLB14!$D$27</f>
        <v>0.269237</v>
      </c>
      <c r="E3720" s="32"/>
      <c r="F3720" s="32"/>
      <c r="G3720" s="32"/>
      <c r="H3720" s="32"/>
      <c r="I3720" s="32"/>
      <c r="J3720" s="28">
        <f t="shared" ref="J3720" si="3345">D3720*J$119</f>
        <v>0</v>
      </c>
      <c r="K3720" s="29"/>
      <c r="L3720" s="29"/>
      <c r="M3720" s="29"/>
      <c r="N3720" s="29"/>
      <c r="O3720" s="29"/>
      <c r="P3720" s="30">
        <f t="shared" si="3341"/>
        <v>0</v>
      </c>
      <c r="Q3720" s="31">
        <f t="shared" si="3339"/>
        <v>0</v>
      </c>
    </row>
    <row r="3721" spans="1:17" x14ac:dyDescent="0.2">
      <c r="A3721" s="10"/>
      <c r="B3721" s="26"/>
      <c r="C3721" s="11">
        <v>2005</v>
      </c>
      <c r="D3721" s="32">
        <f>SPFI_CLB14!$D$28</f>
        <v>0.37848700000000002</v>
      </c>
      <c r="E3721" s="32"/>
      <c r="F3721" s="32"/>
      <c r="G3721" s="32"/>
      <c r="H3721" s="32"/>
      <c r="I3721" s="32"/>
      <c r="J3721" s="28">
        <f t="shared" ref="J3721" si="3346">D3721*J$119</f>
        <v>0</v>
      </c>
      <c r="K3721" s="29"/>
      <c r="L3721" s="29"/>
      <c r="M3721" s="29"/>
      <c r="N3721" s="29"/>
      <c r="O3721" s="29"/>
      <c r="P3721" s="30">
        <f t="shared" si="3341"/>
        <v>0</v>
      </c>
      <c r="Q3721" s="31">
        <f t="shared" ref="Q3721:Q3726" si="3347">IF(C$119&gt;0,P3721/C$119,0)</f>
        <v>0</v>
      </c>
    </row>
    <row r="3722" spans="1:17" x14ac:dyDescent="0.2">
      <c r="A3722" s="10"/>
      <c r="B3722" s="26"/>
      <c r="C3722" s="11">
        <v>2006</v>
      </c>
      <c r="D3722" s="32">
        <f>SPFI_CLB14!$D$29</f>
        <v>0.381023</v>
      </c>
      <c r="E3722" s="32"/>
      <c r="F3722" s="32"/>
      <c r="G3722" s="32"/>
      <c r="H3722" s="32"/>
      <c r="I3722" s="32"/>
      <c r="J3722" s="28">
        <f t="shared" ref="J3722" si="3348">D3722*J$119</f>
        <v>0</v>
      </c>
      <c r="K3722" s="29"/>
      <c r="L3722" s="29"/>
      <c r="M3722" s="29"/>
      <c r="N3722" s="29"/>
      <c r="O3722" s="29"/>
      <c r="P3722" s="30">
        <f t="shared" ref="P3722:P3729" si="3349">SUM(J3722:O3722)</f>
        <v>0</v>
      </c>
      <c r="Q3722" s="31">
        <f t="shared" si="3347"/>
        <v>0</v>
      </c>
    </row>
    <row r="3723" spans="1:17" x14ac:dyDescent="0.2">
      <c r="A3723" s="10"/>
      <c r="B3723" s="26"/>
      <c r="C3723" s="11">
        <v>2007</v>
      </c>
      <c r="D3723" s="32">
        <f>SPFI_CLB14!$D$30</f>
        <v>0.356512</v>
      </c>
      <c r="E3723" s="32"/>
      <c r="F3723" s="32"/>
      <c r="G3723" s="32"/>
      <c r="H3723" s="32"/>
      <c r="I3723" s="32"/>
      <c r="J3723" s="28">
        <f t="shared" ref="J3723" si="3350">D3723*J$119</f>
        <v>0</v>
      </c>
      <c r="K3723" s="29"/>
      <c r="L3723" s="29"/>
      <c r="M3723" s="29"/>
      <c r="N3723" s="29"/>
      <c r="O3723" s="29"/>
      <c r="P3723" s="30">
        <f t="shared" si="3349"/>
        <v>0</v>
      </c>
      <c r="Q3723" s="31">
        <f t="shared" si="3347"/>
        <v>0</v>
      </c>
    </row>
    <row r="3724" spans="1:17" x14ac:dyDescent="0.2">
      <c r="A3724" s="10"/>
      <c r="B3724" s="26"/>
      <c r="C3724" s="11">
        <v>2008</v>
      </c>
      <c r="D3724" s="32">
        <f>SPFI_CLB14!$D$31</f>
        <v>0.25494499999999998</v>
      </c>
      <c r="E3724" s="32"/>
      <c r="F3724" s="32"/>
      <c r="G3724" s="32"/>
      <c r="H3724" s="32"/>
      <c r="I3724" s="32"/>
      <c r="J3724" s="28">
        <f t="shared" ref="J3724" si="3351">D3724*J$119</f>
        <v>0</v>
      </c>
      <c r="K3724" s="29"/>
      <c r="L3724" s="29"/>
      <c r="M3724" s="29"/>
      <c r="N3724" s="29"/>
      <c r="O3724" s="29"/>
      <c r="P3724" s="30">
        <f t="shared" si="3349"/>
        <v>0</v>
      </c>
      <c r="Q3724" s="31">
        <f t="shared" si="3347"/>
        <v>0</v>
      </c>
    </row>
    <row r="3725" spans="1:17" x14ac:dyDescent="0.2">
      <c r="A3725" s="10"/>
      <c r="B3725" s="26"/>
      <c r="C3725" s="11">
        <v>2009</v>
      </c>
      <c r="D3725" s="32">
        <f>SPFI_CLB14!$D$32</f>
        <v>0.52383000000000002</v>
      </c>
      <c r="E3725" s="32"/>
      <c r="F3725" s="32"/>
      <c r="G3725" s="32"/>
      <c r="H3725" s="32"/>
      <c r="I3725" s="32"/>
      <c r="J3725" s="28">
        <f t="shared" ref="J3725" si="3352">D3725*J$119</f>
        <v>0</v>
      </c>
      <c r="K3725" s="29"/>
      <c r="L3725" s="29"/>
      <c r="M3725" s="29"/>
      <c r="N3725" s="29"/>
      <c r="O3725" s="29"/>
      <c r="P3725" s="30">
        <f t="shared" si="3349"/>
        <v>0</v>
      </c>
      <c r="Q3725" s="31">
        <f t="shared" si="3347"/>
        <v>0</v>
      </c>
    </row>
    <row r="3726" spans="1:17" x14ac:dyDescent="0.2">
      <c r="A3726" s="10"/>
      <c r="B3726" s="26"/>
      <c r="C3726" s="11">
        <v>2010</v>
      </c>
      <c r="D3726" s="32">
        <f>SPFI_CLB14!$D$33</f>
        <v>0.31394</v>
      </c>
      <c r="E3726" s="32"/>
      <c r="F3726" s="32"/>
      <c r="G3726" s="32"/>
      <c r="H3726" s="32"/>
      <c r="I3726" s="32"/>
      <c r="J3726" s="28">
        <f t="shared" ref="J3726" si="3353">D3726*J$119</f>
        <v>0</v>
      </c>
      <c r="K3726" s="29"/>
      <c r="L3726" s="29"/>
      <c r="M3726" s="29"/>
      <c r="N3726" s="29"/>
      <c r="O3726" s="29"/>
      <c r="P3726" s="30">
        <f t="shared" si="3349"/>
        <v>0</v>
      </c>
      <c r="Q3726" s="31">
        <f t="shared" si="3347"/>
        <v>0</v>
      </c>
    </row>
    <row r="3727" spans="1:17" x14ac:dyDescent="0.2">
      <c r="A3727" s="10"/>
      <c r="B3727" s="26"/>
      <c r="C3727" s="11">
        <v>2011</v>
      </c>
      <c r="D3727" s="32">
        <f>SPFI_CLB14!$D$34</f>
        <v>0.294348</v>
      </c>
      <c r="E3727" s="32"/>
      <c r="F3727" s="32"/>
      <c r="G3727" s="32"/>
      <c r="H3727" s="32"/>
      <c r="I3727" s="32"/>
      <c r="J3727" s="28">
        <f t="shared" ref="J3727" si="3354">D3727*J$119</f>
        <v>0</v>
      </c>
      <c r="K3727" s="29"/>
      <c r="L3727" s="29"/>
      <c r="M3727" s="29"/>
      <c r="N3727" s="29"/>
      <c r="O3727" s="29"/>
      <c r="P3727" s="30">
        <f t="shared" ref="P3727" si="3355">SUM(J3727:O3727)</f>
        <v>0</v>
      </c>
      <c r="Q3727" s="31">
        <f t="shared" ref="Q3727" si="3356">IF(C$119&gt;0,P3727/C$119,0)</f>
        <v>0</v>
      </c>
    </row>
    <row r="3728" spans="1:17" x14ac:dyDescent="0.2">
      <c r="A3728" s="10"/>
      <c r="B3728" s="26"/>
      <c r="C3728" s="11">
        <v>2012</v>
      </c>
      <c r="D3728" s="32">
        <f>SPFI_CLB14!$D$35</f>
        <v>0.34784100000000001</v>
      </c>
      <c r="E3728" s="32"/>
      <c r="F3728" s="32"/>
      <c r="G3728" s="32"/>
      <c r="H3728" s="32"/>
      <c r="I3728" s="32"/>
      <c r="J3728" s="28">
        <f t="shared" ref="J3728" si="3357">D3728*J$119</f>
        <v>0</v>
      </c>
      <c r="K3728" s="29"/>
      <c r="L3728" s="29"/>
      <c r="M3728" s="29"/>
      <c r="N3728" s="29"/>
      <c r="O3728" s="29"/>
      <c r="P3728" s="30">
        <f t="shared" ref="P3728" si="3358">SUM(J3728:O3728)</f>
        <v>0</v>
      </c>
      <c r="Q3728" s="31">
        <f t="shared" ref="Q3728" si="3359">IF(C$119&gt;0,P3728/C$119,0)</f>
        <v>0</v>
      </c>
    </row>
    <row r="3729" spans="1:17" x14ac:dyDescent="0.2">
      <c r="A3729" s="5" t="s">
        <v>35</v>
      </c>
      <c r="B3729" s="21">
        <v>2</v>
      </c>
      <c r="C3729" s="6">
        <v>1982</v>
      </c>
      <c r="D3729" s="27">
        <f>SPFI_CLB14!$D$5</f>
        <v>0.98153299999999999</v>
      </c>
      <c r="E3729" s="27"/>
      <c r="F3729" s="27"/>
      <c r="G3729" s="27"/>
      <c r="H3729" s="27"/>
      <c r="I3729" s="27"/>
      <c r="J3729" s="33">
        <f t="shared" ref="J3729:J3741" si="3360">D3729*J$120</f>
        <v>0</v>
      </c>
      <c r="K3729" s="27"/>
      <c r="L3729" s="27"/>
      <c r="M3729" s="27"/>
      <c r="N3729" s="27"/>
      <c r="O3729" s="27"/>
      <c r="P3729" s="34">
        <f t="shared" si="3349"/>
        <v>0</v>
      </c>
      <c r="Q3729" s="35">
        <f t="shared" ref="Q3729:Q3745" si="3361">IF(C$120&gt;0,P3729/C$120,0)</f>
        <v>0</v>
      </c>
    </row>
    <row r="3730" spans="1:17" x14ac:dyDescent="0.2">
      <c r="A3730" s="10"/>
      <c r="B3730" s="26"/>
      <c r="C3730" s="11">
        <v>1983</v>
      </c>
      <c r="D3730" s="32">
        <f>SPFI_CLB14!$D$6</f>
        <v>0.93659899999999996</v>
      </c>
      <c r="E3730" s="32"/>
      <c r="F3730" s="32"/>
      <c r="G3730" s="32"/>
      <c r="H3730" s="32"/>
      <c r="I3730" s="32"/>
      <c r="J3730" s="28">
        <f t="shared" si="3360"/>
        <v>0</v>
      </c>
      <c r="K3730" s="29"/>
      <c r="L3730" s="29"/>
      <c r="M3730" s="29"/>
      <c r="N3730" s="29"/>
      <c r="O3730" s="29"/>
      <c r="P3730" s="30">
        <f t="shared" ref="P3730:P3741" si="3362">SUM(J3730:O3730)</f>
        <v>0</v>
      </c>
      <c r="Q3730" s="31">
        <f t="shared" si="3361"/>
        <v>0</v>
      </c>
    </row>
    <row r="3731" spans="1:17" x14ac:dyDescent="0.2">
      <c r="A3731" s="10"/>
      <c r="B3731" s="26"/>
      <c r="C3731" s="11">
        <v>1984</v>
      </c>
      <c r="D3731" s="32">
        <f>SPFI_CLB14!$D$7</f>
        <v>0.92793599999999998</v>
      </c>
      <c r="E3731" s="32"/>
      <c r="F3731" s="32"/>
      <c r="G3731" s="32"/>
      <c r="H3731" s="32"/>
      <c r="I3731" s="32"/>
      <c r="J3731" s="28">
        <f t="shared" si="3360"/>
        <v>0</v>
      </c>
      <c r="K3731" s="29"/>
      <c r="L3731" s="29"/>
      <c r="M3731" s="29"/>
      <c r="N3731" s="29"/>
      <c r="O3731" s="29"/>
      <c r="P3731" s="30">
        <f t="shared" si="3362"/>
        <v>0</v>
      </c>
      <c r="Q3731" s="31">
        <f t="shared" si="3361"/>
        <v>0</v>
      </c>
    </row>
    <row r="3732" spans="1:17" x14ac:dyDescent="0.2">
      <c r="A3732" s="10"/>
      <c r="B3732" s="26"/>
      <c r="C3732" s="11">
        <v>1985</v>
      </c>
      <c r="D3732" s="32">
        <f>SPFI_CLB14!$D$8</f>
        <v>0.90386500000000003</v>
      </c>
      <c r="E3732" s="32"/>
      <c r="F3732" s="32"/>
      <c r="G3732" s="32"/>
      <c r="H3732" s="32"/>
      <c r="I3732" s="32"/>
      <c r="J3732" s="28">
        <f t="shared" si="3360"/>
        <v>0</v>
      </c>
      <c r="K3732" s="29"/>
      <c r="L3732" s="29"/>
      <c r="M3732" s="29"/>
      <c r="N3732" s="29"/>
      <c r="O3732" s="29"/>
      <c r="P3732" s="30">
        <f t="shared" si="3362"/>
        <v>0</v>
      </c>
      <c r="Q3732" s="31">
        <f t="shared" si="3361"/>
        <v>0</v>
      </c>
    </row>
    <row r="3733" spans="1:17" x14ac:dyDescent="0.2">
      <c r="A3733" s="10"/>
      <c r="B3733" s="26"/>
      <c r="C3733" s="11">
        <v>1986</v>
      </c>
      <c r="D3733" s="32">
        <f>SPFI_CLB14!$D$9</f>
        <v>0.73087500000000005</v>
      </c>
      <c r="E3733" s="32"/>
      <c r="F3733" s="32"/>
      <c r="G3733" s="32"/>
      <c r="H3733" s="32"/>
      <c r="I3733" s="32"/>
      <c r="J3733" s="28">
        <f t="shared" si="3360"/>
        <v>0</v>
      </c>
      <c r="K3733" s="29"/>
      <c r="L3733" s="29"/>
      <c r="M3733" s="29"/>
      <c r="N3733" s="29"/>
      <c r="O3733" s="29"/>
      <c r="P3733" s="30">
        <f t="shared" si="3362"/>
        <v>0</v>
      </c>
      <c r="Q3733" s="31">
        <f t="shared" si="3361"/>
        <v>0</v>
      </c>
    </row>
    <row r="3734" spans="1:17" x14ac:dyDescent="0.2">
      <c r="A3734" s="10"/>
      <c r="B3734" s="26"/>
      <c r="C3734" s="11">
        <v>1987</v>
      </c>
      <c r="D3734" s="32">
        <f>SPFI_CLB14!$D$10</f>
        <v>0.71733499999999994</v>
      </c>
      <c r="E3734" s="32"/>
      <c r="F3734" s="32"/>
      <c r="G3734" s="32"/>
      <c r="H3734" s="32"/>
      <c r="I3734" s="32"/>
      <c r="J3734" s="28">
        <f t="shared" si="3360"/>
        <v>0</v>
      </c>
      <c r="K3734" s="29"/>
      <c r="L3734" s="29"/>
      <c r="M3734" s="29"/>
      <c r="N3734" s="29"/>
      <c r="O3734" s="29"/>
      <c r="P3734" s="30">
        <f t="shared" si="3362"/>
        <v>0</v>
      </c>
      <c r="Q3734" s="31">
        <f t="shared" si="3361"/>
        <v>0</v>
      </c>
    </row>
    <row r="3735" spans="1:17" x14ac:dyDescent="0.2">
      <c r="A3735" s="10"/>
      <c r="B3735" s="26"/>
      <c r="C3735" s="11">
        <v>1988</v>
      </c>
      <c r="D3735" s="32">
        <f>SPFI_CLB14!$D$11</f>
        <v>0.64558800000000005</v>
      </c>
      <c r="E3735" s="32"/>
      <c r="F3735" s="32"/>
      <c r="G3735" s="32"/>
      <c r="H3735" s="32"/>
      <c r="I3735" s="32"/>
      <c r="J3735" s="28">
        <f t="shared" si="3360"/>
        <v>0</v>
      </c>
      <c r="K3735" s="29"/>
      <c r="L3735" s="29"/>
      <c r="M3735" s="29"/>
      <c r="N3735" s="29"/>
      <c r="O3735" s="29"/>
      <c r="P3735" s="30">
        <f t="shared" si="3362"/>
        <v>0</v>
      </c>
      <c r="Q3735" s="31">
        <f t="shared" si="3361"/>
        <v>0</v>
      </c>
    </row>
    <row r="3736" spans="1:17" x14ac:dyDescent="0.2">
      <c r="A3736" s="10"/>
      <c r="B3736" s="26"/>
      <c r="C3736" s="11">
        <v>1989</v>
      </c>
      <c r="D3736" s="32">
        <f>SPFI_CLB14!$D$12</f>
        <v>0.65287700000000004</v>
      </c>
      <c r="E3736" s="32"/>
      <c r="F3736" s="32"/>
      <c r="G3736" s="32"/>
      <c r="H3736" s="32"/>
      <c r="I3736" s="32"/>
      <c r="J3736" s="28">
        <f t="shared" si="3360"/>
        <v>0</v>
      </c>
      <c r="K3736" s="29"/>
      <c r="L3736" s="29"/>
      <c r="M3736" s="29"/>
      <c r="N3736" s="29"/>
      <c r="O3736" s="29"/>
      <c r="P3736" s="30">
        <f t="shared" si="3362"/>
        <v>0</v>
      </c>
      <c r="Q3736" s="31">
        <f t="shared" si="3361"/>
        <v>0</v>
      </c>
    </row>
    <row r="3737" spans="1:17" x14ac:dyDescent="0.2">
      <c r="A3737" s="10"/>
      <c r="B3737" s="26"/>
      <c r="C3737" s="11">
        <v>1990</v>
      </c>
      <c r="D3737" s="32">
        <f>SPFI_CLB14!$D$13</f>
        <v>0.56965100000000002</v>
      </c>
      <c r="E3737" s="32"/>
      <c r="F3737" s="32"/>
      <c r="G3737" s="32"/>
      <c r="H3737" s="32"/>
      <c r="I3737" s="32"/>
      <c r="J3737" s="28">
        <f t="shared" si="3360"/>
        <v>0</v>
      </c>
      <c r="K3737" s="29"/>
      <c r="L3737" s="29"/>
      <c r="M3737" s="29"/>
      <c r="N3737" s="29"/>
      <c r="O3737" s="29"/>
      <c r="P3737" s="30">
        <f t="shared" si="3362"/>
        <v>0</v>
      </c>
      <c r="Q3737" s="31">
        <f t="shared" si="3361"/>
        <v>0</v>
      </c>
    </row>
    <row r="3738" spans="1:17" x14ac:dyDescent="0.2">
      <c r="A3738" s="10"/>
      <c r="B3738" s="26"/>
      <c r="C3738" s="11">
        <v>1991</v>
      </c>
      <c r="D3738" s="32">
        <f>SPFI_CLB14!$D$14</f>
        <v>0.62776900000000002</v>
      </c>
      <c r="E3738" s="32"/>
      <c r="F3738" s="32"/>
      <c r="G3738" s="32"/>
      <c r="H3738" s="32"/>
      <c r="I3738" s="32"/>
      <c r="J3738" s="28">
        <f t="shared" si="3360"/>
        <v>0</v>
      </c>
      <c r="K3738" s="29"/>
      <c r="L3738" s="29"/>
      <c r="M3738" s="29"/>
      <c r="N3738" s="29"/>
      <c r="O3738" s="29"/>
      <c r="P3738" s="30">
        <f t="shared" si="3362"/>
        <v>0</v>
      </c>
      <c r="Q3738" s="31">
        <f t="shared" si="3361"/>
        <v>0</v>
      </c>
    </row>
    <row r="3739" spans="1:17" x14ac:dyDescent="0.2">
      <c r="A3739" s="10"/>
      <c r="B3739" s="26"/>
      <c r="C3739" s="11">
        <v>1992</v>
      </c>
      <c r="D3739" s="32">
        <f>SPFI_CLB14!$D$15</f>
        <v>0.43504100000000001</v>
      </c>
      <c r="E3739" s="32"/>
      <c r="F3739" s="32"/>
      <c r="G3739" s="32"/>
      <c r="H3739" s="32"/>
      <c r="I3739" s="32"/>
      <c r="J3739" s="28">
        <f t="shared" si="3360"/>
        <v>0</v>
      </c>
      <c r="K3739" s="29"/>
      <c r="L3739" s="29"/>
      <c r="M3739" s="29"/>
      <c r="N3739" s="29"/>
      <c r="O3739" s="29"/>
      <c r="P3739" s="30">
        <f t="shared" si="3362"/>
        <v>0</v>
      </c>
      <c r="Q3739" s="31">
        <f t="shared" si="3361"/>
        <v>0</v>
      </c>
    </row>
    <row r="3740" spans="1:17" x14ac:dyDescent="0.2">
      <c r="A3740" s="10"/>
      <c r="B3740" s="26"/>
      <c r="C3740" s="11">
        <v>1993</v>
      </c>
      <c r="D3740" s="32">
        <f>SPFI_CLB14!$D$16</f>
        <v>0.499164</v>
      </c>
      <c r="E3740" s="32"/>
      <c r="F3740" s="32"/>
      <c r="G3740" s="32"/>
      <c r="H3740" s="32"/>
      <c r="I3740" s="32"/>
      <c r="J3740" s="28">
        <f t="shared" si="3360"/>
        <v>0</v>
      </c>
      <c r="K3740" s="29"/>
      <c r="L3740" s="29"/>
      <c r="M3740" s="29"/>
      <c r="N3740" s="29"/>
      <c r="O3740" s="29"/>
      <c r="P3740" s="30">
        <f t="shared" si="3362"/>
        <v>0</v>
      </c>
      <c r="Q3740" s="31">
        <f t="shared" si="3361"/>
        <v>0</v>
      </c>
    </row>
    <row r="3741" spans="1:17" x14ac:dyDescent="0.2">
      <c r="A3741" s="10"/>
      <c r="B3741" s="26"/>
      <c r="C3741" s="11">
        <v>1994</v>
      </c>
      <c r="D3741" s="32">
        <f>SPFI_CLB14!$D$17</f>
        <v>0.59591300000000003</v>
      </c>
      <c r="E3741" s="32"/>
      <c r="F3741" s="32"/>
      <c r="G3741" s="32"/>
      <c r="H3741" s="32"/>
      <c r="I3741" s="32"/>
      <c r="J3741" s="28">
        <f t="shared" si="3360"/>
        <v>0</v>
      </c>
      <c r="K3741" s="29"/>
      <c r="L3741" s="29"/>
      <c r="M3741" s="29"/>
      <c r="N3741" s="29"/>
      <c r="O3741" s="29"/>
      <c r="P3741" s="30">
        <f t="shared" si="3362"/>
        <v>0</v>
      </c>
      <c r="Q3741" s="31">
        <f t="shared" si="3361"/>
        <v>0</v>
      </c>
    </row>
    <row r="3742" spans="1:17" x14ac:dyDescent="0.2">
      <c r="A3742" s="10"/>
      <c r="B3742" s="26"/>
      <c r="C3742" s="11">
        <v>1995</v>
      </c>
      <c r="D3742" s="32">
        <f>SPFI_CLB14!$D$18</f>
        <v>0.25400800000000001</v>
      </c>
      <c r="E3742" s="32"/>
      <c r="F3742" s="32"/>
      <c r="G3742" s="32"/>
      <c r="H3742" s="32"/>
      <c r="I3742" s="32"/>
      <c r="J3742" s="28">
        <f t="shared" ref="J3742" si="3363">D3742*J$120</f>
        <v>0</v>
      </c>
      <c r="K3742" s="29"/>
      <c r="L3742" s="29"/>
      <c r="M3742" s="29"/>
      <c r="N3742" s="29"/>
      <c r="O3742" s="29"/>
      <c r="P3742" s="30">
        <f>SUM(J3742:O3742)</f>
        <v>0</v>
      </c>
      <c r="Q3742" s="31">
        <f t="shared" si="3361"/>
        <v>0</v>
      </c>
    </row>
    <row r="3743" spans="1:17" x14ac:dyDescent="0.2">
      <c r="A3743" s="10"/>
      <c r="B3743" s="26"/>
      <c r="C3743" s="11">
        <v>1996</v>
      </c>
      <c r="D3743" s="32">
        <f>SPFI_CLB14!$D$19</f>
        <v>0</v>
      </c>
      <c r="E3743" s="32"/>
      <c r="F3743" s="32"/>
      <c r="G3743" s="32"/>
      <c r="H3743" s="32"/>
      <c r="I3743" s="32"/>
      <c r="J3743" s="28">
        <f t="shared" ref="J3743" si="3364">D3743*J$120</f>
        <v>0</v>
      </c>
      <c r="K3743" s="29"/>
      <c r="L3743" s="29"/>
      <c r="M3743" s="29"/>
      <c r="N3743" s="29"/>
      <c r="O3743" s="29"/>
      <c r="P3743" s="30">
        <f>SUM(J3743:O3743)</f>
        <v>0</v>
      </c>
      <c r="Q3743" s="31">
        <f t="shared" si="3361"/>
        <v>0</v>
      </c>
    </row>
    <row r="3744" spans="1:17" x14ac:dyDescent="0.2">
      <c r="A3744" s="10"/>
      <c r="B3744" s="26"/>
      <c r="C3744" s="11">
        <v>1997</v>
      </c>
      <c r="D3744" s="32">
        <f>SPFI_CLB14!$D$20</f>
        <v>0.201487</v>
      </c>
      <c r="E3744" s="32"/>
      <c r="F3744" s="32"/>
      <c r="G3744" s="32"/>
      <c r="H3744" s="32"/>
      <c r="I3744" s="32"/>
      <c r="J3744" s="28">
        <f t="shared" ref="J3744" si="3365">D3744*J$120</f>
        <v>0</v>
      </c>
      <c r="K3744" s="29"/>
      <c r="L3744" s="29"/>
      <c r="M3744" s="29"/>
      <c r="N3744" s="29"/>
      <c r="O3744" s="29"/>
      <c r="P3744" s="30">
        <f>SUM(J3744:O3744)</f>
        <v>0</v>
      </c>
      <c r="Q3744" s="31">
        <f t="shared" si="3361"/>
        <v>0</v>
      </c>
    </row>
    <row r="3745" spans="1:17" x14ac:dyDescent="0.2">
      <c r="A3745" s="10"/>
      <c r="B3745" s="26"/>
      <c r="C3745" s="11">
        <v>1998</v>
      </c>
      <c r="D3745" s="32">
        <f>SPFI_CLB14!$D$21</f>
        <v>0.37506400000000001</v>
      </c>
      <c r="E3745" s="32"/>
      <c r="F3745" s="32"/>
      <c r="G3745" s="32"/>
      <c r="H3745" s="32"/>
      <c r="I3745" s="32"/>
      <c r="J3745" s="28">
        <f t="shared" ref="J3745" si="3366">D3745*J$120</f>
        <v>0</v>
      </c>
      <c r="K3745" s="29"/>
      <c r="L3745" s="29"/>
      <c r="M3745" s="29"/>
      <c r="N3745" s="29"/>
      <c r="O3745" s="29"/>
      <c r="P3745" s="30">
        <f>SUM(J3745:O3745)</f>
        <v>0</v>
      </c>
      <c r="Q3745" s="31">
        <f t="shared" si="3361"/>
        <v>0</v>
      </c>
    </row>
    <row r="3746" spans="1:17" x14ac:dyDescent="0.2">
      <c r="A3746" s="10"/>
      <c r="B3746" s="26"/>
      <c r="C3746" s="11">
        <v>1999</v>
      </c>
      <c r="D3746" s="32">
        <f>SPFI_CLB14!$D$22</f>
        <v>0.29823699999999997</v>
      </c>
      <c r="E3746" s="32"/>
      <c r="F3746" s="32"/>
      <c r="G3746" s="32"/>
      <c r="H3746" s="32"/>
      <c r="I3746" s="32"/>
      <c r="J3746" s="28">
        <f t="shared" ref="J3746" si="3367">D3746*J$120</f>
        <v>0</v>
      </c>
      <c r="K3746" s="29"/>
      <c r="L3746" s="29"/>
      <c r="M3746" s="29"/>
      <c r="N3746" s="29"/>
      <c r="O3746" s="29"/>
      <c r="P3746" s="30">
        <f>SUM(J3746:O3746)</f>
        <v>0</v>
      </c>
      <c r="Q3746" s="31">
        <f t="shared" ref="Q3746:Q3751" si="3368">IF(C$120&gt;0,P3746/C$120,0)</f>
        <v>0</v>
      </c>
    </row>
    <row r="3747" spans="1:17" x14ac:dyDescent="0.2">
      <c r="A3747" s="10"/>
      <c r="B3747" s="26"/>
      <c r="C3747" s="11">
        <v>2000</v>
      </c>
      <c r="D3747" s="32">
        <f>SPFI_CLB14!$D$23</f>
        <v>8.4414000000000003E-2</v>
      </c>
      <c r="E3747" s="32"/>
      <c r="F3747" s="32"/>
      <c r="G3747" s="32"/>
      <c r="H3747" s="32"/>
      <c r="I3747" s="32"/>
      <c r="J3747" s="28">
        <f t="shared" ref="J3747" si="3369">D3747*J$120</f>
        <v>0</v>
      </c>
      <c r="K3747" s="29"/>
      <c r="L3747" s="29"/>
      <c r="M3747" s="29"/>
      <c r="N3747" s="29"/>
      <c r="O3747" s="29"/>
      <c r="P3747" s="30">
        <f t="shared" ref="P3747:P3752" si="3370">SUM(J3747:O3747)</f>
        <v>0</v>
      </c>
      <c r="Q3747" s="31">
        <f t="shared" si="3368"/>
        <v>0</v>
      </c>
    </row>
    <row r="3748" spans="1:17" x14ac:dyDescent="0.2">
      <c r="A3748" s="10"/>
      <c r="B3748" s="26"/>
      <c r="C3748" s="11">
        <v>2001</v>
      </c>
      <c r="D3748" s="32">
        <f>SPFI_CLB14!$D$24</f>
        <v>7.8909000000000007E-2</v>
      </c>
      <c r="E3748" s="32"/>
      <c r="F3748" s="32"/>
      <c r="G3748" s="32"/>
      <c r="H3748" s="32"/>
      <c r="I3748" s="32"/>
      <c r="J3748" s="28">
        <f t="shared" ref="J3748" si="3371">D3748*J$120</f>
        <v>0</v>
      </c>
      <c r="K3748" s="29"/>
      <c r="L3748" s="29"/>
      <c r="M3748" s="29"/>
      <c r="N3748" s="29"/>
      <c r="O3748" s="29"/>
      <c r="P3748" s="30">
        <f t="shared" si="3370"/>
        <v>0</v>
      </c>
      <c r="Q3748" s="31">
        <f t="shared" si="3368"/>
        <v>0</v>
      </c>
    </row>
    <row r="3749" spans="1:17" x14ac:dyDescent="0.2">
      <c r="A3749" s="10"/>
      <c r="B3749" s="26"/>
      <c r="C3749" s="11">
        <v>2002</v>
      </c>
      <c r="D3749" s="32">
        <f>SPFI_CLB14!$D$25</f>
        <v>0.29974699999999999</v>
      </c>
      <c r="E3749" s="32"/>
      <c r="F3749" s="32"/>
      <c r="G3749" s="32"/>
      <c r="H3749" s="32"/>
      <c r="I3749" s="32"/>
      <c r="J3749" s="28">
        <f t="shared" ref="J3749" si="3372">D3749*J$120</f>
        <v>0</v>
      </c>
      <c r="K3749" s="29"/>
      <c r="L3749" s="29"/>
      <c r="M3749" s="29"/>
      <c r="N3749" s="29"/>
      <c r="O3749" s="29"/>
      <c r="P3749" s="30">
        <f t="shared" si="3370"/>
        <v>0</v>
      </c>
      <c r="Q3749" s="31">
        <f t="shared" si="3368"/>
        <v>0</v>
      </c>
    </row>
    <row r="3750" spans="1:17" x14ac:dyDescent="0.2">
      <c r="A3750" s="10"/>
      <c r="B3750" s="26"/>
      <c r="C3750" s="11">
        <v>2003</v>
      </c>
      <c r="D3750" s="32">
        <f>SPFI_CLB14!$D$26</f>
        <v>0.20691100000000001</v>
      </c>
      <c r="E3750" s="32"/>
      <c r="F3750" s="32"/>
      <c r="G3750" s="32"/>
      <c r="H3750" s="32"/>
      <c r="I3750" s="32"/>
      <c r="J3750" s="28">
        <f t="shared" ref="J3750" si="3373">D3750*J$120</f>
        <v>0</v>
      </c>
      <c r="K3750" s="29"/>
      <c r="L3750" s="29"/>
      <c r="M3750" s="29"/>
      <c r="N3750" s="29"/>
      <c r="O3750" s="29"/>
      <c r="P3750" s="30">
        <f t="shared" si="3370"/>
        <v>0</v>
      </c>
      <c r="Q3750" s="31">
        <f t="shared" si="3368"/>
        <v>0</v>
      </c>
    </row>
    <row r="3751" spans="1:17" x14ac:dyDescent="0.2">
      <c r="A3751" s="10"/>
      <c r="B3751" s="26"/>
      <c r="C3751" s="11">
        <v>2004</v>
      </c>
      <c r="D3751" s="32">
        <f>SPFI_CLB14!$D$27</f>
        <v>0.269237</v>
      </c>
      <c r="E3751" s="32"/>
      <c r="F3751" s="32"/>
      <c r="G3751" s="32"/>
      <c r="H3751" s="32"/>
      <c r="I3751" s="32"/>
      <c r="J3751" s="28">
        <f t="shared" ref="J3751" si="3374">D3751*J$120</f>
        <v>0</v>
      </c>
      <c r="K3751" s="29"/>
      <c r="L3751" s="29"/>
      <c r="M3751" s="29"/>
      <c r="N3751" s="29"/>
      <c r="O3751" s="29"/>
      <c r="P3751" s="30">
        <f t="shared" si="3370"/>
        <v>0</v>
      </c>
      <c r="Q3751" s="31">
        <f t="shared" si="3368"/>
        <v>0</v>
      </c>
    </row>
    <row r="3752" spans="1:17" x14ac:dyDescent="0.2">
      <c r="A3752" s="10"/>
      <c r="B3752" s="26"/>
      <c r="C3752" s="11">
        <v>2005</v>
      </c>
      <c r="D3752" s="32">
        <f>SPFI_CLB14!$D$28</f>
        <v>0.37848700000000002</v>
      </c>
      <c r="E3752" s="32"/>
      <c r="F3752" s="32"/>
      <c r="G3752" s="32"/>
      <c r="H3752" s="32"/>
      <c r="I3752" s="32"/>
      <c r="J3752" s="28">
        <f t="shared" ref="J3752" si="3375">D3752*J$120</f>
        <v>0</v>
      </c>
      <c r="K3752" s="29"/>
      <c r="L3752" s="29"/>
      <c r="M3752" s="29"/>
      <c r="N3752" s="29"/>
      <c r="O3752" s="29"/>
      <c r="P3752" s="30">
        <f t="shared" si="3370"/>
        <v>0</v>
      </c>
      <c r="Q3752" s="31">
        <f t="shared" ref="Q3752:Q3757" si="3376">IF(C$120&gt;0,P3752/C$120,0)</f>
        <v>0</v>
      </c>
    </row>
    <row r="3753" spans="1:17" x14ac:dyDescent="0.2">
      <c r="A3753" s="10"/>
      <c r="B3753" s="26"/>
      <c r="C3753" s="11">
        <v>2006</v>
      </c>
      <c r="D3753" s="32">
        <f>SPFI_CLB14!$D$29</f>
        <v>0.381023</v>
      </c>
      <c r="E3753" s="32"/>
      <c r="F3753" s="32"/>
      <c r="G3753" s="32"/>
      <c r="H3753" s="32"/>
      <c r="I3753" s="32"/>
      <c r="J3753" s="28">
        <f t="shared" ref="J3753" si="3377">D3753*J$120</f>
        <v>0</v>
      </c>
      <c r="K3753" s="29"/>
      <c r="L3753" s="29"/>
      <c r="M3753" s="29"/>
      <c r="N3753" s="29"/>
      <c r="O3753" s="29"/>
      <c r="P3753" s="30">
        <f t="shared" ref="P3753:P3760" si="3378">SUM(J3753:O3753)</f>
        <v>0</v>
      </c>
      <c r="Q3753" s="31">
        <f t="shared" si="3376"/>
        <v>0</v>
      </c>
    </row>
    <row r="3754" spans="1:17" x14ac:dyDescent="0.2">
      <c r="A3754" s="10"/>
      <c r="B3754" s="26"/>
      <c r="C3754" s="11">
        <v>2007</v>
      </c>
      <c r="D3754" s="32">
        <f>SPFI_CLB14!$D$30</f>
        <v>0.356512</v>
      </c>
      <c r="E3754" s="32"/>
      <c r="F3754" s="32"/>
      <c r="G3754" s="32"/>
      <c r="H3754" s="32"/>
      <c r="I3754" s="32"/>
      <c r="J3754" s="28">
        <f t="shared" ref="J3754" si="3379">D3754*J$120</f>
        <v>0</v>
      </c>
      <c r="K3754" s="29"/>
      <c r="L3754" s="29"/>
      <c r="M3754" s="29"/>
      <c r="N3754" s="29"/>
      <c r="O3754" s="29"/>
      <c r="P3754" s="30">
        <f t="shared" si="3378"/>
        <v>0</v>
      </c>
      <c r="Q3754" s="31">
        <f t="shared" si="3376"/>
        <v>0</v>
      </c>
    </row>
    <row r="3755" spans="1:17" x14ac:dyDescent="0.2">
      <c r="A3755" s="10"/>
      <c r="B3755" s="26"/>
      <c r="C3755" s="11">
        <v>2008</v>
      </c>
      <c r="D3755" s="32">
        <f>SPFI_CLB14!$D$31</f>
        <v>0.25494499999999998</v>
      </c>
      <c r="E3755" s="32"/>
      <c r="F3755" s="32"/>
      <c r="G3755" s="32"/>
      <c r="H3755" s="32"/>
      <c r="I3755" s="32"/>
      <c r="J3755" s="28">
        <f t="shared" ref="J3755" si="3380">D3755*J$120</f>
        <v>0</v>
      </c>
      <c r="K3755" s="29"/>
      <c r="L3755" s="29"/>
      <c r="M3755" s="29"/>
      <c r="N3755" s="29"/>
      <c r="O3755" s="29"/>
      <c r="P3755" s="30">
        <f t="shared" si="3378"/>
        <v>0</v>
      </c>
      <c r="Q3755" s="31">
        <f t="shared" si="3376"/>
        <v>0</v>
      </c>
    </row>
    <row r="3756" spans="1:17" x14ac:dyDescent="0.2">
      <c r="A3756" s="10"/>
      <c r="B3756" s="26"/>
      <c r="C3756" s="11">
        <v>2009</v>
      </c>
      <c r="D3756" s="32">
        <f>SPFI_CLB14!$D$32</f>
        <v>0.52383000000000002</v>
      </c>
      <c r="E3756" s="32"/>
      <c r="F3756" s="32"/>
      <c r="G3756" s="32"/>
      <c r="H3756" s="32"/>
      <c r="I3756" s="32"/>
      <c r="J3756" s="28">
        <f t="shared" ref="J3756" si="3381">D3756*J$120</f>
        <v>0</v>
      </c>
      <c r="K3756" s="29"/>
      <c r="L3756" s="29"/>
      <c r="M3756" s="29"/>
      <c r="N3756" s="29"/>
      <c r="O3756" s="29"/>
      <c r="P3756" s="30">
        <f t="shared" si="3378"/>
        <v>0</v>
      </c>
      <c r="Q3756" s="31">
        <f t="shared" si="3376"/>
        <v>0</v>
      </c>
    </row>
    <row r="3757" spans="1:17" x14ac:dyDescent="0.2">
      <c r="A3757" s="10"/>
      <c r="B3757" s="26"/>
      <c r="C3757" s="11">
        <v>2010</v>
      </c>
      <c r="D3757" s="32">
        <f>SPFI_CLB14!$D$33</f>
        <v>0.31394</v>
      </c>
      <c r="E3757" s="32"/>
      <c r="F3757" s="32"/>
      <c r="G3757" s="32"/>
      <c r="H3757" s="32"/>
      <c r="I3757" s="32"/>
      <c r="J3757" s="28">
        <f t="shared" ref="J3757" si="3382">D3757*J$120</f>
        <v>0</v>
      </c>
      <c r="K3757" s="29"/>
      <c r="L3757" s="29"/>
      <c r="M3757" s="29"/>
      <c r="N3757" s="29"/>
      <c r="O3757" s="29"/>
      <c r="P3757" s="30">
        <f t="shared" si="3378"/>
        <v>0</v>
      </c>
      <c r="Q3757" s="31">
        <f t="shared" si="3376"/>
        <v>0</v>
      </c>
    </row>
    <row r="3758" spans="1:17" x14ac:dyDescent="0.2">
      <c r="A3758" s="10"/>
      <c r="B3758" s="26"/>
      <c r="C3758" s="11">
        <v>2011</v>
      </c>
      <c r="D3758" s="32">
        <f>SPFI_CLB14!$D$34</f>
        <v>0.294348</v>
      </c>
      <c r="E3758" s="32"/>
      <c r="F3758" s="32"/>
      <c r="G3758" s="32"/>
      <c r="H3758" s="32"/>
      <c r="I3758" s="32"/>
      <c r="J3758" s="28">
        <f t="shared" ref="J3758" si="3383">D3758*J$120</f>
        <v>0</v>
      </c>
      <c r="K3758" s="29"/>
      <c r="L3758" s="29"/>
      <c r="M3758" s="29"/>
      <c r="N3758" s="29"/>
      <c r="O3758" s="29"/>
      <c r="P3758" s="30">
        <f t="shared" ref="P3758" si="3384">SUM(J3758:O3758)</f>
        <v>0</v>
      </c>
      <c r="Q3758" s="31">
        <f t="shared" ref="Q3758" si="3385">IF(C$120&gt;0,P3758/C$120,0)</f>
        <v>0</v>
      </c>
    </row>
    <row r="3759" spans="1:17" x14ac:dyDescent="0.2">
      <c r="A3759" s="10"/>
      <c r="B3759" s="26"/>
      <c r="C3759" s="11">
        <v>2012</v>
      </c>
      <c r="D3759" s="32">
        <f>SPFI_CLB14!$D$35</f>
        <v>0.34784100000000001</v>
      </c>
      <c r="E3759" s="32"/>
      <c r="F3759" s="32"/>
      <c r="G3759" s="32"/>
      <c r="H3759" s="32"/>
      <c r="I3759" s="32"/>
      <c r="J3759" s="28">
        <f t="shared" ref="J3759" si="3386">D3759*J$120</f>
        <v>0</v>
      </c>
      <c r="K3759" s="29"/>
      <c r="L3759" s="29"/>
      <c r="M3759" s="29"/>
      <c r="N3759" s="29"/>
      <c r="O3759" s="29"/>
      <c r="P3759" s="30">
        <f t="shared" ref="P3759" si="3387">SUM(J3759:O3759)</f>
        <v>0</v>
      </c>
      <c r="Q3759" s="31">
        <f t="shared" ref="Q3759" si="3388">IF(C$120&gt;0,P3759/C$120,0)</f>
        <v>0</v>
      </c>
    </row>
    <row r="3760" spans="1:17" x14ac:dyDescent="0.2">
      <c r="A3760" s="5" t="s">
        <v>35</v>
      </c>
      <c r="B3760" s="21">
        <v>3</v>
      </c>
      <c r="C3760" s="6">
        <v>1982</v>
      </c>
      <c r="D3760" s="27">
        <f>SPFI_CLB14!$D$5</f>
        <v>0.98153299999999999</v>
      </c>
      <c r="E3760" s="27"/>
      <c r="F3760" s="27"/>
      <c r="G3760" s="27"/>
      <c r="H3760" s="27"/>
      <c r="I3760" s="27"/>
      <c r="J3760" s="33">
        <f t="shared" ref="J3760:J3772" si="3389">D3760*J$121</f>
        <v>0</v>
      </c>
      <c r="K3760" s="27"/>
      <c r="L3760" s="27"/>
      <c r="M3760" s="27"/>
      <c r="N3760" s="27"/>
      <c r="O3760" s="27"/>
      <c r="P3760" s="34">
        <f t="shared" si="3378"/>
        <v>0</v>
      </c>
      <c r="Q3760" s="35">
        <f t="shared" ref="Q3760:Q3776" si="3390">IF(C$121&gt;0,P3760/C$121,0)</f>
        <v>0</v>
      </c>
    </row>
    <row r="3761" spans="1:17" x14ac:dyDescent="0.2">
      <c r="A3761" s="10"/>
      <c r="B3761" s="26"/>
      <c r="C3761" s="11">
        <v>1983</v>
      </c>
      <c r="D3761" s="32">
        <f>SPFI_CLB14!$D$6</f>
        <v>0.93659899999999996</v>
      </c>
      <c r="E3761" s="32"/>
      <c r="F3761" s="32"/>
      <c r="G3761" s="32"/>
      <c r="H3761" s="32"/>
      <c r="I3761" s="32"/>
      <c r="J3761" s="28">
        <f t="shared" si="3389"/>
        <v>0</v>
      </c>
      <c r="K3761" s="29"/>
      <c r="L3761" s="29"/>
      <c r="M3761" s="29"/>
      <c r="N3761" s="29"/>
      <c r="O3761" s="29"/>
      <c r="P3761" s="30">
        <f t="shared" ref="P3761:P3772" si="3391">SUM(J3761:O3761)</f>
        <v>0</v>
      </c>
      <c r="Q3761" s="31">
        <f t="shared" si="3390"/>
        <v>0</v>
      </c>
    </row>
    <row r="3762" spans="1:17" x14ac:dyDescent="0.2">
      <c r="A3762" s="10"/>
      <c r="B3762" s="26"/>
      <c r="C3762" s="11">
        <v>1984</v>
      </c>
      <c r="D3762" s="32">
        <f>SPFI_CLB14!$D$7</f>
        <v>0.92793599999999998</v>
      </c>
      <c r="E3762" s="32"/>
      <c r="F3762" s="32"/>
      <c r="G3762" s="32"/>
      <c r="H3762" s="32"/>
      <c r="I3762" s="32"/>
      <c r="J3762" s="28">
        <f t="shared" si="3389"/>
        <v>0</v>
      </c>
      <c r="K3762" s="29"/>
      <c r="L3762" s="29"/>
      <c r="M3762" s="29"/>
      <c r="N3762" s="29"/>
      <c r="O3762" s="29"/>
      <c r="P3762" s="30">
        <f t="shared" si="3391"/>
        <v>0</v>
      </c>
      <c r="Q3762" s="31">
        <f t="shared" si="3390"/>
        <v>0</v>
      </c>
    </row>
    <row r="3763" spans="1:17" x14ac:dyDescent="0.2">
      <c r="A3763" s="10"/>
      <c r="B3763" s="26"/>
      <c r="C3763" s="11">
        <v>1985</v>
      </c>
      <c r="D3763" s="32">
        <f>SPFI_CLB14!$D$8</f>
        <v>0.90386500000000003</v>
      </c>
      <c r="E3763" s="32"/>
      <c r="F3763" s="32"/>
      <c r="G3763" s="32"/>
      <c r="H3763" s="32"/>
      <c r="I3763" s="32"/>
      <c r="J3763" s="28">
        <f t="shared" si="3389"/>
        <v>0</v>
      </c>
      <c r="K3763" s="29"/>
      <c r="L3763" s="29"/>
      <c r="M3763" s="29"/>
      <c r="N3763" s="29"/>
      <c r="O3763" s="29"/>
      <c r="P3763" s="30">
        <f t="shared" si="3391"/>
        <v>0</v>
      </c>
      <c r="Q3763" s="31">
        <f t="shared" si="3390"/>
        <v>0</v>
      </c>
    </row>
    <row r="3764" spans="1:17" x14ac:dyDescent="0.2">
      <c r="A3764" s="10"/>
      <c r="B3764" s="26"/>
      <c r="C3764" s="11">
        <v>1986</v>
      </c>
      <c r="D3764" s="32">
        <f>SPFI_CLB14!$D$9</f>
        <v>0.73087500000000005</v>
      </c>
      <c r="E3764" s="32"/>
      <c r="F3764" s="32"/>
      <c r="G3764" s="32"/>
      <c r="H3764" s="32"/>
      <c r="I3764" s="32"/>
      <c r="J3764" s="28">
        <f t="shared" si="3389"/>
        <v>0</v>
      </c>
      <c r="K3764" s="29"/>
      <c r="L3764" s="29"/>
      <c r="M3764" s="29"/>
      <c r="N3764" s="29"/>
      <c r="O3764" s="29"/>
      <c r="P3764" s="30">
        <f t="shared" si="3391"/>
        <v>0</v>
      </c>
      <c r="Q3764" s="31">
        <f t="shared" si="3390"/>
        <v>0</v>
      </c>
    </row>
    <row r="3765" spans="1:17" x14ac:dyDescent="0.2">
      <c r="A3765" s="10"/>
      <c r="B3765" s="26"/>
      <c r="C3765" s="11">
        <v>1987</v>
      </c>
      <c r="D3765" s="32">
        <f>SPFI_CLB14!$D$10</f>
        <v>0.71733499999999994</v>
      </c>
      <c r="E3765" s="32"/>
      <c r="F3765" s="32"/>
      <c r="G3765" s="32"/>
      <c r="H3765" s="32"/>
      <c r="I3765" s="32"/>
      <c r="J3765" s="28">
        <f t="shared" si="3389"/>
        <v>0</v>
      </c>
      <c r="K3765" s="29"/>
      <c r="L3765" s="29"/>
      <c r="M3765" s="29"/>
      <c r="N3765" s="29"/>
      <c r="O3765" s="29"/>
      <c r="P3765" s="30">
        <f t="shared" si="3391"/>
        <v>0</v>
      </c>
      <c r="Q3765" s="31">
        <f t="shared" si="3390"/>
        <v>0</v>
      </c>
    </row>
    <row r="3766" spans="1:17" x14ac:dyDescent="0.2">
      <c r="A3766" s="10"/>
      <c r="B3766" s="26"/>
      <c r="C3766" s="11">
        <v>1988</v>
      </c>
      <c r="D3766" s="32">
        <f>SPFI_CLB14!$D$11</f>
        <v>0.64558800000000005</v>
      </c>
      <c r="E3766" s="32"/>
      <c r="F3766" s="32"/>
      <c r="G3766" s="32"/>
      <c r="H3766" s="32"/>
      <c r="I3766" s="32"/>
      <c r="J3766" s="28">
        <f t="shared" si="3389"/>
        <v>0</v>
      </c>
      <c r="K3766" s="29"/>
      <c r="L3766" s="29"/>
      <c r="M3766" s="29"/>
      <c r="N3766" s="29"/>
      <c r="O3766" s="29"/>
      <c r="P3766" s="30">
        <f t="shared" si="3391"/>
        <v>0</v>
      </c>
      <c r="Q3766" s="31">
        <f t="shared" si="3390"/>
        <v>0</v>
      </c>
    </row>
    <row r="3767" spans="1:17" x14ac:dyDescent="0.2">
      <c r="A3767" s="10"/>
      <c r="B3767" s="26"/>
      <c r="C3767" s="11">
        <v>1989</v>
      </c>
      <c r="D3767" s="32">
        <f>SPFI_CLB14!$D$12</f>
        <v>0.65287700000000004</v>
      </c>
      <c r="E3767" s="32"/>
      <c r="F3767" s="32"/>
      <c r="G3767" s="32"/>
      <c r="H3767" s="32"/>
      <c r="I3767" s="32"/>
      <c r="J3767" s="28">
        <f t="shared" si="3389"/>
        <v>0</v>
      </c>
      <c r="K3767" s="29"/>
      <c r="L3767" s="29"/>
      <c r="M3767" s="29"/>
      <c r="N3767" s="29"/>
      <c r="O3767" s="29"/>
      <c r="P3767" s="30">
        <f t="shared" si="3391"/>
        <v>0</v>
      </c>
      <c r="Q3767" s="31">
        <f t="shared" si="3390"/>
        <v>0</v>
      </c>
    </row>
    <row r="3768" spans="1:17" x14ac:dyDescent="0.2">
      <c r="A3768" s="10"/>
      <c r="B3768" s="26"/>
      <c r="C3768" s="11">
        <v>1990</v>
      </c>
      <c r="D3768" s="32">
        <f>SPFI_CLB14!$D$13</f>
        <v>0.56965100000000002</v>
      </c>
      <c r="E3768" s="32"/>
      <c r="F3768" s="32"/>
      <c r="G3768" s="32"/>
      <c r="H3768" s="32"/>
      <c r="I3768" s="32"/>
      <c r="J3768" s="28">
        <f t="shared" si="3389"/>
        <v>0</v>
      </c>
      <c r="K3768" s="29"/>
      <c r="L3768" s="29"/>
      <c r="M3768" s="29"/>
      <c r="N3768" s="29"/>
      <c r="O3768" s="29"/>
      <c r="P3768" s="30">
        <f t="shared" si="3391"/>
        <v>0</v>
      </c>
      <c r="Q3768" s="31">
        <f t="shared" si="3390"/>
        <v>0</v>
      </c>
    </row>
    <row r="3769" spans="1:17" x14ac:dyDescent="0.2">
      <c r="A3769" s="10"/>
      <c r="B3769" s="26"/>
      <c r="C3769" s="11">
        <v>1991</v>
      </c>
      <c r="D3769" s="32">
        <f>SPFI_CLB14!$D$14</f>
        <v>0.62776900000000002</v>
      </c>
      <c r="E3769" s="32"/>
      <c r="F3769" s="32"/>
      <c r="G3769" s="32"/>
      <c r="H3769" s="32"/>
      <c r="I3769" s="32"/>
      <c r="J3769" s="28">
        <f t="shared" si="3389"/>
        <v>0</v>
      </c>
      <c r="K3769" s="29"/>
      <c r="L3769" s="29"/>
      <c r="M3769" s="29"/>
      <c r="N3769" s="29"/>
      <c r="O3769" s="29"/>
      <c r="P3769" s="30">
        <f t="shared" si="3391"/>
        <v>0</v>
      </c>
      <c r="Q3769" s="31">
        <f t="shared" si="3390"/>
        <v>0</v>
      </c>
    </row>
    <row r="3770" spans="1:17" x14ac:dyDescent="0.2">
      <c r="A3770" s="10"/>
      <c r="B3770" s="26"/>
      <c r="C3770" s="11">
        <v>1992</v>
      </c>
      <c r="D3770" s="32">
        <f>SPFI_CLB14!$D$15</f>
        <v>0.43504100000000001</v>
      </c>
      <c r="E3770" s="32"/>
      <c r="F3770" s="32"/>
      <c r="G3770" s="32"/>
      <c r="H3770" s="32"/>
      <c r="I3770" s="32"/>
      <c r="J3770" s="28">
        <f t="shared" si="3389"/>
        <v>0</v>
      </c>
      <c r="K3770" s="29"/>
      <c r="L3770" s="29"/>
      <c r="M3770" s="29"/>
      <c r="N3770" s="29"/>
      <c r="O3770" s="29"/>
      <c r="P3770" s="30">
        <f t="shared" si="3391"/>
        <v>0</v>
      </c>
      <c r="Q3770" s="31">
        <f t="shared" si="3390"/>
        <v>0</v>
      </c>
    </row>
    <row r="3771" spans="1:17" x14ac:dyDescent="0.2">
      <c r="A3771" s="10"/>
      <c r="B3771" s="26"/>
      <c r="C3771" s="11">
        <v>1993</v>
      </c>
      <c r="D3771" s="32">
        <f>SPFI_CLB14!$D$16</f>
        <v>0.499164</v>
      </c>
      <c r="E3771" s="32"/>
      <c r="F3771" s="32"/>
      <c r="G3771" s="32"/>
      <c r="H3771" s="32"/>
      <c r="I3771" s="32"/>
      <c r="J3771" s="28">
        <f t="shared" si="3389"/>
        <v>0</v>
      </c>
      <c r="K3771" s="29"/>
      <c r="L3771" s="29"/>
      <c r="M3771" s="29"/>
      <c r="N3771" s="29"/>
      <c r="O3771" s="29"/>
      <c r="P3771" s="30">
        <f t="shared" si="3391"/>
        <v>0</v>
      </c>
      <c r="Q3771" s="31">
        <f t="shared" si="3390"/>
        <v>0</v>
      </c>
    </row>
    <row r="3772" spans="1:17" x14ac:dyDescent="0.2">
      <c r="A3772" s="10"/>
      <c r="B3772" s="26"/>
      <c r="C3772" s="11">
        <v>1994</v>
      </c>
      <c r="D3772" s="32">
        <f>SPFI_CLB14!$D$17</f>
        <v>0.59591300000000003</v>
      </c>
      <c r="E3772" s="32"/>
      <c r="F3772" s="32"/>
      <c r="G3772" s="32"/>
      <c r="H3772" s="32"/>
      <c r="I3772" s="32"/>
      <c r="J3772" s="28">
        <f t="shared" si="3389"/>
        <v>0</v>
      </c>
      <c r="K3772" s="29"/>
      <c r="L3772" s="29"/>
      <c r="M3772" s="29"/>
      <c r="N3772" s="29"/>
      <c r="O3772" s="29"/>
      <c r="P3772" s="30">
        <f t="shared" si="3391"/>
        <v>0</v>
      </c>
      <c r="Q3772" s="31">
        <f t="shared" si="3390"/>
        <v>0</v>
      </c>
    </row>
    <row r="3773" spans="1:17" x14ac:dyDescent="0.2">
      <c r="A3773" s="10"/>
      <c r="B3773" s="26"/>
      <c r="C3773" s="11">
        <v>1995</v>
      </c>
      <c r="D3773" s="32">
        <f>SPFI_CLB14!$D$18</f>
        <v>0.25400800000000001</v>
      </c>
      <c r="E3773" s="32"/>
      <c r="F3773" s="32"/>
      <c r="G3773" s="32"/>
      <c r="H3773" s="32"/>
      <c r="I3773" s="32"/>
      <c r="J3773" s="28">
        <f t="shared" ref="J3773" si="3392">D3773*J$121</f>
        <v>0</v>
      </c>
      <c r="K3773" s="29"/>
      <c r="L3773" s="29"/>
      <c r="M3773" s="29"/>
      <c r="N3773" s="29"/>
      <c r="O3773" s="29"/>
      <c r="P3773" s="30">
        <f>SUM(J3773:O3773)</f>
        <v>0</v>
      </c>
      <c r="Q3773" s="31">
        <f t="shared" si="3390"/>
        <v>0</v>
      </c>
    </row>
    <row r="3774" spans="1:17" x14ac:dyDescent="0.2">
      <c r="A3774" s="10"/>
      <c r="B3774" s="26"/>
      <c r="C3774" s="11">
        <v>1996</v>
      </c>
      <c r="D3774" s="32">
        <f>SPFI_CLB14!$D$19</f>
        <v>0</v>
      </c>
      <c r="E3774" s="32"/>
      <c r="F3774" s="32"/>
      <c r="G3774" s="32"/>
      <c r="H3774" s="32"/>
      <c r="I3774" s="32"/>
      <c r="J3774" s="28">
        <f t="shared" ref="J3774" si="3393">D3774*J$121</f>
        <v>0</v>
      </c>
      <c r="K3774" s="29"/>
      <c r="L3774" s="29"/>
      <c r="M3774" s="29"/>
      <c r="N3774" s="29"/>
      <c r="O3774" s="29"/>
      <c r="P3774" s="30">
        <f>SUM(J3774:O3774)</f>
        <v>0</v>
      </c>
      <c r="Q3774" s="31">
        <f t="shared" si="3390"/>
        <v>0</v>
      </c>
    </row>
    <row r="3775" spans="1:17" x14ac:dyDescent="0.2">
      <c r="A3775" s="10"/>
      <c r="B3775" s="26"/>
      <c r="C3775" s="11">
        <v>1997</v>
      </c>
      <c r="D3775" s="32">
        <f>SPFI_CLB14!$D$20</f>
        <v>0.201487</v>
      </c>
      <c r="E3775" s="32"/>
      <c r="F3775" s="32"/>
      <c r="G3775" s="32"/>
      <c r="H3775" s="32"/>
      <c r="I3775" s="32"/>
      <c r="J3775" s="28">
        <f t="shared" ref="J3775" si="3394">D3775*J$121</f>
        <v>0</v>
      </c>
      <c r="K3775" s="29"/>
      <c r="L3775" s="29"/>
      <c r="M3775" s="29"/>
      <c r="N3775" s="29"/>
      <c r="O3775" s="29"/>
      <c r="P3775" s="30">
        <f>SUM(J3775:O3775)</f>
        <v>0</v>
      </c>
      <c r="Q3775" s="31">
        <f t="shared" si="3390"/>
        <v>0</v>
      </c>
    </row>
    <row r="3776" spans="1:17" x14ac:dyDescent="0.2">
      <c r="A3776" s="10"/>
      <c r="B3776" s="26"/>
      <c r="C3776" s="11">
        <v>1998</v>
      </c>
      <c r="D3776" s="32">
        <f>SPFI_CLB14!$D$21</f>
        <v>0.37506400000000001</v>
      </c>
      <c r="E3776" s="32"/>
      <c r="F3776" s="32"/>
      <c r="G3776" s="32"/>
      <c r="H3776" s="32"/>
      <c r="I3776" s="32"/>
      <c r="J3776" s="28">
        <f t="shared" ref="J3776" si="3395">D3776*J$121</f>
        <v>0</v>
      </c>
      <c r="K3776" s="29"/>
      <c r="L3776" s="29"/>
      <c r="M3776" s="29"/>
      <c r="N3776" s="29"/>
      <c r="O3776" s="29"/>
      <c r="P3776" s="30">
        <f>SUM(J3776:O3776)</f>
        <v>0</v>
      </c>
      <c r="Q3776" s="31">
        <f t="shared" si="3390"/>
        <v>0</v>
      </c>
    </row>
    <row r="3777" spans="1:17" x14ac:dyDescent="0.2">
      <c r="A3777" s="10"/>
      <c r="B3777" s="26"/>
      <c r="C3777" s="11">
        <v>1999</v>
      </c>
      <c r="D3777" s="32">
        <f>SPFI_CLB14!$D$22</f>
        <v>0.29823699999999997</v>
      </c>
      <c r="E3777" s="32"/>
      <c r="F3777" s="32"/>
      <c r="G3777" s="32"/>
      <c r="H3777" s="32"/>
      <c r="I3777" s="32"/>
      <c r="J3777" s="28">
        <f t="shared" ref="J3777" si="3396">D3777*J$121</f>
        <v>0</v>
      </c>
      <c r="K3777" s="29"/>
      <c r="L3777" s="29"/>
      <c r="M3777" s="29"/>
      <c r="N3777" s="29"/>
      <c r="O3777" s="29"/>
      <c r="P3777" s="30">
        <f>SUM(J3777:O3777)</f>
        <v>0</v>
      </c>
      <c r="Q3777" s="31">
        <f t="shared" ref="Q3777:Q3782" si="3397">IF(C$121&gt;0,P3777/C$121,0)</f>
        <v>0</v>
      </c>
    </row>
    <row r="3778" spans="1:17" x14ac:dyDescent="0.2">
      <c r="A3778" s="10"/>
      <c r="B3778" s="26"/>
      <c r="C3778" s="11">
        <v>2000</v>
      </c>
      <c r="D3778" s="32">
        <f>SPFI_CLB14!$D$23</f>
        <v>8.4414000000000003E-2</v>
      </c>
      <c r="E3778" s="32"/>
      <c r="F3778" s="32"/>
      <c r="G3778" s="32"/>
      <c r="H3778" s="32"/>
      <c r="I3778" s="32"/>
      <c r="J3778" s="28">
        <f t="shared" ref="J3778" si="3398">D3778*J$121</f>
        <v>0</v>
      </c>
      <c r="K3778" s="29"/>
      <c r="L3778" s="29"/>
      <c r="M3778" s="29"/>
      <c r="N3778" s="29"/>
      <c r="O3778" s="29"/>
      <c r="P3778" s="30">
        <f t="shared" ref="P3778:P3783" si="3399">SUM(J3778:O3778)</f>
        <v>0</v>
      </c>
      <c r="Q3778" s="31">
        <f t="shared" si="3397"/>
        <v>0</v>
      </c>
    </row>
    <row r="3779" spans="1:17" x14ac:dyDescent="0.2">
      <c r="A3779" s="10"/>
      <c r="B3779" s="26"/>
      <c r="C3779" s="11">
        <v>2001</v>
      </c>
      <c r="D3779" s="32">
        <f>SPFI_CLB14!$D$24</f>
        <v>7.8909000000000007E-2</v>
      </c>
      <c r="E3779" s="32"/>
      <c r="F3779" s="32"/>
      <c r="G3779" s="32"/>
      <c r="H3779" s="32"/>
      <c r="I3779" s="32"/>
      <c r="J3779" s="28">
        <f t="shared" ref="J3779" si="3400">D3779*J$121</f>
        <v>0</v>
      </c>
      <c r="K3779" s="29"/>
      <c r="L3779" s="29"/>
      <c r="M3779" s="29"/>
      <c r="N3779" s="29"/>
      <c r="O3779" s="29"/>
      <c r="P3779" s="30">
        <f t="shared" si="3399"/>
        <v>0</v>
      </c>
      <c r="Q3779" s="31">
        <f t="shared" si="3397"/>
        <v>0</v>
      </c>
    </row>
    <row r="3780" spans="1:17" x14ac:dyDescent="0.2">
      <c r="A3780" s="10"/>
      <c r="B3780" s="26"/>
      <c r="C3780" s="11">
        <v>2002</v>
      </c>
      <c r="D3780" s="32">
        <f>SPFI_CLB14!$D$25</f>
        <v>0.29974699999999999</v>
      </c>
      <c r="E3780" s="32"/>
      <c r="F3780" s="32"/>
      <c r="G3780" s="32"/>
      <c r="H3780" s="32"/>
      <c r="I3780" s="32"/>
      <c r="J3780" s="28">
        <f t="shared" ref="J3780" si="3401">D3780*J$121</f>
        <v>0</v>
      </c>
      <c r="K3780" s="29"/>
      <c r="L3780" s="29"/>
      <c r="M3780" s="29"/>
      <c r="N3780" s="29"/>
      <c r="O3780" s="29"/>
      <c r="P3780" s="30">
        <f t="shared" si="3399"/>
        <v>0</v>
      </c>
      <c r="Q3780" s="31">
        <f t="shared" si="3397"/>
        <v>0</v>
      </c>
    </row>
    <row r="3781" spans="1:17" x14ac:dyDescent="0.2">
      <c r="A3781" s="10"/>
      <c r="B3781" s="26"/>
      <c r="C3781" s="11">
        <v>2003</v>
      </c>
      <c r="D3781" s="32">
        <f>SPFI_CLB14!$D$26</f>
        <v>0.20691100000000001</v>
      </c>
      <c r="E3781" s="32"/>
      <c r="F3781" s="32"/>
      <c r="G3781" s="32"/>
      <c r="H3781" s="32"/>
      <c r="I3781" s="32"/>
      <c r="J3781" s="28">
        <f t="shared" ref="J3781" si="3402">D3781*J$121</f>
        <v>0</v>
      </c>
      <c r="K3781" s="29"/>
      <c r="L3781" s="29"/>
      <c r="M3781" s="29"/>
      <c r="N3781" s="29"/>
      <c r="O3781" s="29"/>
      <c r="P3781" s="30">
        <f t="shared" si="3399"/>
        <v>0</v>
      </c>
      <c r="Q3781" s="31">
        <f t="shared" si="3397"/>
        <v>0</v>
      </c>
    </row>
    <row r="3782" spans="1:17" x14ac:dyDescent="0.2">
      <c r="A3782" s="10"/>
      <c r="B3782" s="26"/>
      <c r="C3782" s="11">
        <v>2004</v>
      </c>
      <c r="D3782" s="32">
        <f>SPFI_CLB14!$D$27</f>
        <v>0.269237</v>
      </c>
      <c r="E3782" s="32"/>
      <c r="F3782" s="32"/>
      <c r="G3782" s="32"/>
      <c r="H3782" s="32"/>
      <c r="I3782" s="32"/>
      <c r="J3782" s="28">
        <f t="shared" ref="J3782" si="3403">D3782*J$121</f>
        <v>0</v>
      </c>
      <c r="K3782" s="29"/>
      <c r="L3782" s="29"/>
      <c r="M3782" s="29"/>
      <c r="N3782" s="29"/>
      <c r="O3782" s="29"/>
      <c r="P3782" s="30">
        <f t="shared" si="3399"/>
        <v>0</v>
      </c>
      <c r="Q3782" s="31">
        <f t="shared" si="3397"/>
        <v>0</v>
      </c>
    </row>
    <row r="3783" spans="1:17" x14ac:dyDescent="0.2">
      <c r="A3783" s="10"/>
      <c r="B3783" s="26"/>
      <c r="C3783" s="11">
        <v>2005</v>
      </c>
      <c r="D3783" s="32">
        <f>SPFI_CLB14!$D$28</f>
        <v>0.37848700000000002</v>
      </c>
      <c r="E3783" s="32"/>
      <c r="F3783" s="32"/>
      <c r="G3783" s="32"/>
      <c r="H3783" s="32"/>
      <c r="I3783" s="32"/>
      <c r="J3783" s="28">
        <f t="shared" ref="J3783" si="3404">D3783*J$121</f>
        <v>0</v>
      </c>
      <c r="K3783" s="29"/>
      <c r="L3783" s="29"/>
      <c r="M3783" s="29"/>
      <c r="N3783" s="29"/>
      <c r="O3783" s="29"/>
      <c r="P3783" s="30">
        <f t="shared" si="3399"/>
        <v>0</v>
      </c>
      <c r="Q3783" s="31">
        <f t="shared" ref="Q3783:Q3788" si="3405">IF(C$121&gt;0,P3783/C$121,0)</f>
        <v>0</v>
      </c>
    </row>
    <row r="3784" spans="1:17" x14ac:dyDescent="0.2">
      <c r="A3784" s="10"/>
      <c r="B3784" s="26"/>
      <c r="C3784" s="11">
        <v>2006</v>
      </c>
      <c r="D3784" s="32">
        <f>SPFI_CLB14!$D$29</f>
        <v>0.381023</v>
      </c>
      <c r="E3784" s="32"/>
      <c r="F3784" s="32"/>
      <c r="G3784" s="32"/>
      <c r="H3784" s="32"/>
      <c r="I3784" s="32"/>
      <c r="J3784" s="28">
        <f t="shared" ref="J3784" si="3406">D3784*J$121</f>
        <v>0</v>
      </c>
      <c r="K3784" s="29"/>
      <c r="L3784" s="29"/>
      <c r="M3784" s="29"/>
      <c r="N3784" s="29"/>
      <c r="O3784" s="29"/>
      <c r="P3784" s="30">
        <f t="shared" ref="P3784:P3791" si="3407">SUM(J3784:O3784)</f>
        <v>0</v>
      </c>
      <c r="Q3784" s="31">
        <f t="shared" si="3405"/>
        <v>0</v>
      </c>
    </row>
    <row r="3785" spans="1:17" x14ac:dyDescent="0.2">
      <c r="A3785" s="10"/>
      <c r="B3785" s="26"/>
      <c r="C3785" s="11">
        <v>2007</v>
      </c>
      <c r="D3785" s="32">
        <f>SPFI_CLB14!$D$30</f>
        <v>0.356512</v>
      </c>
      <c r="E3785" s="32"/>
      <c r="F3785" s="32"/>
      <c r="G3785" s="32"/>
      <c r="H3785" s="32"/>
      <c r="I3785" s="32"/>
      <c r="J3785" s="28">
        <f t="shared" ref="J3785" si="3408">D3785*J$121</f>
        <v>0</v>
      </c>
      <c r="K3785" s="29"/>
      <c r="L3785" s="29"/>
      <c r="M3785" s="29"/>
      <c r="N3785" s="29"/>
      <c r="O3785" s="29"/>
      <c r="P3785" s="30">
        <f t="shared" si="3407"/>
        <v>0</v>
      </c>
      <c r="Q3785" s="31">
        <f t="shared" si="3405"/>
        <v>0</v>
      </c>
    </row>
    <row r="3786" spans="1:17" x14ac:dyDescent="0.2">
      <c r="A3786" s="10"/>
      <c r="B3786" s="26"/>
      <c r="C3786" s="11">
        <v>2008</v>
      </c>
      <c r="D3786" s="32">
        <f>SPFI_CLB14!$D$31</f>
        <v>0.25494499999999998</v>
      </c>
      <c r="E3786" s="32"/>
      <c r="F3786" s="32"/>
      <c r="G3786" s="32"/>
      <c r="H3786" s="32"/>
      <c r="I3786" s="32"/>
      <c r="J3786" s="28">
        <f t="shared" ref="J3786" si="3409">D3786*J$121</f>
        <v>0</v>
      </c>
      <c r="K3786" s="29"/>
      <c r="L3786" s="29"/>
      <c r="M3786" s="29"/>
      <c r="N3786" s="29"/>
      <c r="O3786" s="29"/>
      <c r="P3786" s="30">
        <f t="shared" si="3407"/>
        <v>0</v>
      </c>
      <c r="Q3786" s="31">
        <f t="shared" si="3405"/>
        <v>0</v>
      </c>
    </row>
    <row r="3787" spans="1:17" x14ac:dyDescent="0.2">
      <c r="A3787" s="10"/>
      <c r="B3787" s="26"/>
      <c r="C3787" s="11">
        <v>2009</v>
      </c>
      <c r="D3787" s="32">
        <f>SPFI_CLB14!$D$32</f>
        <v>0.52383000000000002</v>
      </c>
      <c r="E3787" s="32"/>
      <c r="F3787" s="32"/>
      <c r="G3787" s="32"/>
      <c r="H3787" s="32"/>
      <c r="I3787" s="32"/>
      <c r="J3787" s="28">
        <f t="shared" ref="J3787" si="3410">D3787*J$121</f>
        <v>0</v>
      </c>
      <c r="K3787" s="29"/>
      <c r="L3787" s="29"/>
      <c r="M3787" s="29"/>
      <c r="N3787" s="29"/>
      <c r="O3787" s="29"/>
      <c r="P3787" s="30">
        <f t="shared" si="3407"/>
        <v>0</v>
      </c>
      <c r="Q3787" s="31">
        <f t="shared" si="3405"/>
        <v>0</v>
      </c>
    </row>
    <row r="3788" spans="1:17" x14ac:dyDescent="0.2">
      <c r="A3788" s="10"/>
      <c r="B3788" s="26"/>
      <c r="C3788" s="11">
        <v>2010</v>
      </c>
      <c r="D3788" s="32">
        <f>SPFI_CLB14!$D$33</f>
        <v>0.31394</v>
      </c>
      <c r="E3788" s="32"/>
      <c r="F3788" s="32"/>
      <c r="G3788" s="32"/>
      <c r="H3788" s="32"/>
      <c r="I3788" s="32"/>
      <c r="J3788" s="28">
        <f t="shared" ref="J3788" si="3411">D3788*J$121</f>
        <v>0</v>
      </c>
      <c r="K3788" s="29"/>
      <c r="L3788" s="29"/>
      <c r="M3788" s="29"/>
      <c r="N3788" s="29"/>
      <c r="O3788" s="29"/>
      <c r="P3788" s="30">
        <f t="shared" si="3407"/>
        <v>0</v>
      </c>
      <c r="Q3788" s="31">
        <f t="shared" si="3405"/>
        <v>0</v>
      </c>
    </row>
    <row r="3789" spans="1:17" x14ac:dyDescent="0.2">
      <c r="A3789" s="10"/>
      <c r="B3789" s="26"/>
      <c r="C3789" s="11">
        <v>2011</v>
      </c>
      <c r="D3789" s="32">
        <f>SPFI_CLB14!$D$34</f>
        <v>0.294348</v>
      </c>
      <c r="E3789" s="32"/>
      <c r="F3789" s="32"/>
      <c r="G3789" s="32"/>
      <c r="H3789" s="32"/>
      <c r="I3789" s="32"/>
      <c r="J3789" s="28">
        <f t="shared" ref="J3789" si="3412">D3789*J$121</f>
        <v>0</v>
      </c>
      <c r="K3789" s="29"/>
      <c r="L3789" s="29"/>
      <c r="M3789" s="29"/>
      <c r="N3789" s="29"/>
      <c r="O3789" s="29"/>
      <c r="P3789" s="30">
        <f t="shared" ref="P3789" si="3413">SUM(J3789:O3789)</f>
        <v>0</v>
      </c>
      <c r="Q3789" s="31">
        <f t="shared" ref="Q3789" si="3414">IF(C$121&gt;0,P3789/C$121,0)</f>
        <v>0</v>
      </c>
    </row>
    <row r="3790" spans="1:17" x14ac:dyDescent="0.2">
      <c r="A3790" s="10"/>
      <c r="B3790" s="26"/>
      <c r="C3790" s="11">
        <v>2012</v>
      </c>
      <c r="D3790" s="32">
        <f>SPFI_CLB14!$D$35</f>
        <v>0.34784100000000001</v>
      </c>
      <c r="E3790" s="32"/>
      <c r="F3790" s="32"/>
      <c r="G3790" s="32"/>
      <c r="H3790" s="32"/>
      <c r="I3790" s="32"/>
      <c r="J3790" s="28">
        <f t="shared" ref="J3790" si="3415">D3790*J$121</f>
        <v>0</v>
      </c>
      <c r="K3790" s="29"/>
      <c r="L3790" s="29"/>
      <c r="M3790" s="29"/>
      <c r="N3790" s="29"/>
      <c r="O3790" s="29"/>
      <c r="P3790" s="30">
        <f t="shared" ref="P3790" si="3416">SUM(J3790:O3790)</f>
        <v>0</v>
      </c>
      <c r="Q3790" s="31">
        <f t="shared" ref="Q3790" si="3417">IF(C$121&gt;0,P3790/C$121,0)</f>
        <v>0</v>
      </c>
    </row>
    <row r="3791" spans="1:17" x14ac:dyDescent="0.2">
      <c r="A3791" s="5" t="s">
        <v>35</v>
      </c>
      <c r="B3791" s="21">
        <v>4</v>
      </c>
      <c r="C3791" s="6">
        <v>1982</v>
      </c>
      <c r="D3791" s="27">
        <f>SPFI_CLB14!$D$5</f>
        <v>0.98153299999999999</v>
      </c>
      <c r="E3791" s="27"/>
      <c r="F3791" s="27"/>
      <c r="G3791" s="27"/>
      <c r="H3791" s="27"/>
      <c r="I3791" s="27"/>
      <c r="J3791" s="33">
        <f t="shared" ref="J3791:J3803" si="3418">D3791*J$122</f>
        <v>0</v>
      </c>
      <c r="K3791" s="27"/>
      <c r="L3791" s="27"/>
      <c r="M3791" s="27"/>
      <c r="N3791" s="27"/>
      <c r="O3791" s="27"/>
      <c r="P3791" s="34">
        <f t="shared" si="3407"/>
        <v>0</v>
      </c>
      <c r="Q3791" s="35">
        <f t="shared" ref="Q3791:Q3807" si="3419">IF(C$122&gt;0,P3791/C$122,0)</f>
        <v>0</v>
      </c>
    </row>
    <row r="3792" spans="1:17" x14ac:dyDescent="0.2">
      <c r="A3792" s="10"/>
      <c r="B3792" s="26"/>
      <c r="C3792" s="11">
        <v>1983</v>
      </c>
      <c r="D3792" s="32">
        <f>SPFI_CLB14!$D$6</f>
        <v>0.93659899999999996</v>
      </c>
      <c r="E3792" s="32"/>
      <c r="F3792" s="32"/>
      <c r="G3792" s="32"/>
      <c r="H3792" s="32"/>
      <c r="I3792" s="32"/>
      <c r="J3792" s="28">
        <f t="shared" si="3418"/>
        <v>0</v>
      </c>
      <c r="K3792" s="29"/>
      <c r="L3792" s="29"/>
      <c r="M3792" s="29"/>
      <c r="N3792" s="29"/>
      <c r="O3792" s="29"/>
      <c r="P3792" s="30">
        <f t="shared" ref="P3792:P3803" si="3420">SUM(J3792:O3792)</f>
        <v>0</v>
      </c>
      <c r="Q3792" s="31">
        <f t="shared" si="3419"/>
        <v>0</v>
      </c>
    </row>
    <row r="3793" spans="1:17" x14ac:dyDescent="0.2">
      <c r="A3793" s="10"/>
      <c r="B3793" s="26"/>
      <c r="C3793" s="11">
        <v>1984</v>
      </c>
      <c r="D3793" s="32">
        <f>SPFI_CLB14!$D$7</f>
        <v>0.92793599999999998</v>
      </c>
      <c r="E3793" s="32"/>
      <c r="F3793" s="32"/>
      <c r="G3793" s="32"/>
      <c r="H3793" s="32"/>
      <c r="I3793" s="32"/>
      <c r="J3793" s="28">
        <f t="shared" si="3418"/>
        <v>0</v>
      </c>
      <c r="K3793" s="29"/>
      <c r="L3793" s="29"/>
      <c r="M3793" s="29"/>
      <c r="N3793" s="29"/>
      <c r="O3793" s="29"/>
      <c r="P3793" s="30">
        <f t="shared" si="3420"/>
        <v>0</v>
      </c>
      <c r="Q3793" s="31">
        <f t="shared" si="3419"/>
        <v>0</v>
      </c>
    </row>
    <row r="3794" spans="1:17" x14ac:dyDescent="0.2">
      <c r="A3794" s="10"/>
      <c r="B3794" s="26"/>
      <c r="C3794" s="11">
        <v>1985</v>
      </c>
      <c r="D3794" s="32">
        <f>SPFI_CLB14!$D$8</f>
        <v>0.90386500000000003</v>
      </c>
      <c r="E3794" s="32"/>
      <c r="F3794" s="32"/>
      <c r="G3794" s="32"/>
      <c r="H3794" s="32"/>
      <c r="I3794" s="32"/>
      <c r="J3794" s="28">
        <f t="shared" si="3418"/>
        <v>0</v>
      </c>
      <c r="K3794" s="29"/>
      <c r="L3794" s="29"/>
      <c r="M3794" s="29"/>
      <c r="N3794" s="29"/>
      <c r="O3794" s="29"/>
      <c r="P3794" s="30">
        <f t="shared" si="3420"/>
        <v>0</v>
      </c>
      <c r="Q3794" s="31">
        <f t="shared" si="3419"/>
        <v>0</v>
      </c>
    </row>
    <row r="3795" spans="1:17" x14ac:dyDescent="0.2">
      <c r="A3795" s="10"/>
      <c r="B3795" s="26"/>
      <c r="C3795" s="11">
        <v>1986</v>
      </c>
      <c r="D3795" s="32">
        <f>SPFI_CLB14!$D$9</f>
        <v>0.73087500000000005</v>
      </c>
      <c r="E3795" s="32"/>
      <c r="F3795" s="32"/>
      <c r="G3795" s="32"/>
      <c r="H3795" s="32"/>
      <c r="I3795" s="32"/>
      <c r="J3795" s="28">
        <f t="shared" si="3418"/>
        <v>0</v>
      </c>
      <c r="K3795" s="29"/>
      <c r="L3795" s="29"/>
      <c r="M3795" s="29"/>
      <c r="N3795" s="29"/>
      <c r="O3795" s="29"/>
      <c r="P3795" s="30">
        <f t="shared" si="3420"/>
        <v>0</v>
      </c>
      <c r="Q3795" s="31">
        <f t="shared" si="3419"/>
        <v>0</v>
      </c>
    </row>
    <row r="3796" spans="1:17" x14ac:dyDescent="0.2">
      <c r="A3796" s="10"/>
      <c r="B3796" s="26"/>
      <c r="C3796" s="11">
        <v>1987</v>
      </c>
      <c r="D3796" s="32">
        <f>SPFI_CLB14!$D$10</f>
        <v>0.71733499999999994</v>
      </c>
      <c r="E3796" s="32"/>
      <c r="F3796" s="32"/>
      <c r="G3796" s="32"/>
      <c r="H3796" s="32"/>
      <c r="I3796" s="32"/>
      <c r="J3796" s="28">
        <f t="shared" si="3418"/>
        <v>0</v>
      </c>
      <c r="K3796" s="29"/>
      <c r="L3796" s="29"/>
      <c r="M3796" s="29"/>
      <c r="N3796" s="29"/>
      <c r="O3796" s="29"/>
      <c r="P3796" s="30">
        <f t="shared" si="3420"/>
        <v>0</v>
      </c>
      <c r="Q3796" s="31">
        <f t="shared" si="3419"/>
        <v>0</v>
      </c>
    </row>
    <row r="3797" spans="1:17" x14ac:dyDescent="0.2">
      <c r="A3797" s="10"/>
      <c r="B3797" s="26"/>
      <c r="C3797" s="11">
        <v>1988</v>
      </c>
      <c r="D3797" s="32">
        <f>SPFI_CLB14!$D$11</f>
        <v>0.64558800000000005</v>
      </c>
      <c r="E3797" s="32"/>
      <c r="F3797" s="32"/>
      <c r="G3797" s="32"/>
      <c r="H3797" s="32"/>
      <c r="I3797" s="32"/>
      <c r="J3797" s="28">
        <f t="shared" si="3418"/>
        <v>0</v>
      </c>
      <c r="K3797" s="29"/>
      <c r="L3797" s="29"/>
      <c r="M3797" s="29"/>
      <c r="N3797" s="29"/>
      <c r="O3797" s="29"/>
      <c r="P3797" s="30">
        <f t="shared" si="3420"/>
        <v>0</v>
      </c>
      <c r="Q3797" s="31">
        <f t="shared" si="3419"/>
        <v>0</v>
      </c>
    </row>
    <row r="3798" spans="1:17" x14ac:dyDescent="0.2">
      <c r="A3798" s="10"/>
      <c r="B3798" s="26"/>
      <c r="C3798" s="11">
        <v>1989</v>
      </c>
      <c r="D3798" s="32">
        <f>SPFI_CLB14!$D$12</f>
        <v>0.65287700000000004</v>
      </c>
      <c r="E3798" s="32"/>
      <c r="F3798" s="32"/>
      <c r="G3798" s="32"/>
      <c r="H3798" s="32"/>
      <c r="I3798" s="32"/>
      <c r="J3798" s="28">
        <f t="shared" si="3418"/>
        <v>0</v>
      </c>
      <c r="K3798" s="29"/>
      <c r="L3798" s="29"/>
      <c r="M3798" s="29"/>
      <c r="N3798" s="29"/>
      <c r="O3798" s="29"/>
      <c r="P3798" s="30">
        <f t="shared" si="3420"/>
        <v>0</v>
      </c>
      <c r="Q3798" s="31">
        <f t="shared" si="3419"/>
        <v>0</v>
      </c>
    </row>
    <row r="3799" spans="1:17" x14ac:dyDescent="0.2">
      <c r="A3799" s="10"/>
      <c r="B3799" s="26"/>
      <c r="C3799" s="11">
        <v>1990</v>
      </c>
      <c r="D3799" s="32">
        <f>SPFI_CLB14!$D$13</f>
        <v>0.56965100000000002</v>
      </c>
      <c r="E3799" s="32"/>
      <c r="F3799" s="32"/>
      <c r="G3799" s="32"/>
      <c r="H3799" s="32"/>
      <c r="I3799" s="32"/>
      <c r="J3799" s="28">
        <f t="shared" si="3418"/>
        <v>0</v>
      </c>
      <c r="K3799" s="29"/>
      <c r="L3799" s="29"/>
      <c r="M3799" s="29"/>
      <c r="N3799" s="29"/>
      <c r="O3799" s="29"/>
      <c r="P3799" s="30">
        <f t="shared" si="3420"/>
        <v>0</v>
      </c>
      <c r="Q3799" s="31">
        <f t="shared" si="3419"/>
        <v>0</v>
      </c>
    </row>
    <row r="3800" spans="1:17" x14ac:dyDescent="0.2">
      <c r="A3800" s="10"/>
      <c r="B3800" s="26"/>
      <c r="C3800" s="11">
        <v>1991</v>
      </c>
      <c r="D3800" s="32">
        <f>SPFI_CLB14!$D$14</f>
        <v>0.62776900000000002</v>
      </c>
      <c r="E3800" s="32"/>
      <c r="F3800" s="32"/>
      <c r="G3800" s="32"/>
      <c r="H3800" s="32"/>
      <c r="I3800" s="32"/>
      <c r="J3800" s="28">
        <f t="shared" si="3418"/>
        <v>0</v>
      </c>
      <c r="K3800" s="29"/>
      <c r="L3800" s="29"/>
      <c r="M3800" s="29"/>
      <c r="N3800" s="29"/>
      <c r="O3800" s="29"/>
      <c r="P3800" s="30">
        <f t="shared" si="3420"/>
        <v>0</v>
      </c>
      <c r="Q3800" s="31">
        <f t="shared" si="3419"/>
        <v>0</v>
      </c>
    </row>
    <row r="3801" spans="1:17" x14ac:dyDescent="0.2">
      <c r="A3801" s="10"/>
      <c r="B3801" s="26"/>
      <c r="C3801" s="11">
        <v>1992</v>
      </c>
      <c r="D3801" s="32">
        <f>SPFI_CLB14!$D$15</f>
        <v>0.43504100000000001</v>
      </c>
      <c r="E3801" s="32"/>
      <c r="F3801" s="32"/>
      <c r="G3801" s="32"/>
      <c r="H3801" s="32"/>
      <c r="I3801" s="32"/>
      <c r="J3801" s="28">
        <f t="shared" si="3418"/>
        <v>0</v>
      </c>
      <c r="K3801" s="29"/>
      <c r="L3801" s="29"/>
      <c r="M3801" s="29"/>
      <c r="N3801" s="29"/>
      <c r="O3801" s="29"/>
      <c r="P3801" s="30">
        <f t="shared" si="3420"/>
        <v>0</v>
      </c>
      <c r="Q3801" s="31">
        <f t="shared" si="3419"/>
        <v>0</v>
      </c>
    </row>
    <row r="3802" spans="1:17" x14ac:dyDescent="0.2">
      <c r="A3802" s="10"/>
      <c r="B3802" s="26"/>
      <c r="C3802" s="11">
        <v>1993</v>
      </c>
      <c r="D3802" s="32">
        <f>SPFI_CLB14!$D$16</f>
        <v>0.499164</v>
      </c>
      <c r="E3802" s="32"/>
      <c r="F3802" s="32"/>
      <c r="G3802" s="32"/>
      <c r="H3802" s="32"/>
      <c r="I3802" s="32"/>
      <c r="J3802" s="28">
        <f t="shared" si="3418"/>
        <v>0</v>
      </c>
      <c r="K3802" s="29"/>
      <c r="L3802" s="29"/>
      <c r="M3802" s="29"/>
      <c r="N3802" s="29"/>
      <c r="O3802" s="29"/>
      <c r="P3802" s="30">
        <f t="shared" si="3420"/>
        <v>0</v>
      </c>
      <c r="Q3802" s="31">
        <f t="shared" si="3419"/>
        <v>0</v>
      </c>
    </row>
    <row r="3803" spans="1:17" x14ac:dyDescent="0.2">
      <c r="A3803" s="10"/>
      <c r="B3803" s="26"/>
      <c r="C3803" s="11">
        <v>1994</v>
      </c>
      <c r="D3803" s="32">
        <f>SPFI_CLB14!$D$17</f>
        <v>0.59591300000000003</v>
      </c>
      <c r="E3803" s="32"/>
      <c r="F3803" s="32"/>
      <c r="G3803" s="32"/>
      <c r="H3803" s="32"/>
      <c r="I3803" s="32"/>
      <c r="J3803" s="28">
        <f t="shared" si="3418"/>
        <v>0</v>
      </c>
      <c r="K3803" s="29"/>
      <c r="L3803" s="29"/>
      <c r="M3803" s="29"/>
      <c r="N3803" s="29"/>
      <c r="O3803" s="29"/>
      <c r="P3803" s="30">
        <f t="shared" si="3420"/>
        <v>0</v>
      </c>
      <c r="Q3803" s="31">
        <f t="shared" si="3419"/>
        <v>0</v>
      </c>
    </row>
    <row r="3804" spans="1:17" x14ac:dyDescent="0.2">
      <c r="A3804" s="10"/>
      <c r="B3804" s="26"/>
      <c r="C3804" s="11">
        <v>1995</v>
      </c>
      <c r="D3804" s="32">
        <f>SPFI_CLB14!$D$18</f>
        <v>0.25400800000000001</v>
      </c>
      <c r="E3804" s="32"/>
      <c r="F3804" s="32"/>
      <c r="G3804" s="32"/>
      <c r="H3804" s="32"/>
      <c r="I3804" s="32"/>
      <c r="J3804" s="28">
        <f t="shared" ref="J3804" si="3421">D3804*J$122</f>
        <v>0</v>
      </c>
      <c r="K3804" s="29"/>
      <c r="L3804" s="29"/>
      <c r="M3804" s="29"/>
      <c r="N3804" s="29"/>
      <c r="O3804" s="29"/>
      <c r="P3804" s="30">
        <f>SUM(J3804:O3804)</f>
        <v>0</v>
      </c>
      <c r="Q3804" s="31">
        <f t="shared" si="3419"/>
        <v>0</v>
      </c>
    </row>
    <row r="3805" spans="1:17" x14ac:dyDescent="0.2">
      <c r="A3805" s="10"/>
      <c r="B3805" s="26"/>
      <c r="C3805" s="11">
        <v>1996</v>
      </c>
      <c r="D3805" s="32">
        <f>SPFI_CLB14!$D$19</f>
        <v>0</v>
      </c>
      <c r="E3805" s="32"/>
      <c r="F3805" s="32"/>
      <c r="G3805" s="32"/>
      <c r="H3805" s="32"/>
      <c r="I3805" s="32"/>
      <c r="J3805" s="28">
        <f t="shared" ref="J3805" si="3422">D3805*J$122</f>
        <v>0</v>
      </c>
      <c r="K3805" s="29"/>
      <c r="L3805" s="29"/>
      <c r="M3805" s="29"/>
      <c r="N3805" s="29"/>
      <c r="O3805" s="29"/>
      <c r="P3805" s="30">
        <f>SUM(J3805:O3805)</f>
        <v>0</v>
      </c>
      <c r="Q3805" s="31">
        <f t="shared" si="3419"/>
        <v>0</v>
      </c>
    </row>
    <row r="3806" spans="1:17" x14ac:dyDescent="0.2">
      <c r="A3806" s="10"/>
      <c r="B3806" s="26"/>
      <c r="C3806" s="11">
        <v>1997</v>
      </c>
      <c r="D3806" s="32">
        <f>SPFI_CLB14!$D$20</f>
        <v>0.201487</v>
      </c>
      <c r="E3806" s="32"/>
      <c r="F3806" s="32"/>
      <c r="G3806" s="32"/>
      <c r="H3806" s="32"/>
      <c r="I3806" s="32"/>
      <c r="J3806" s="28">
        <f t="shared" ref="J3806" si="3423">D3806*J$122</f>
        <v>0</v>
      </c>
      <c r="K3806" s="29"/>
      <c r="L3806" s="29"/>
      <c r="M3806" s="29"/>
      <c r="N3806" s="29"/>
      <c r="O3806" s="29"/>
      <c r="P3806" s="30">
        <f>SUM(J3806:O3806)</f>
        <v>0</v>
      </c>
      <c r="Q3806" s="31">
        <f t="shared" si="3419"/>
        <v>0</v>
      </c>
    </row>
    <row r="3807" spans="1:17" x14ac:dyDescent="0.2">
      <c r="A3807" s="10"/>
      <c r="B3807" s="26"/>
      <c r="C3807" s="11">
        <v>1998</v>
      </c>
      <c r="D3807" s="32">
        <f>SPFI_CLB14!$D$21</f>
        <v>0.37506400000000001</v>
      </c>
      <c r="E3807" s="32"/>
      <c r="F3807" s="32"/>
      <c r="G3807" s="32"/>
      <c r="H3807" s="32"/>
      <c r="I3807" s="32"/>
      <c r="J3807" s="28">
        <f t="shared" ref="J3807" si="3424">D3807*J$122</f>
        <v>0</v>
      </c>
      <c r="K3807" s="29"/>
      <c r="L3807" s="29"/>
      <c r="M3807" s="29"/>
      <c r="N3807" s="29"/>
      <c r="O3807" s="29"/>
      <c r="P3807" s="30">
        <f>SUM(J3807:O3807)</f>
        <v>0</v>
      </c>
      <c r="Q3807" s="31">
        <f t="shared" si="3419"/>
        <v>0</v>
      </c>
    </row>
    <row r="3808" spans="1:17" x14ac:dyDescent="0.2">
      <c r="A3808" s="10"/>
      <c r="B3808" s="26"/>
      <c r="C3808" s="11">
        <v>1999</v>
      </c>
      <c r="D3808" s="32">
        <f>SPFI_CLB14!$D$22</f>
        <v>0.29823699999999997</v>
      </c>
      <c r="E3808" s="32"/>
      <c r="F3808" s="32"/>
      <c r="G3808" s="32"/>
      <c r="H3808" s="32"/>
      <c r="I3808" s="32"/>
      <c r="J3808" s="28">
        <f t="shared" ref="J3808" si="3425">D3808*J$122</f>
        <v>0</v>
      </c>
      <c r="K3808" s="29"/>
      <c r="L3808" s="29"/>
      <c r="M3808" s="29"/>
      <c r="N3808" s="29"/>
      <c r="O3808" s="29"/>
      <c r="P3808" s="30">
        <f>SUM(J3808:O3808)</f>
        <v>0</v>
      </c>
      <c r="Q3808" s="31">
        <f t="shared" ref="Q3808:Q3813" si="3426">IF(C$122&gt;0,P3808/C$122,0)</f>
        <v>0</v>
      </c>
    </row>
    <row r="3809" spans="1:17" x14ac:dyDescent="0.2">
      <c r="A3809" s="10"/>
      <c r="B3809" s="26"/>
      <c r="C3809" s="11">
        <v>2000</v>
      </c>
      <c r="D3809" s="32">
        <f>SPFI_CLB14!$D$23</f>
        <v>8.4414000000000003E-2</v>
      </c>
      <c r="E3809" s="32"/>
      <c r="F3809" s="32"/>
      <c r="G3809" s="32"/>
      <c r="H3809" s="32"/>
      <c r="I3809" s="32"/>
      <c r="J3809" s="28">
        <f t="shared" ref="J3809" si="3427">D3809*J$122</f>
        <v>0</v>
      </c>
      <c r="K3809" s="29"/>
      <c r="L3809" s="29"/>
      <c r="M3809" s="29"/>
      <c r="N3809" s="29"/>
      <c r="O3809" s="29"/>
      <c r="P3809" s="30">
        <f t="shared" ref="P3809:P3814" si="3428">SUM(J3809:O3809)</f>
        <v>0</v>
      </c>
      <c r="Q3809" s="31">
        <f t="shared" si="3426"/>
        <v>0</v>
      </c>
    </row>
    <row r="3810" spans="1:17" x14ac:dyDescent="0.2">
      <c r="A3810" s="10"/>
      <c r="B3810" s="26"/>
      <c r="C3810" s="11">
        <v>2001</v>
      </c>
      <c r="D3810" s="32">
        <f>SPFI_CLB14!$D$24</f>
        <v>7.8909000000000007E-2</v>
      </c>
      <c r="E3810" s="32"/>
      <c r="F3810" s="32"/>
      <c r="G3810" s="32"/>
      <c r="H3810" s="32"/>
      <c r="I3810" s="32"/>
      <c r="J3810" s="28">
        <f t="shared" ref="J3810" si="3429">D3810*J$122</f>
        <v>0</v>
      </c>
      <c r="K3810" s="29"/>
      <c r="L3810" s="29"/>
      <c r="M3810" s="29"/>
      <c r="N3810" s="29"/>
      <c r="O3810" s="29"/>
      <c r="P3810" s="30">
        <f t="shared" si="3428"/>
        <v>0</v>
      </c>
      <c r="Q3810" s="31">
        <f t="shared" si="3426"/>
        <v>0</v>
      </c>
    </row>
    <row r="3811" spans="1:17" x14ac:dyDescent="0.2">
      <c r="A3811" s="10"/>
      <c r="B3811" s="26"/>
      <c r="C3811" s="11">
        <v>2002</v>
      </c>
      <c r="D3811" s="32">
        <f>SPFI_CLB14!$D$25</f>
        <v>0.29974699999999999</v>
      </c>
      <c r="E3811" s="32"/>
      <c r="F3811" s="32"/>
      <c r="G3811" s="32"/>
      <c r="H3811" s="32"/>
      <c r="I3811" s="32"/>
      <c r="J3811" s="28">
        <f t="shared" ref="J3811" si="3430">D3811*J$122</f>
        <v>0</v>
      </c>
      <c r="K3811" s="29"/>
      <c r="L3811" s="29"/>
      <c r="M3811" s="29"/>
      <c r="N3811" s="29"/>
      <c r="O3811" s="29"/>
      <c r="P3811" s="30">
        <f t="shared" si="3428"/>
        <v>0</v>
      </c>
      <c r="Q3811" s="31">
        <f t="shared" si="3426"/>
        <v>0</v>
      </c>
    </row>
    <row r="3812" spans="1:17" x14ac:dyDescent="0.2">
      <c r="A3812" s="10"/>
      <c r="B3812" s="26"/>
      <c r="C3812" s="11">
        <v>2003</v>
      </c>
      <c r="D3812" s="32">
        <f>SPFI_CLB14!$D$26</f>
        <v>0.20691100000000001</v>
      </c>
      <c r="E3812" s="32"/>
      <c r="F3812" s="32"/>
      <c r="G3812" s="32"/>
      <c r="H3812" s="32"/>
      <c r="I3812" s="32"/>
      <c r="J3812" s="28">
        <f t="shared" ref="J3812" si="3431">D3812*J$122</f>
        <v>0</v>
      </c>
      <c r="K3812" s="29"/>
      <c r="L3812" s="29"/>
      <c r="M3812" s="29"/>
      <c r="N3812" s="29"/>
      <c r="O3812" s="29"/>
      <c r="P3812" s="30">
        <f t="shared" si="3428"/>
        <v>0</v>
      </c>
      <c r="Q3812" s="31">
        <f t="shared" si="3426"/>
        <v>0</v>
      </c>
    </row>
    <row r="3813" spans="1:17" x14ac:dyDescent="0.2">
      <c r="A3813" s="10"/>
      <c r="B3813" s="26"/>
      <c r="C3813" s="11">
        <v>2004</v>
      </c>
      <c r="D3813" s="32">
        <f>SPFI_CLB14!$D$27</f>
        <v>0.269237</v>
      </c>
      <c r="E3813" s="32"/>
      <c r="F3813" s="32"/>
      <c r="G3813" s="32"/>
      <c r="H3813" s="32"/>
      <c r="I3813" s="32"/>
      <c r="J3813" s="28">
        <f t="shared" ref="J3813" si="3432">D3813*J$122</f>
        <v>0</v>
      </c>
      <c r="K3813" s="29"/>
      <c r="L3813" s="29"/>
      <c r="M3813" s="29"/>
      <c r="N3813" s="29"/>
      <c r="O3813" s="29"/>
      <c r="P3813" s="30">
        <f t="shared" si="3428"/>
        <v>0</v>
      </c>
      <c r="Q3813" s="31">
        <f t="shared" si="3426"/>
        <v>0</v>
      </c>
    </row>
    <row r="3814" spans="1:17" x14ac:dyDescent="0.2">
      <c r="A3814" s="10"/>
      <c r="B3814" s="26"/>
      <c r="C3814" s="11">
        <v>2005</v>
      </c>
      <c r="D3814" s="32">
        <f>SPFI_CLB14!$D$28</f>
        <v>0.37848700000000002</v>
      </c>
      <c r="E3814" s="32"/>
      <c r="F3814" s="32"/>
      <c r="G3814" s="32"/>
      <c r="H3814" s="32"/>
      <c r="I3814" s="32"/>
      <c r="J3814" s="28">
        <f t="shared" ref="J3814" si="3433">D3814*J$122</f>
        <v>0</v>
      </c>
      <c r="K3814" s="29"/>
      <c r="L3814" s="29"/>
      <c r="M3814" s="29"/>
      <c r="N3814" s="29"/>
      <c r="O3814" s="29"/>
      <c r="P3814" s="30">
        <f t="shared" si="3428"/>
        <v>0</v>
      </c>
      <c r="Q3814" s="31">
        <f t="shared" ref="Q3814:Q3819" si="3434">IF(C$122&gt;0,P3814/C$122,0)</f>
        <v>0</v>
      </c>
    </row>
    <row r="3815" spans="1:17" x14ac:dyDescent="0.2">
      <c r="A3815" s="10"/>
      <c r="B3815" s="26"/>
      <c r="C3815" s="11">
        <v>2006</v>
      </c>
      <c r="D3815" s="32">
        <f>SPFI_CLB14!$D$29</f>
        <v>0.381023</v>
      </c>
      <c r="E3815" s="32"/>
      <c r="F3815" s="32"/>
      <c r="G3815" s="32"/>
      <c r="H3815" s="32"/>
      <c r="I3815" s="32"/>
      <c r="J3815" s="28">
        <f t="shared" ref="J3815" si="3435">D3815*J$122</f>
        <v>0</v>
      </c>
      <c r="K3815" s="29"/>
      <c r="L3815" s="29"/>
      <c r="M3815" s="29"/>
      <c r="N3815" s="29"/>
      <c r="O3815" s="29"/>
      <c r="P3815" s="30">
        <f t="shared" ref="P3815:P3822" si="3436">SUM(J3815:O3815)</f>
        <v>0</v>
      </c>
      <c r="Q3815" s="31">
        <f t="shared" si="3434"/>
        <v>0</v>
      </c>
    </row>
    <row r="3816" spans="1:17" x14ac:dyDescent="0.2">
      <c r="A3816" s="10"/>
      <c r="B3816" s="26"/>
      <c r="C3816" s="11">
        <v>2007</v>
      </c>
      <c r="D3816" s="32">
        <f>SPFI_CLB14!$D$30</f>
        <v>0.356512</v>
      </c>
      <c r="E3816" s="32"/>
      <c r="F3816" s="32"/>
      <c r="G3816" s="32"/>
      <c r="H3816" s="32"/>
      <c r="I3816" s="32"/>
      <c r="J3816" s="28">
        <f t="shared" ref="J3816" si="3437">D3816*J$122</f>
        <v>0</v>
      </c>
      <c r="K3816" s="29"/>
      <c r="L3816" s="29"/>
      <c r="M3816" s="29"/>
      <c r="N3816" s="29"/>
      <c r="O3816" s="29"/>
      <c r="P3816" s="30">
        <f t="shared" si="3436"/>
        <v>0</v>
      </c>
      <c r="Q3816" s="31">
        <f t="shared" si="3434"/>
        <v>0</v>
      </c>
    </row>
    <row r="3817" spans="1:17" x14ac:dyDescent="0.2">
      <c r="A3817" s="10"/>
      <c r="B3817" s="26"/>
      <c r="C3817" s="11">
        <v>2008</v>
      </c>
      <c r="D3817" s="32">
        <f>SPFI_CLB14!$D$31</f>
        <v>0.25494499999999998</v>
      </c>
      <c r="E3817" s="32"/>
      <c r="F3817" s="32"/>
      <c r="G3817" s="32"/>
      <c r="H3817" s="32"/>
      <c r="I3817" s="32"/>
      <c r="J3817" s="28">
        <f t="shared" ref="J3817" si="3438">D3817*J$122</f>
        <v>0</v>
      </c>
      <c r="K3817" s="29"/>
      <c r="L3817" s="29"/>
      <c r="M3817" s="29"/>
      <c r="N3817" s="29"/>
      <c r="O3817" s="29"/>
      <c r="P3817" s="30">
        <f t="shared" si="3436"/>
        <v>0</v>
      </c>
      <c r="Q3817" s="31">
        <f t="shared" si="3434"/>
        <v>0</v>
      </c>
    </row>
    <row r="3818" spans="1:17" x14ac:dyDescent="0.2">
      <c r="A3818" s="10"/>
      <c r="B3818" s="26"/>
      <c r="C3818" s="11">
        <v>2009</v>
      </c>
      <c r="D3818" s="32">
        <f>SPFI_CLB14!$D$32</f>
        <v>0.52383000000000002</v>
      </c>
      <c r="E3818" s="32"/>
      <c r="F3818" s="32"/>
      <c r="G3818" s="32"/>
      <c r="H3818" s="32"/>
      <c r="I3818" s="32"/>
      <c r="J3818" s="28">
        <f t="shared" ref="J3818" si="3439">D3818*J$122</f>
        <v>0</v>
      </c>
      <c r="K3818" s="29"/>
      <c r="L3818" s="29"/>
      <c r="M3818" s="29"/>
      <c r="N3818" s="29"/>
      <c r="O3818" s="29"/>
      <c r="P3818" s="30">
        <f t="shared" si="3436"/>
        <v>0</v>
      </c>
      <c r="Q3818" s="31">
        <f t="shared" si="3434"/>
        <v>0</v>
      </c>
    </row>
    <row r="3819" spans="1:17" x14ac:dyDescent="0.2">
      <c r="A3819" s="10"/>
      <c r="B3819" s="26"/>
      <c r="C3819" s="11">
        <v>2010</v>
      </c>
      <c r="D3819" s="32">
        <f>SPFI_CLB14!$D$33</f>
        <v>0.31394</v>
      </c>
      <c r="E3819" s="32"/>
      <c r="F3819" s="32"/>
      <c r="G3819" s="32"/>
      <c r="H3819" s="32"/>
      <c r="I3819" s="32"/>
      <c r="J3819" s="28">
        <f t="shared" ref="J3819" si="3440">D3819*J$122</f>
        <v>0</v>
      </c>
      <c r="K3819" s="29"/>
      <c r="L3819" s="29"/>
      <c r="M3819" s="29"/>
      <c r="N3819" s="29"/>
      <c r="O3819" s="29"/>
      <c r="P3819" s="30">
        <f t="shared" si="3436"/>
        <v>0</v>
      </c>
      <c r="Q3819" s="31">
        <f t="shared" si="3434"/>
        <v>0</v>
      </c>
    </row>
    <row r="3820" spans="1:17" x14ac:dyDescent="0.2">
      <c r="A3820" s="10"/>
      <c r="B3820" s="26"/>
      <c r="C3820" s="11">
        <v>2011</v>
      </c>
      <c r="D3820" s="32">
        <f>SPFI_CLB14!$D$34</f>
        <v>0.294348</v>
      </c>
      <c r="E3820" s="32"/>
      <c r="F3820" s="32"/>
      <c r="G3820" s="32"/>
      <c r="H3820" s="32"/>
      <c r="I3820" s="32"/>
      <c r="J3820" s="28">
        <f t="shared" ref="J3820" si="3441">D3820*J$122</f>
        <v>0</v>
      </c>
      <c r="K3820" s="29"/>
      <c r="L3820" s="29"/>
      <c r="M3820" s="29"/>
      <c r="N3820" s="29"/>
      <c r="O3820" s="29"/>
      <c r="P3820" s="30">
        <f t="shared" ref="P3820" si="3442">SUM(J3820:O3820)</f>
        <v>0</v>
      </c>
      <c r="Q3820" s="31">
        <f t="shared" ref="Q3820" si="3443">IF(C$122&gt;0,P3820/C$122,0)</f>
        <v>0</v>
      </c>
    </row>
    <row r="3821" spans="1:17" x14ac:dyDescent="0.2">
      <c r="A3821" s="10"/>
      <c r="B3821" s="26"/>
      <c r="C3821" s="11">
        <v>2012</v>
      </c>
      <c r="D3821" s="32">
        <f>SPFI_CLB14!$D$35</f>
        <v>0.34784100000000001</v>
      </c>
      <c r="E3821" s="32"/>
      <c r="F3821" s="32"/>
      <c r="G3821" s="32"/>
      <c r="H3821" s="32"/>
      <c r="I3821" s="32"/>
      <c r="J3821" s="28">
        <f t="shared" ref="J3821" si="3444">D3821*J$122</f>
        <v>0</v>
      </c>
      <c r="K3821" s="29"/>
      <c r="L3821" s="29"/>
      <c r="M3821" s="29"/>
      <c r="N3821" s="29"/>
      <c r="O3821" s="29"/>
      <c r="P3821" s="30">
        <f t="shared" ref="P3821" si="3445">SUM(J3821:O3821)</f>
        <v>0</v>
      </c>
      <c r="Q3821" s="31">
        <f t="shared" ref="Q3821" si="3446">IF(C$122&gt;0,P3821/C$122,0)</f>
        <v>0</v>
      </c>
    </row>
    <row r="3822" spans="1:17" x14ac:dyDescent="0.2">
      <c r="A3822" s="5" t="s">
        <v>35</v>
      </c>
      <c r="B3822" s="21">
        <v>5</v>
      </c>
      <c r="C3822" s="6">
        <v>1982</v>
      </c>
      <c r="D3822" s="27">
        <f>SPFI_CLB14!$D$5</f>
        <v>0.98153299999999999</v>
      </c>
      <c r="E3822" s="27"/>
      <c r="F3822" s="27"/>
      <c r="G3822" s="27"/>
      <c r="H3822" s="27"/>
      <c r="I3822" s="27"/>
      <c r="J3822" s="33">
        <f t="shared" ref="J3822:J3834" si="3447">D3822*J$123</f>
        <v>0</v>
      </c>
      <c r="K3822" s="27"/>
      <c r="L3822" s="27"/>
      <c r="M3822" s="27"/>
      <c r="N3822" s="27"/>
      <c r="O3822" s="27"/>
      <c r="P3822" s="34">
        <f t="shared" si="3436"/>
        <v>0</v>
      </c>
      <c r="Q3822" s="35">
        <f t="shared" ref="Q3822:Q3838" si="3448">IF(C$123&gt;0,P3822/C$123,0)</f>
        <v>0</v>
      </c>
    </row>
    <row r="3823" spans="1:17" x14ac:dyDescent="0.2">
      <c r="A3823" s="10"/>
      <c r="B3823" s="26"/>
      <c r="C3823" s="11">
        <v>1983</v>
      </c>
      <c r="D3823" s="32">
        <f>SPFI_CLB14!$D$6</f>
        <v>0.93659899999999996</v>
      </c>
      <c r="E3823" s="32"/>
      <c r="F3823" s="32"/>
      <c r="G3823" s="32"/>
      <c r="H3823" s="32"/>
      <c r="I3823" s="32"/>
      <c r="J3823" s="28">
        <f t="shared" si="3447"/>
        <v>0</v>
      </c>
      <c r="K3823" s="29"/>
      <c r="L3823" s="29"/>
      <c r="M3823" s="29"/>
      <c r="N3823" s="29"/>
      <c r="O3823" s="29"/>
      <c r="P3823" s="30">
        <f t="shared" ref="P3823:P3834" si="3449">SUM(J3823:O3823)</f>
        <v>0</v>
      </c>
      <c r="Q3823" s="31">
        <f t="shared" si="3448"/>
        <v>0</v>
      </c>
    </row>
    <row r="3824" spans="1:17" x14ac:dyDescent="0.2">
      <c r="A3824" s="10"/>
      <c r="B3824" s="26"/>
      <c r="C3824" s="11">
        <v>1984</v>
      </c>
      <c r="D3824" s="32">
        <f>SPFI_CLB14!$D$7</f>
        <v>0.92793599999999998</v>
      </c>
      <c r="E3824" s="32"/>
      <c r="F3824" s="32"/>
      <c r="G3824" s="32"/>
      <c r="H3824" s="32"/>
      <c r="I3824" s="32"/>
      <c r="J3824" s="28">
        <f t="shared" si="3447"/>
        <v>0</v>
      </c>
      <c r="K3824" s="29"/>
      <c r="L3824" s="29"/>
      <c r="M3824" s="29"/>
      <c r="N3824" s="29"/>
      <c r="O3824" s="29"/>
      <c r="P3824" s="30">
        <f t="shared" si="3449"/>
        <v>0</v>
      </c>
      <c r="Q3824" s="31">
        <f t="shared" si="3448"/>
        <v>0</v>
      </c>
    </row>
    <row r="3825" spans="1:17" x14ac:dyDescent="0.2">
      <c r="A3825" s="10"/>
      <c r="B3825" s="26"/>
      <c r="C3825" s="11">
        <v>1985</v>
      </c>
      <c r="D3825" s="32">
        <f>SPFI_CLB14!$D$8</f>
        <v>0.90386500000000003</v>
      </c>
      <c r="E3825" s="32"/>
      <c r="F3825" s="32"/>
      <c r="G3825" s="32"/>
      <c r="H3825" s="32"/>
      <c r="I3825" s="32"/>
      <c r="J3825" s="28">
        <f t="shared" si="3447"/>
        <v>0</v>
      </c>
      <c r="K3825" s="29"/>
      <c r="L3825" s="29"/>
      <c r="M3825" s="29"/>
      <c r="N3825" s="29"/>
      <c r="O3825" s="29"/>
      <c r="P3825" s="30">
        <f t="shared" si="3449"/>
        <v>0</v>
      </c>
      <c r="Q3825" s="31">
        <f t="shared" si="3448"/>
        <v>0</v>
      </c>
    </row>
    <row r="3826" spans="1:17" x14ac:dyDescent="0.2">
      <c r="A3826" s="10"/>
      <c r="B3826" s="26"/>
      <c r="C3826" s="11">
        <v>1986</v>
      </c>
      <c r="D3826" s="32">
        <f>SPFI_CLB14!$D$9</f>
        <v>0.73087500000000005</v>
      </c>
      <c r="E3826" s="32"/>
      <c r="F3826" s="32"/>
      <c r="G3826" s="32"/>
      <c r="H3826" s="32"/>
      <c r="I3826" s="32"/>
      <c r="J3826" s="28">
        <f t="shared" si="3447"/>
        <v>0</v>
      </c>
      <c r="K3826" s="29"/>
      <c r="L3826" s="29"/>
      <c r="M3826" s="29"/>
      <c r="N3826" s="29"/>
      <c r="O3826" s="29"/>
      <c r="P3826" s="30">
        <f t="shared" si="3449"/>
        <v>0</v>
      </c>
      <c r="Q3826" s="31">
        <f t="shared" si="3448"/>
        <v>0</v>
      </c>
    </row>
    <row r="3827" spans="1:17" x14ac:dyDescent="0.2">
      <c r="A3827" s="10"/>
      <c r="B3827" s="26"/>
      <c r="C3827" s="11">
        <v>1987</v>
      </c>
      <c r="D3827" s="32">
        <f>SPFI_CLB14!$D$10</f>
        <v>0.71733499999999994</v>
      </c>
      <c r="E3827" s="32"/>
      <c r="F3827" s="32"/>
      <c r="G3827" s="32"/>
      <c r="H3827" s="32"/>
      <c r="I3827" s="32"/>
      <c r="J3827" s="28">
        <f t="shared" si="3447"/>
        <v>0</v>
      </c>
      <c r="K3827" s="29"/>
      <c r="L3827" s="29"/>
      <c r="M3827" s="29"/>
      <c r="N3827" s="29"/>
      <c r="O3827" s="29"/>
      <c r="P3827" s="30">
        <f t="shared" si="3449"/>
        <v>0</v>
      </c>
      <c r="Q3827" s="31">
        <f t="shared" si="3448"/>
        <v>0</v>
      </c>
    </row>
    <row r="3828" spans="1:17" x14ac:dyDescent="0.2">
      <c r="A3828" s="10"/>
      <c r="B3828" s="26"/>
      <c r="C3828" s="11">
        <v>1988</v>
      </c>
      <c r="D3828" s="32">
        <f>SPFI_CLB14!$D$11</f>
        <v>0.64558800000000005</v>
      </c>
      <c r="E3828" s="32"/>
      <c r="F3828" s="32"/>
      <c r="G3828" s="32"/>
      <c r="H3828" s="32"/>
      <c r="I3828" s="32"/>
      <c r="J3828" s="28">
        <f t="shared" si="3447"/>
        <v>0</v>
      </c>
      <c r="K3828" s="29"/>
      <c r="L3828" s="29"/>
      <c r="M3828" s="29"/>
      <c r="N3828" s="29"/>
      <c r="O3828" s="29"/>
      <c r="P3828" s="30">
        <f t="shared" si="3449"/>
        <v>0</v>
      </c>
      <c r="Q3828" s="31">
        <f t="shared" si="3448"/>
        <v>0</v>
      </c>
    </row>
    <row r="3829" spans="1:17" x14ac:dyDescent="0.2">
      <c r="A3829" s="10"/>
      <c r="B3829" s="26"/>
      <c r="C3829" s="11">
        <v>1989</v>
      </c>
      <c r="D3829" s="32">
        <f>SPFI_CLB14!$D$12</f>
        <v>0.65287700000000004</v>
      </c>
      <c r="E3829" s="32"/>
      <c r="F3829" s="32"/>
      <c r="G3829" s="32"/>
      <c r="H3829" s="32"/>
      <c r="I3829" s="32"/>
      <c r="J3829" s="28">
        <f t="shared" si="3447"/>
        <v>0</v>
      </c>
      <c r="K3829" s="29"/>
      <c r="L3829" s="29"/>
      <c r="M3829" s="29"/>
      <c r="N3829" s="29"/>
      <c r="O3829" s="29"/>
      <c r="P3829" s="30">
        <f t="shared" si="3449"/>
        <v>0</v>
      </c>
      <c r="Q3829" s="31">
        <f t="shared" si="3448"/>
        <v>0</v>
      </c>
    </row>
    <row r="3830" spans="1:17" x14ac:dyDescent="0.2">
      <c r="A3830" s="10"/>
      <c r="B3830" s="26"/>
      <c r="C3830" s="11">
        <v>1990</v>
      </c>
      <c r="D3830" s="32">
        <f>SPFI_CLB14!$D$13</f>
        <v>0.56965100000000002</v>
      </c>
      <c r="E3830" s="32"/>
      <c r="F3830" s="32"/>
      <c r="G3830" s="32"/>
      <c r="H3830" s="32"/>
      <c r="I3830" s="32"/>
      <c r="J3830" s="28">
        <f t="shared" si="3447"/>
        <v>0</v>
      </c>
      <c r="K3830" s="29"/>
      <c r="L3830" s="29"/>
      <c r="M3830" s="29"/>
      <c r="N3830" s="29"/>
      <c r="O3830" s="29"/>
      <c r="P3830" s="30">
        <f t="shared" si="3449"/>
        <v>0</v>
      </c>
      <c r="Q3830" s="31">
        <f t="shared" si="3448"/>
        <v>0</v>
      </c>
    </row>
    <row r="3831" spans="1:17" x14ac:dyDescent="0.2">
      <c r="A3831" s="10"/>
      <c r="B3831" s="26"/>
      <c r="C3831" s="11">
        <v>1991</v>
      </c>
      <c r="D3831" s="32">
        <f>SPFI_CLB14!$D$14</f>
        <v>0.62776900000000002</v>
      </c>
      <c r="E3831" s="32"/>
      <c r="F3831" s="32"/>
      <c r="G3831" s="32"/>
      <c r="H3831" s="32"/>
      <c r="I3831" s="32"/>
      <c r="J3831" s="28">
        <f t="shared" si="3447"/>
        <v>0</v>
      </c>
      <c r="K3831" s="29"/>
      <c r="L3831" s="29"/>
      <c r="M3831" s="29"/>
      <c r="N3831" s="29"/>
      <c r="O3831" s="29"/>
      <c r="P3831" s="30">
        <f t="shared" si="3449"/>
        <v>0</v>
      </c>
      <c r="Q3831" s="31">
        <f t="shared" si="3448"/>
        <v>0</v>
      </c>
    </row>
    <row r="3832" spans="1:17" x14ac:dyDescent="0.2">
      <c r="A3832" s="10"/>
      <c r="B3832" s="26"/>
      <c r="C3832" s="11">
        <v>1992</v>
      </c>
      <c r="D3832" s="32">
        <f>SPFI_CLB14!$D$15</f>
        <v>0.43504100000000001</v>
      </c>
      <c r="E3832" s="32"/>
      <c r="F3832" s="32"/>
      <c r="G3832" s="32"/>
      <c r="H3832" s="32"/>
      <c r="I3832" s="32"/>
      <c r="J3832" s="28">
        <f t="shared" si="3447"/>
        <v>0</v>
      </c>
      <c r="K3832" s="29"/>
      <c r="L3832" s="29"/>
      <c r="M3832" s="29"/>
      <c r="N3832" s="29"/>
      <c r="O3832" s="29"/>
      <c r="P3832" s="30">
        <f t="shared" si="3449"/>
        <v>0</v>
      </c>
      <c r="Q3832" s="31">
        <f t="shared" si="3448"/>
        <v>0</v>
      </c>
    </row>
    <row r="3833" spans="1:17" x14ac:dyDescent="0.2">
      <c r="A3833" s="10"/>
      <c r="B3833" s="26"/>
      <c r="C3833" s="11">
        <v>1993</v>
      </c>
      <c r="D3833" s="32">
        <f>SPFI_CLB14!$D$16</f>
        <v>0.499164</v>
      </c>
      <c r="E3833" s="32"/>
      <c r="F3833" s="32"/>
      <c r="G3833" s="32"/>
      <c r="H3833" s="32"/>
      <c r="I3833" s="32"/>
      <c r="J3833" s="28">
        <f t="shared" si="3447"/>
        <v>0</v>
      </c>
      <c r="K3833" s="29"/>
      <c r="L3833" s="29"/>
      <c r="M3833" s="29"/>
      <c r="N3833" s="29"/>
      <c r="O3833" s="29"/>
      <c r="P3833" s="30">
        <f t="shared" si="3449"/>
        <v>0</v>
      </c>
      <c r="Q3833" s="31">
        <f t="shared" si="3448"/>
        <v>0</v>
      </c>
    </row>
    <row r="3834" spans="1:17" x14ac:dyDescent="0.2">
      <c r="A3834" s="10"/>
      <c r="B3834" s="26" t="s">
        <v>48</v>
      </c>
      <c r="C3834" s="11">
        <v>1994</v>
      </c>
      <c r="D3834" s="32">
        <f>SPFI_CLB14!$D$17</f>
        <v>0.59591300000000003</v>
      </c>
      <c r="E3834" s="32"/>
      <c r="F3834" s="32"/>
      <c r="G3834" s="32"/>
      <c r="H3834" s="32"/>
      <c r="I3834" s="32"/>
      <c r="J3834" s="28">
        <f t="shared" si="3447"/>
        <v>0</v>
      </c>
      <c r="K3834" s="29"/>
      <c r="L3834" s="29"/>
      <c r="M3834" s="29"/>
      <c r="N3834" s="29"/>
      <c r="O3834" s="29"/>
      <c r="P3834" s="30">
        <f t="shared" si="3449"/>
        <v>0</v>
      </c>
      <c r="Q3834" s="31">
        <f t="shared" si="3448"/>
        <v>0</v>
      </c>
    </row>
    <row r="3835" spans="1:17" x14ac:dyDescent="0.2">
      <c r="A3835" s="26"/>
      <c r="B3835" s="26"/>
      <c r="C3835" s="11">
        <v>1995</v>
      </c>
      <c r="D3835" s="32">
        <f>SPFI_CLB14!$D$18</f>
        <v>0.25400800000000001</v>
      </c>
      <c r="E3835" s="32"/>
      <c r="F3835" s="32"/>
      <c r="G3835" s="32"/>
      <c r="H3835" s="32"/>
      <c r="I3835" s="32"/>
      <c r="J3835" s="28">
        <f t="shared" ref="J3835" si="3450">D3835*J$123</f>
        <v>0</v>
      </c>
      <c r="K3835" s="29"/>
      <c r="L3835" s="29"/>
      <c r="M3835" s="29"/>
      <c r="N3835" s="29"/>
      <c r="O3835" s="29"/>
      <c r="P3835" s="30">
        <f t="shared" ref="P3835:P3840" si="3451">SUM(J3835:O3835)</f>
        <v>0</v>
      </c>
      <c r="Q3835" s="31">
        <f t="shared" si="3448"/>
        <v>0</v>
      </c>
    </row>
    <row r="3836" spans="1:17" x14ac:dyDescent="0.2">
      <c r="A3836" s="26"/>
      <c r="B3836" s="26"/>
      <c r="C3836" s="11">
        <v>1996</v>
      </c>
      <c r="D3836" s="32">
        <f>SPFI_CLB14!$D$19</f>
        <v>0</v>
      </c>
      <c r="E3836" s="32"/>
      <c r="F3836" s="32"/>
      <c r="G3836" s="32"/>
      <c r="H3836" s="32"/>
      <c r="I3836" s="32"/>
      <c r="J3836" s="28">
        <f t="shared" ref="J3836" si="3452">D3836*J$123</f>
        <v>0</v>
      </c>
      <c r="K3836" s="29"/>
      <c r="L3836" s="29"/>
      <c r="M3836" s="29"/>
      <c r="N3836" s="29"/>
      <c r="O3836" s="29"/>
      <c r="P3836" s="30">
        <f t="shared" si="3451"/>
        <v>0</v>
      </c>
      <c r="Q3836" s="31">
        <f t="shared" si="3448"/>
        <v>0</v>
      </c>
    </row>
    <row r="3837" spans="1:17" x14ac:dyDescent="0.2">
      <c r="A3837" s="26"/>
      <c r="B3837" s="26"/>
      <c r="C3837" s="11">
        <v>1997</v>
      </c>
      <c r="D3837" s="32">
        <f>SPFI_CLB14!$D$20</f>
        <v>0.201487</v>
      </c>
      <c r="E3837" s="32"/>
      <c r="F3837" s="32"/>
      <c r="G3837" s="32"/>
      <c r="H3837" s="32"/>
      <c r="I3837" s="32"/>
      <c r="J3837" s="28">
        <f t="shared" ref="J3837" si="3453">D3837*J$123</f>
        <v>0</v>
      </c>
      <c r="K3837" s="29"/>
      <c r="L3837" s="29"/>
      <c r="M3837" s="29"/>
      <c r="N3837" s="29"/>
      <c r="O3837" s="29"/>
      <c r="P3837" s="30">
        <f t="shared" si="3451"/>
        <v>0</v>
      </c>
      <c r="Q3837" s="31">
        <f t="shared" si="3448"/>
        <v>0</v>
      </c>
    </row>
    <row r="3838" spans="1:17" x14ac:dyDescent="0.2">
      <c r="A3838" s="26"/>
      <c r="B3838" s="26"/>
      <c r="C3838" s="11">
        <v>1998</v>
      </c>
      <c r="D3838" s="32">
        <f>SPFI_CLB14!$D$21</f>
        <v>0.37506400000000001</v>
      </c>
      <c r="E3838" s="32"/>
      <c r="F3838" s="32"/>
      <c r="G3838" s="32"/>
      <c r="H3838" s="32"/>
      <c r="I3838" s="32"/>
      <c r="J3838" s="28">
        <f t="shared" ref="J3838" si="3454">D3838*J$123</f>
        <v>0</v>
      </c>
      <c r="K3838" s="29"/>
      <c r="L3838" s="29"/>
      <c r="M3838" s="29"/>
      <c r="N3838" s="29"/>
      <c r="O3838" s="29"/>
      <c r="P3838" s="30">
        <f t="shared" si="3451"/>
        <v>0</v>
      </c>
      <c r="Q3838" s="31">
        <f t="shared" si="3448"/>
        <v>0</v>
      </c>
    </row>
    <row r="3839" spans="1:17" x14ac:dyDescent="0.2">
      <c r="A3839" s="26"/>
      <c r="B3839" s="26"/>
      <c r="C3839" s="11">
        <v>1999</v>
      </c>
      <c r="D3839" s="32">
        <f>SPFI_CLB14!$D$22</f>
        <v>0.29823699999999997</v>
      </c>
      <c r="E3839" s="32"/>
      <c r="F3839" s="32"/>
      <c r="G3839" s="32"/>
      <c r="H3839" s="32"/>
      <c r="I3839" s="32"/>
      <c r="J3839" s="28">
        <f t="shared" ref="J3839" si="3455">D3839*J$123</f>
        <v>0</v>
      </c>
      <c r="K3839" s="29"/>
      <c r="L3839" s="29"/>
      <c r="M3839" s="29"/>
      <c r="N3839" s="29"/>
      <c r="O3839" s="29"/>
      <c r="P3839" s="30">
        <f t="shared" si="3451"/>
        <v>0</v>
      </c>
      <c r="Q3839" s="31">
        <f t="shared" ref="Q3839:Q3844" si="3456">IF(C$123&gt;0,P3839/C$123,0)</f>
        <v>0</v>
      </c>
    </row>
    <row r="3840" spans="1:17" x14ac:dyDescent="0.2">
      <c r="A3840" s="26"/>
      <c r="B3840" s="26"/>
      <c r="C3840" s="11">
        <v>2000</v>
      </c>
      <c r="D3840" s="32">
        <f>SPFI_CLB14!$D$23</f>
        <v>8.4414000000000003E-2</v>
      </c>
      <c r="E3840" s="32"/>
      <c r="F3840" s="32"/>
      <c r="G3840" s="32"/>
      <c r="H3840" s="32"/>
      <c r="I3840" s="32"/>
      <c r="J3840" s="28">
        <f t="shared" ref="J3840" si="3457">D3840*J$123</f>
        <v>0</v>
      </c>
      <c r="K3840" s="29"/>
      <c r="L3840" s="29"/>
      <c r="M3840" s="29"/>
      <c r="N3840" s="29"/>
      <c r="O3840" s="29"/>
      <c r="P3840" s="30">
        <f t="shared" si="3451"/>
        <v>0</v>
      </c>
      <c r="Q3840" s="31">
        <f t="shared" si="3456"/>
        <v>0</v>
      </c>
    </row>
    <row r="3841" spans="1:17" x14ac:dyDescent="0.2">
      <c r="A3841" s="26"/>
      <c r="B3841" s="26"/>
      <c r="C3841" s="11">
        <v>2001</v>
      </c>
      <c r="D3841" s="32">
        <f>SPFI_CLB14!$D$24</f>
        <v>7.8909000000000007E-2</v>
      </c>
      <c r="E3841" s="32"/>
      <c r="F3841" s="32"/>
      <c r="G3841" s="32"/>
      <c r="H3841" s="32"/>
      <c r="I3841" s="32"/>
      <c r="J3841" s="28">
        <f t="shared" ref="J3841" si="3458">D3841*J$123</f>
        <v>0</v>
      </c>
      <c r="K3841" s="29"/>
      <c r="L3841" s="29"/>
      <c r="M3841" s="29"/>
      <c r="N3841" s="29"/>
      <c r="O3841" s="29"/>
      <c r="P3841" s="30">
        <f t="shared" ref="P3841:P3846" si="3459">SUM(J3841:O3841)</f>
        <v>0</v>
      </c>
      <c r="Q3841" s="31">
        <f t="shared" si="3456"/>
        <v>0</v>
      </c>
    </row>
    <row r="3842" spans="1:17" x14ac:dyDescent="0.2">
      <c r="A3842" s="26"/>
      <c r="B3842" s="26"/>
      <c r="C3842" s="11">
        <v>2002</v>
      </c>
      <c r="D3842" s="32">
        <f>SPFI_CLB14!$D$25</f>
        <v>0.29974699999999999</v>
      </c>
      <c r="E3842" s="32"/>
      <c r="F3842" s="32"/>
      <c r="G3842" s="32"/>
      <c r="H3842" s="32"/>
      <c r="I3842" s="32"/>
      <c r="J3842" s="28">
        <f t="shared" ref="J3842" si="3460">D3842*J$123</f>
        <v>0</v>
      </c>
      <c r="K3842" s="29"/>
      <c r="L3842" s="29"/>
      <c r="M3842" s="29"/>
      <c r="N3842" s="29"/>
      <c r="O3842" s="29"/>
      <c r="P3842" s="30">
        <f t="shared" si="3459"/>
        <v>0</v>
      </c>
      <c r="Q3842" s="31">
        <f t="shared" si="3456"/>
        <v>0</v>
      </c>
    </row>
    <row r="3843" spans="1:17" x14ac:dyDescent="0.2">
      <c r="A3843" s="26"/>
      <c r="B3843" s="26"/>
      <c r="C3843" s="11">
        <v>2003</v>
      </c>
      <c r="D3843" s="32">
        <f>SPFI_CLB14!$D$26</f>
        <v>0.20691100000000001</v>
      </c>
      <c r="E3843" s="32"/>
      <c r="F3843" s="32"/>
      <c r="G3843" s="32"/>
      <c r="H3843" s="32"/>
      <c r="I3843" s="32"/>
      <c r="J3843" s="28">
        <f t="shared" ref="J3843" si="3461">D3843*J$123</f>
        <v>0</v>
      </c>
      <c r="K3843" s="29"/>
      <c r="L3843" s="29"/>
      <c r="M3843" s="29"/>
      <c r="N3843" s="29"/>
      <c r="O3843" s="29"/>
      <c r="P3843" s="30">
        <f t="shared" si="3459"/>
        <v>0</v>
      </c>
      <c r="Q3843" s="31">
        <f t="shared" si="3456"/>
        <v>0</v>
      </c>
    </row>
    <row r="3844" spans="1:17" x14ac:dyDescent="0.2">
      <c r="A3844" s="26"/>
      <c r="B3844" s="26"/>
      <c r="C3844" s="11">
        <v>2004</v>
      </c>
      <c r="D3844" s="32">
        <f>SPFI_CLB14!$D$27</f>
        <v>0.269237</v>
      </c>
      <c r="E3844" s="32"/>
      <c r="F3844" s="32"/>
      <c r="G3844" s="32"/>
      <c r="H3844" s="32"/>
      <c r="I3844" s="32"/>
      <c r="J3844" s="28">
        <f t="shared" ref="J3844" si="3462">D3844*J$123</f>
        <v>0</v>
      </c>
      <c r="K3844" s="29"/>
      <c r="L3844" s="29"/>
      <c r="M3844" s="29"/>
      <c r="N3844" s="29"/>
      <c r="O3844" s="29"/>
      <c r="P3844" s="30">
        <f t="shared" si="3459"/>
        <v>0</v>
      </c>
      <c r="Q3844" s="31">
        <f t="shared" si="3456"/>
        <v>0</v>
      </c>
    </row>
    <row r="3845" spans="1:17" x14ac:dyDescent="0.2">
      <c r="A3845" s="26"/>
      <c r="B3845" s="26"/>
      <c r="C3845" s="11">
        <v>2005</v>
      </c>
      <c r="D3845" s="32">
        <f>SPFI_CLB14!$D$28</f>
        <v>0.37848700000000002</v>
      </c>
      <c r="E3845" s="32"/>
      <c r="F3845" s="32"/>
      <c r="G3845" s="32"/>
      <c r="H3845" s="32"/>
      <c r="I3845" s="32"/>
      <c r="J3845" s="28">
        <f t="shared" ref="J3845" si="3463">D3845*J$123</f>
        <v>0</v>
      </c>
      <c r="K3845" s="29"/>
      <c r="L3845" s="29"/>
      <c r="M3845" s="29"/>
      <c r="N3845" s="29"/>
      <c r="O3845" s="29"/>
      <c r="P3845" s="30">
        <f t="shared" si="3459"/>
        <v>0</v>
      </c>
      <c r="Q3845" s="31">
        <f t="shared" ref="Q3845:Q3850" si="3464">IF(C$123&gt;0,P3845/C$123,0)</f>
        <v>0</v>
      </c>
    </row>
    <row r="3846" spans="1:17" x14ac:dyDescent="0.2">
      <c r="A3846" s="26"/>
      <c r="B3846" s="26"/>
      <c r="C3846" s="11">
        <v>2006</v>
      </c>
      <c r="D3846" s="32">
        <f>SPFI_CLB14!$D$29</f>
        <v>0.381023</v>
      </c>
      <c r="E3846" s="32"/>
      <c r="F3846" s="32"/>
      <c r="G3846" s="32"/>
      <c r="H3846" s="32"/>
      <c r="I3846" s="32"/>
      <c r="J3846" s="28">
        <f t="shared" ref="J3846" si="3465">D3846*J$123</f>
        <v>0</v>
      </c>
      <c r="K3846" s="29"/>
      <c r="L3846" s="29"/>
      <c r="M3846" s="29"/>
      <c r="N3846" s="29"/>
      <c r="O3846" s="29"/>
      <c r="P3846" s="30">
        <f t="shared" si="3459"/>
        <v>0</v>
      </c>
      <c r="Q3846" s="31">
        <f t="shared" si="3464"/>
        <v>0</v>
      </c>
    </row>
    <row r="3847" spans="1:17" x14ac:dyDescent="0.2">
      <c r="A3847" s="26"/>
      <c r="B3847" s="26"/>
      <c r="C3847" s="11">
        <v>2007</v>
      </c>
      <c r="D3847" s="32">
        <f>SPFI_CLB14!$D$30</f>
        <v>0.356512</v>
      </c>
      <c r="E3847" s="32"/>
      <c r="F3847" s="32"/>
      <c r="G3847" s="32"/>
      <c r="H3847" s="32"/>
      <c r="I3847" s="32"/>
      <c r="J3847" s="28">
        <f t="shared" ref="J3847" si="3466">D3847*J$123</f>
        <v>0</v>
      </c>
      <c r="K3847" s="29"/>
      <c r="L3847" s="29"/>
      <c r="M3847" s="29"/>
      <c r="N3847" s="29"/>
      <c r="O3847" s="29"/>
      <c r="P3847" s="30">
        <f t="shared" ref="P3847:P3852" si="3467">SUM(J3847:O3847)</f>
        <v>0</v>
      </c>
      <c r="Q3847" s="31">
        <f t="shared" si="3464"/>
        <v>0</v>
      </c>
    </row>
    <row r="3848" spans="1:17" x14ac:dyDescent="0.2">
      <c r="A3848" s="10"/>
      <c r="B3848" s="26"/>
      <c r="C3848" s="11">
        <v>2008</v>
      </c>
      <c r="D3848" s="32">
        <f>SPFI_CLB14!$D$31</f>
        <v>0.25494499999999998</v>
      </c>
      <c r="E3848" s="32"/>
      <c r="F3848" s="32"/>
      <c r="G3848" s="32"/>
      <c r="H3848" s="32"/>
      <c r="I3848" s="32"/>
      <c r="J3848" s="28">
        <f t="shared" ref="J3848" si="3468">D3848*J$123</f>
        <v>0</v>
      </c>
      <c r="K3848" s="29"/>
      <c r="L3848" s="29"/>
      <c r="M3848" s="29"/>
      <c r="N3848" s="29"/>
      <c r="O3848" s="29"/>
      <c r="P3848" s="30">
        <f t="shared" si="3467"/>
        <v>0</v>
      </c>
      <c r="Q3848" s="31">
        <f t="shared" si="3464"/>
        <v>0</v>
      </c>
    </row>
    <row r="3849" spans="1:17" x14ac:dyDescent="0.2">
      <c r="A3849" s="10"/>
      <c r="B3849" s="26"/>
      <c r="C3849" s="11">
        <v>2009</v>
      </c>
      <c r="D3849" s="32">
        <f>SPFI_CLB14!$D$32</f>
        <v>0.52383000000000002</v>
      </c>
      <c r="E3849" s="32"/>
      <c r="F3849" s="32"/>
      <c r="G3849" s="32"/>
      <c r="H3849" s="32"/>
      <c r="I3849" s="32"/>
      <c r="J3849" s="28">
        <f t="shared" ref="J3849" si="3469">D3849*J$123</f>
        <v>0</v>
      </c>
      <c r="K3849" s="29"/>
      <c r="L3849" s="29"/>
      <c r="M3849" s="29"/>
      <c r="N3849" s="29"/>
      <c r="O3849" s="29"/>
      <c r="P3849" s="30">
        <f t="shared" si="3467"/>
        <v>0</v>
      </c>
      <c r="Q3849" s="31">
        <f t="shared" si="3464"/>
        <v>0</v>
      </c>
    </row>
    <row r="3850" spans="1:17" x14ac:dyDescent="0.2">
      <c r="A3850" s="10"/>
      <c r="B3850" s="26"/>
      <c r="C3850" s="11">
        <v>2010</v>
      </c>
      <c r="D3850" s="32">
        <f>SPFI_CLB14!$D$33</f>
        <v>0.31394</v>
      </c>
      <c r="E3850" s="32"/>
      <c r="F3850" s="32"/>
      <c r="G3850" s="32"/>
      <c r="H3850" s="32"/>
      <c r="I3850" s="32"/>
      <c r="J3850" s="28">
        <f t="shared" ref="J3850" si="3470">D3850*J$123</f>
        <v>0</v>
      </c>
      <c r="K3850" s="29"/>
      <c r="L3850" s="29"/>
      <c r="M3850" s="29"/>
      <c r="N3850" s="29"/>
      <c r="O3850" s="29"/>
      <c r="P3850" s="30">
        <f t="shared" si="3467"/>
        <v>0</v>
      </c>
      <c r="Q3850" s="31">
        <f t="shared" si="3464"/>
        <v>0</v>
      </c>
    </row>
    <row r="3851" spans="1:17" x14ac:dyDescent="0.2">
      <c r="A3851" s="26"/>
      <c r="B3851" s="26"/>
      <c r="C3851" s="11">
        <v>2011</v>
      </c>
      <c r="D3851" s="29">
        <f>SPFI_CLB14!$D$34</f>
        <v>0.294348</v>
      </c>
      <c r="E3851" s="29"/>
      <c r="F3851" s="29"/>
      <c r="G3851" s="29"/>
      <c r="H3851" s="29"/>
      <c r="I3851" s="29"/>
      <c r="J3851" s="28">
        <f>D3851*J$123</f>
        <v>0</v>
      </c>
      <c r="K3851" s="29"/>
      <c r="L3851" s="29"/>
      <c r="M3851" s="29"/>
      <c r="N3851" s="29"/>
      <c r="O3851" s="29"/>
      <c r="P3851" s="30">
        <f t="shared" si="3467"/>
        <v>0</v>
      </c>
      <c r="Q3851" s="31">
        <f t="shared" ref="Q3851" si="3471">IF(C$123&gt;0,P3851/C$123,0)</f>
        <v>0</v>
      </c>
    </row>
    <row r="3852" spans="1:17" x14ac:dyDescent="0.2">
      <c r="A3852" s="38"/>
      <c r="B3852" s="38"/>
      <c r="C3852" s="39">
        <v>2012</v>
      </c>
      <c r="D3852" s="43">
        <f>SPFI_CLB14!$D$35</f>
        <v>0.34784100000000001</v>
      </c>
      <c r="E3852" s="43"/>
      <c r="F3852" s="43"/>
      <c r="G3852" s="43"/>
      <c r="H3852" s="43"/>
      <c r="I3852" s="43"/>
      <c r="J3852" s="44">
        <f>D3852*J$123</f>
        <v>0</v>
      </c>
      <c r="K3852" s="43"/>
      <c r="L3852" s="43"/>
      <c r="M3852" s="43"/>
      <c r="N3852" s="43"/>
      <c r="O3852" s="43"/>
      <c r="P3852" s="45">
        <f t="shared" si="3467"/>
        <v>0</v>
      </c>
      <c r="Q3852" s="46">
        <f t="shared" ref="Q3852" si="3472">IF(C$123&gt;0,P3852/C$123,0)</f>
        <v>0</v>
      </c>
    </row>
    <row r="18209" spans="1:1" x14ac:dyDescent="0.2">
      <c r="A18209" s="5"/>
    </row>
  </sheetData>
  <phoneticPr fontId="0" type="noConversion"/>
  <pageMargins left="0.25" right="0.27" top="0.73" bottom="0.47" header="0.25" footer="0.25"/>
  <pageSetup orientation="portrait" horizontalDpi="300" verticalDpi="300" r:id="rId1"/>
  <headerFooter alignWithMargins="0">
    <oddHeader>&amp;CSEAK Troll FP's</oddHeader>
    <oddFooter>&amp;L&amp;8J. Gutmann, seakfp.xls, 2/96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Q870"/>
  <sheetViews>
    <sheetView workbookViewId="0">
      <selection activeCell="F17" sqref="F17"/>
    </sheetView>
  </sheetViews>
  <sheetFormatPr defaultColWidth="8.83203125" defaultRowHeight="12.75" x14ac:dyDescent="0.2"/>
  <cols>
    <col min="1" max="4" width="10.5" style="1" bestFit="1" customWidth="1"/>
    <col min="5" max="5" width="8.83203125" style="1"/>
    <col min="6" max="6" width="10.83203125" style="1" customWidth="1"/>
    <col min="7" max="16384" width="8.83203125" style="1"/>
  </cols>
  <sheetData>
    <row r="1" spans="1:121" x14ac:dyDescent="0.2">
      <c r="A1" s="1" t="s">
        <v>6</v>
      </c>
      <c r="F1" s="2">
        <f>A6</f>
        <v>0</v>
      </c>
    </row>
    <row r="2" spans="1:121" x14ac:dyDescent="0.2">
      <c r="A2" s="2">
        <v>76009.108999999997</v>
      </c>
      <c r="B2" s="2">
        <v>42492.57</v>
      </c>
      <c r="C2" s="2">
        <v>22203.583999999999</v>
      </c>
      <c r="D2" s="2">
        <v>3880.259</v>
      </c>
      <c r="E2" s="2"/>
      <c r="F2" s="2">
        <f>B6</f>
        <v>1.1263072000000001E-2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">
      <c r="A3" s="2">
        <v>5.7645689999999999E-2</v>
      </c>
      <c r="B3" s="2">
        <v>0.12119375</v>
      </c>
      <c r="C3" s="2">
        <v>0.64866089999999998</v>
      </c>
      <c r="D3" s="2">
        <v>0.99999994000000003</v>
      </c>
      <c r="E3" s="2"/>
      <c r="F3" s="2">
        <f>C6</f>
        <v>1.0931428E-2</v>
      </c>
    </row>
    <row r="4" spans="1:121" x14ac:dyDescent="0.2">
      <c r="A4" s="2">
        <v>0.58505934000000004</v>
      </c>
      <c r="B4" s="2">
        <v>0.79953801999999996</v>
      </c>
      <c r="C4" s="2">
        <v>0.96486603999999998</v>
      </c>
      <c r="D4" s="2">
        <v>0.99999994000000003</v>
      </c>
      <c r="E4" s="2"/>
      <c r="F4" s="2">
        <f>D6</f>
        <v>8.0065778E-4</v>
      </c>
    </row>
    <row r="5" spans="1:121" x14ac:dyDescent="0.2">
      <c r="A5" s="2">
        <v>1.1476343E-4</v>
      </c>
      <c r="B5" s="2">
        <v>0.35210708000000002</v>
      </c>
      <c r="C5" s="2">
        <v>0.32098230999999999</v>
      </c>
      <c r="D5" s="2">
        <v>0.31201556000000003</v>
      </c>
      <c r="E5" s="2"/>
      <c r="F5" s="2">
        <f>A35</f>
        <v>2.8017772E-2</v>
      </c>
    </row>
    <row r="6" spans="1:121" x14ac:dyDescent="0.2">
      <c r="A6" s="2">
        <v>0</v>
      </c>
      <c r="B6" s="2">
        <v>1.1263072000000001E-2</v>
      </c>
      <c r="C6" s="2">
        <v>1.0931428E-2</v>
      </c>
      <c r="D6" s="2">
        <v>8.0065778E-4</v>
      </c>
      <c r="E6" s="2"/>
      <c r="F6" s="2">
        <f>B35</f>
        <v>3.9408863000000002E-2</v>
      </c>
    </row>
    <row r="7" spans="1:121" x14ac:dyDescent="0.2">
      <c r="A7" s="2">
        <v>0</v>
      </c>
      <c r="B7" s="2">
        <v>0</v>
      </c>
      <c r="C7" s="2">
        <v>2.8373019E-4</v>
      </c>
      <c r="D7" s="2">
        <v>0</v>
      </c>
      <c r="E7" s="2"/>
      <c r="F7" s="2">
        <f>C35</f>
        <v>4.1887837999999997E-2</v>
      </c>
    </row>
    <row r="8" spans="1:121" x14ac:dyDescent="0.2">
      <c r="A8" s="2">
        <v>0</v>
      </c>
      <c r="B8" s="2">
        <v>0</v>
      </c>
      <c r="C8" s="2">
        <v>0</v>
      </c>
      <c r="D8" s="2">
        <v>0</v>
      </c>
      <c r="E8" s="2"/>
      <c r="F8" s="2">
        <f>D35</f>
        <v>9.0702526000000006E-2</v>
      </c>
    </row>
    <row r="9" spans="1:121" x14ac:dyDescent="0.2">
      <c r="A9" s="2">
        <v>0</v>
      </c>
      <c r="B9" s="2">
        <v>2.636326E-3</v>
      </c>
      <c r="C9" s="2">
        <v>2.6991745000000001E-3</v>
      </c>
      <c r="D9" s="2">
        <v>0</v>
      </c>
      <c r="E9" s="2"/>
      <c r="F9" s="2">
        <f>A64</f>
        <v>1.0445772000000001E-2</v>
      </c>
    </row>
    <row r="10" spans="1:121" x14ac:dyDescent="0.2">
      <c r="A10" s="2">
        <v>0</v>
      </c>
      <c r="B10" s="2">
        <v>0</v>
      </c>
      <c r="C10" s="2">
        <v>0</v>
      </c>
      <c r="D10" s="2">
        <v>0</v>
      </c>
      <c r="E10" s="2"/>
      <c r="F10" s="2">
        <f>B64</f>
        <v>0</v>
      </c>
    </row>
    <row r="11" spans="1:121" x14ac:dyDescent="0.2">
      <c r="A11" s="2">
        <v>4.9024760000000002E-3</v>
      </c>
      <c r="B11" s="2">
        <v>1.1422587E-2</v>
      </c>
      <c r="C11" s="2">
        <v>4.5620519999999998E-2</v>
      </c>
      <c r="D11" s="2">
        <v>2.3756731E-2</v>
      </c>
      <c r="E11" s="2"/>
      <c r="F11" s="2">
        <f>C64</f>
        <v>4.7702665999999998E-2</v>
      </c>
    </row>
    <row r="12" spans="1:121" x14ac:dyDescent="0.2">
      <c r="A12" s="2">
        <v>6.5000360999999997E-4</v>
      </c>
      <c r="B12" s="2">
        <v>3.8506789000000003E-4</v>
      </c>
      <c r="C12" s="2">
        <v>3.4028118999999998E-3</v>
      </c>
      <c r="D12" s="2">
        <v>7.9189101000000008E-3</v>
      </c>
      <c r="E12" s="2"/>
      <c r="F12" s="2">
        <f>D64</f>
        <v>0.12595761</v>
      </c>
    </row>
    <row r="13" spans="1:121" x14ac:dyDescent="0.2">
      <c r="A13" s="2">
        <v>5.7028112000000003E-5</v>
      </c>
      <c r="B13" s="2">
        <v>0</v>
      </c>
      <c r="C13" s="2">
        <v>0</v>
      </c>
      <c r="D13" s="2">
        <v>0</v>
      </c>
      <c r="E13" s="2"/>
      <c r="F13" s="2">
        <f>A93</f>
        <v>7.1676751000000001E-4</v>
      </c>
    </row>
    <row r="14" spans="1:121" x14ac:dyDescent="0.2">
      <c r="A14" s="2">
        <v>0</v>
      </c>
      <c r="B14" s="2">
        <v>0</v>
      </c>
      <c r="C14" s="2">
        <v>0</v>
      </c>
      <c r="D14" s="2">
        <v>0</v>
      </c>
      <c r="E14" s="2"/>
      <c r="F14" s="2">
        <f>B93</f>
        <v>4.8620659000000004E-3</v>
      </c>
    </row>
    <row r="15" spans="1:121" x14ac:dyDescent="0.2">
      <c r="A15" s="2">
        <v>0</v>
      </c>
      <c r="B15" s="2">
        <v>0</v>
      </c>
      <c r="C15" s="2">
        <v>0</v>
      </c>
      <c r="D15" s="2">
        <v>0</v>
      </c>
      <c r="E15" s="2"/>
      <c r="F15" s="2">
        <f>C93</f>
        <v>2.0276252E-3</v>
      </c>
    </row>
    <row r="16" spans="1:121" x14ac:dyDescent="0.2">
      <c r="A16" s="2">
        <v>0</v>
      </c>
      <c r="B16" s="2">
        <v>0</v>
      </c>
      <c r="C16" s="2">
        <v>0</v>
      </c>
      <c r="D16" s="2">
        <v>0</v>
      </c>
      <c r="E16" s="2"/>
      <c r="F16" s="2">
        <f>D93</f>
        <v>2.2303546000000001E-3</v>
      </c>
    </row>
    <row r="17" spans="1:6" x14ac:dyDescent="0.2">
      <c r="A17" s="2">
        <v>0</v>
      </c>
      <c r="B17" s="2">
        <v>0</v>
      </c>
      <c r="C17" s="2">
        <v>0</v>
      </c>
      <c r="D17" s="2">
        <v>0</v>
      </c>
      <c r="E17" s="2"/>
      <c r="F17" s="2">
        <f>A122</f>
        <v>2.5014642999999999E-4</v>
      </c>
    </row>
    <row r="18" spans="1:6" x14ac:dyDescent="0.2">
      <c r="A18" s="2">
        <v>0</v>
      </c>
      <c r="B18" s="2">
        <v>0</v>
      </c>
      <c r="C18" s="2">
        <v>0</v>
      </c>
      <c r="D18" s="2">
        <v>0</v>
      </c>
      <c r="E18" s="2"/>
      <c r="F18" s="2">
        <f>B122</f>
        <v>5.7683802999999999E-2</v>
      </c>
    </row>
    <row r="19" spans="1:6" x14ac:dyDescent="0.2">
      <c r="A19" s="2">
        <v>0</v>
      </c>
      <c r="B19" s="2">
        <v>0</v>
      </c>
      <c r="C19" s="2">
        <v>0</v>
      </c>
      <c r="D19" s="2">
        <v>3.1831615999999998E-4</v>
      </c>
      <c r="E19" s="2"/>
      <c r="F19" s="2">
        <f>C122</f>
        <v>6.2164142999999998E-2</v>
      </c>
    </row>
    <row r="20" spans="1:6" x14ac:dyDescent="0.2">
      <c r="A20" s="2">
        <v>0</v>
      </c>
      <c r="B20" s="2">
        <v>0</v>
      </c>
      <c r="C20" s="2">
        <v>0</v>
      </c>
      <c r="D20" s="2">
        <v>0</v>
      </c>
      <c r="E20" s="2"/>
      <c r="F20" s="2">
        <f>D122</f>
        <v>7.9338737000000006E-2</v>
      </c>
    </row>
    <row r="21" spans="1:6" x14ac:dyDescent="0.2">
      <c r="A21" s="2">
        <v>0</v>
      </c>
      <c r="B21" s="2">
        <v>0</v>
      </c>
      <c r="C21" s="2">
        <v>0</v>
      </c>
      <c r="D21" s="2">
        <v>0</v>
      </c>
      <c r="E21" s="2"/>
      <c r="F21" s="2">
        <f>A150</f>
        <v>5.0401529999999997E-5</v>
      </c>
    </row>
    <row r="22" spans="1:6" x14ac:dyDescent="0.2">
      <c r="A22" s="2">
        <v>0</v>
      </c>
      <c r="B22" s="2">
        <v>5.5363704E-2</v>
      </c>
      <c r="C22" s="2">
        <v>5.3773541000000001E-2</v>
      </c>
      <c r="D22" s="2">
        <v>5.9067979E-2</v>
      </c>
      <c r="E22" s="2"/>
      <c r="F22" s="2">
        <f>B150</f>
        <v>0.10950219</v>
      </c>
    </row>
    <row r="23" spans="1:6" x14ac:dyDescent="0.2">
      <c r="A23" s="2">
        <v>0</v>
      </c>
      <c r="B23" s="2">
        <v>0</v>
      </c>
      <c r="C23" s="2">
        <v>1.1758067E-4</v>
      </c>
      <c r="D23" s="2">
        <v>0</v>
      </c>
      <c r="E23" s="2"/>
      <c r="F23" s="2">
        <f>C150</f>
        <v>0.23253582</v>
      </c>
    </row>
    <row r="24" spans="1:6" x14ac:dyDescent="0.2">
      <c r="A24" s="2">
        <v>0</v>
      </c>
      <c r="B24" s="2">
        <v>0</v>
      </c>
      <c r="C24" s="2">
        <v>0</v>
      </c>
      <c r="D24" s="2">
        <v>0</v>
      </c>
      <c r="E24" s="2"/>
      <c r="F24" s="2">
        <f>D150</f>
        <v>0.30535140999999999</v>
      </c>
    </row>
    <row r="25" spans="1:6" x14ac:dyDescent="0.2">
      <c r="A25" s="2">
        <v>0</v>
      </c>
      <c r="B25" s="2">
        <v>0</v>
      </c>
      <c r="C25" s="2">
        <v>0</v>
      </c>
      <c r="D25" s="2">
        <v>0</v>
      </c>
      <c r="E25" s="2"/>
      <c r="F25" s="2">
        <f>A179</f>
        <v>0</v>
      </c>
    </row>
    <row r="26" spans="1:6" x14ac:dyDescent="0.2">
      <c r="A26" s="2">
        <v>0</v>
      </c>
      <c r="B26" s="2">
        <v>0</v>
      </c>
      <c r="C26" s="2">
        <v>0</v>
      </c>
      <c r="D26" s="2">
        <v>0</v>
      </c>
      <c r="E26" s="2"/>
      <c r="F26" s="2">
        <f>B179</f>
        <v>1.2159311000000001E-2</v>
      </c>
    </row>
    <row r="27" spans="1:6" x14ac:dyDescent="0.2">
      <c r="A27" s="2">
        <v>0</v>
      </c>
      <c r="B27" s="2">
        <v>0</v>
      </c>
      <c r="C27" s="2">
        <v>0</v>
      </c>
      <c r="D27" s="2">
        <v>0</v>
      </c>
      <c r="E27" s="2"/>
      <c r="F27" s="2">
        <f>C179</f>
        <v>0.12598978999999999</v>
      </c>
    </row>
    <row r="28" spans="1:6" x14ac:dyDescent="0.2">
      <c r="A28" s="2">
        <v>0</v>
      </c>
      <c r="B28" s="2">
        <v>0</v>
      </c>
      <c r="C28" s="2">
        <v>0</v>
      </c>
      <c r="D28" s="2">
        <v>0</v>
      </c>
      <c r="E28" s="2"/>
      <c r="F28" s="2">
        <f>D179</f>
        <v>0.17268696</v>
      </c>
    </row>
    <row r="29" spans="1:6" x14ac:dyDescent="0.2">
      <c r="A29" s="2">
        <v>0</v>
      </c>
      <c r="B29" s="2">
        <v>0</v>
      </c>
      <c r="C29" s="2">
        <v>0</v>
      </c>
      <c r="D29" s="2">
        <v>0</v>
      </c>
      <c r="E29" s="2"/>
      <c r="F29" s="2">
        <f>A208</f>
        <v>0</v>
      </c>
    </row>
    <row r="30" spans="1:6" x14ac:dyDescent="0.2">
      <c r="A30" s="1" t="s">
        <v>7</v>
      </c>
      <c r="F30" s="2">
        <f>B208</f>
        <v>8.3641884999999996E-3</v>
      </c>
    </row>
    <row r="31" spans="1:6" x14ac:dyDescent="0.2">
      <c r="A31" s="2">
        <v>287854.38</v>
      </c>
      <c r="B31" s="2">
        <v>145691.69</v>
      </c>
      <c r="C31" s="2">
        <v>68041.616999999998</v>
      </c>
      <c r="D31" s="2">
        <v>14079.632</v>
      </c>
      <c r="E31" s="2"/>
      <c r="F31" s="2">
        <f>C208</f>
        <v>2.9252581E-2</v>
      </c>
    </row>
    <row r="32" spans="1:6" x14ac:dyDescent="0.2">
      <c r="A32" s="2">
        <v>5.1396523E-2</v>
      </c>
      <c r="B32" s="2">
        <v>0.14471728</v>
      </c>
      <c r="C32" s="2">
        <v>0.69004977000000001</v>
      </c>
      <c r="D32" s="2">
        <v>0.99999987999999995</v>
      </c>
      <c r="E32" s="2"/>
      <c r="F32" s="2">
        <f>D208</f>
        <v>7.0079937999999994E-2</v>
      </c>
    </row>
    <row r="33" spans="1:6" x14ac:dyDescent="0.2">
      <c r="A33" s="2">
        <v>0.58775127000000005</v>
      </c>
      <c r="B33" s="2">
        <v>0.80773585999999997</v>
      </c>
      <c r="C33" s="2">
        <v>0.96900492999999999</v>
      </c>
      <c r="D33" s="2">
        <v>0.99999987999999995</v>
      </c>
      <c r="E33" s="2"/>
      <c r="F33" s="2">
        <f>A237</f>
        <v>0</v>
      </c>
    </row>
    <row r="34" spans="1:6" x14ac:dyDescent="0.2">
      <c r="A34" s="2">
        <v>2.8442530000000001E-2</v>
      </c>
      <c r="B34" s="2">
        <v>0.27509242</v>
      </c>
      <c r="C34" s="2">
        <v>8.9056424999999995E-2</v>
      </c>
      <c r="D34" s="2">
        <v>0.25491490999999999</v>
      </c>
      <c r="E34" s="2"/>
      <c r="F34" s="2">
        <f>B237</f>
        <v>8.3641884999999996E-3</v>
      </c>
    </row>
    <row r="35" spans="1:6" x14ac:dyDescent="0.2">
      <c r="A35" s="2">
        <v>2.8017772E-2</v>
      </c>
      <c r="B35" s="2">
        <v>3.9408863000000002E-2</v>
      </c>
      <c r="C35" s="2">
        <v>4.1887837999999997E-2</v>
      </c>
      <c r="D35" s="2">
        <v>9.0702526000000006E-2</v>
      </c>
      <c r="E35" s="2"/>
      <c r="F35" s="2">
        <f>C237</f>
        <v>2.9252581E-2</v>
      </c>
    </row>
    <row r="36" spans="1:6" x14ac:dyDescent="0.2">
      <c r="A36" s="2">
        <v>2.8076309000000001E-3</v>
      </c>
      <c r="B36" s="2">
        <v>3.2203506999999999E-2</v>
      </c>
      <c r="C36" s="2">
        <v>9.0815835000000004E-3</v>
      </c>
      <c r="D36" s="2">
        <v>1.6087153999999999E-2</v>
      </c>
      <c r="E36" s="2"/>
      <c r="F36" s="2">
        <f>D237</f>
        <v>7.0079937999999994E-2</v>
      </c>
    </row>
    <row r="37" spans="1:6" x14ac:dyDescent="0.2">
      <c r="A37" s="2">
        <v>1.6038989E-3</v>
      </c>
      <c r="B37" s="2">
        <v>2.8178069999999999E-3</v>
      </c>
      <c r="C37" s="2">
        <v>1.9624017000000001E-3</v>
      </c>
      <c r="D37" s="2">
        <v>0</v>
      </c>
      <c r="E37" s="2"/>
      <c r="F37" s="2">
        <f>A266</f>
        <v>0</v>
      </c>
    </row>
    <row r="38" spans="1:6" x14ac:dyDescent="0.2">
      <c r="A38" s="2">
        <v>0</v>
      </c>
      <c r="B38" s="2">
        <v>0</v>
      </c>
      <c r="C38" s="2">
        <v>0</v>
      </c>
      <c r="D38" s="2">
        <v>0</v>
      </c>
      <c r="E38" s="2"/>
      <c r="F38" s="2">
        <f>B266</f>
        <v>7.2547612999999999E-4</v>
      </c>
    </row>
    <row r="39" spans="1:6" x14ac:dyDescent="0.2">
      <c r="A39" s="2">
        <v>0</v>
      </c>
      <c r="B39" s="2">
        <v>0</v>
      </c>
      <c r="C39" s="2">
        <v>0</v>
      </c>
      <c r="D39" s="2">
        <v>0</v>
      </c>
      <c r="E39" s="2"/>
      <c r="F39" s="2">
        <f>C266</f>
        <v>1.1933183E-3</v>
      </c>
    </row>
    <row r="40" spans="1:6" x14ac:dyDescent="0.2">
      <c r="A40" s="2">
        <v>4.9384212999999998E-3</v>
      </c>
      <c r="B40" s="2">
        <v>2.1969543000000002E-3</v>
      </c>
      <c r="C40" s="2">
        <v>6.2029264000000002E-3</v>
      </c>
      <c r="D40" s="2">
        <v>8.0672557999999991E-3</v>
      </c>
      <c r="E40" s="2"/>
      <c r="F40" s="2">
        <f>D266</f>
        <v>0</v>
      </c>
    </row>
    <row r="41" spans="1:6" x14ac:dyDescent="0.2">
      <c r="A41" s="2">
        <v>1.4970864E-2</v>
      </c>
      <c r="B41" s="2">
        <v>2.017528E-2</v>
      </c>
      <c r="C41" s="2">
        <v>4.6277235999999999E-2</v>
      </c>
      <c r="D41" s="2">
        <v>7.2605303999999996E-2</v>
      </c>
      <c r="E41" s="2"/>
      <c r="F41" s="2">
        <f>A295</f>
        <v>0</v>
      </c>
    </row>
    <row r="42" spans="1:6" x14ac:dyDescent="0.2">
      <c r="A42" s="2">
        <v>6.0188845000000001E-3</v>
      </c>
      <c r="B42" s="2">
        <v>1.1813294E-2</v>
      </c>
      <c r="C42" s="2">
        <v>2.0646010999999999E-2</v>
      </c>
      <c r="D42" s="2">
        <v>6.3092336000000002E-3</v>
      </c>
      <c r="E42" s="2"/>
      <c r="F42" s="2">
        <f>B295</f>
        <v>0</v>
      </c>
    </row>
    <row r="43" spans="1:6" x14ac:dyDescent="0.2">
      <c r="A43" s="2">
        <v>0</v>
      </c>
      <c r="B43" s="2">
        <v>0</v>
      </c>
      <c r="C43" s="2">
        <v>8.8613228999999995E-3</v>
      </c>
      <c r="D43" s="2">
        <v>0</v>
      </c>
      <c r="E43" s="2"/>
      <c r="F43" s="2">
        <f>C295</f>
        <v>4.5076878999999997E-3</v>
      </c>
    </row>
    <row r="44" spans="1:6" x14ac:dyDescent="0.2">
      <c r="A44" s="2">
        <v>1.4540083E-3</v>
      </c>
      <c r="B44" s="2">
        <v>0</v>
      </c>
      <c r="C44" s="2">
        <v>0</v>
      </c>
      <c r="D44" s="2">
        <v>0</v>
      </c>
      <c r="E44" s="2"/>
      <c r="F44" s="2">
        <f>D295</f>
        <v>0</v>
      </c>
    </row>
    <row r="45" spans="1:6" x14ac:dyDescent="0.2">
      <c r="A45" s="2">
        <v>0</v>
      </c>
      <c r="B45" s="2">
        <v>0</v>
      </c>
      <c r="C45" s="2">
        <v>0</v>
      </c>
      <c r="D45" s="2">
        <v>0</v>
      </c>
      <c r="E45" s="2"/>
      <c r="F45" s="2">
        <f>A324</f>
        <v>0</v>
      </c>
    </row>
    <row r="46" spans="1:6" x14ac:dyDescent="0.2">
      <c r="A46" s="2">
        <v>0</v>
      </c>
      <c r="B46" s="2">
        <v>0</v>
      </c>
      <c r="C46" s="2">
        <v>0</v>
      </c>
      <c r="D46" s="2">
        <v>0</v>
      </c>
      <c r="E46" s="2"/>
      <c r="F46" s="2">
        <f>B324</f>
        <v>0</v>
      </c>
    </row>
    <row r="47" spans="1:6" x14ac:dyDescent="0.2">
      <c r="A47" s="2">
        <v>0</v>
      </c>
      <c r="B47" s="2">
        <v>0</v>
      </c>
      <c r="C47" s="2">
        <v>0</v>
      </c>
      <c r="D47" s="2">
        <v>0</v>
      </c>
      <c r="E47" s="2"/>
      <c r="F47" s="2">
        <f>C324</f>
        <v>4.1603394999999996E-3</v>
      </c>
    </row>
    <row r="48" spans="1:6" x14ac:dyDescent="0.2">
      <c r="A48" s="2">
        <v>0</v>
      </c>
      <c r="B48" s="2">
        <v>0</v>
      </c>
      <c r="C48" s="2">
        <v>0</v>
      </c>
      <c r="D48" s="2">
        <v>0</v>
      </c>
      <c r="E48" s="2"/>
      <c r="F48" s="2">
        <f>D324</f>
        <v>0</v>
      </c>
    </row>
    <row r="49" spans="1:6" x14ac:dyDescent="0.2">
      <c r="A49" s="2">
        <v>1.0222639999999999E-4</v>
      </c>
      <c r="B49" s="2">
        <v>4.4264182E-4</v>
      </c>
      <c r="C49" s="2">
        <v>0</v>
      </c>
      <c r="D49" s="2">
        <v>0</v>
      </c>
      <c r="E49" s="2"/>
      <c r="F49" s="2">
        <f>A353</f>
        <v>0</v>
      </c>
    </row>
    <row r="50" spans="1:6" x14ac:dyDescent="0.2">
      <c r="A50" s="2">
        <v>0</v>
      </c>
      <c r="B50" s="2">
        <v>0</v>
      </c>
      <c r="C50" s="2">
        <v>0</v>
      </c>
      <c r="D50" s="2">
        <v>0</v>
      </c>
      <c r="E50" s="2"/>
      <c r="F50" s="2">
        <f>B353</f>
        <v>0</v>
      </c>
    </row>
    <row r="51" spans="1:6" x14ac:dyDescent="0.2">
      <c r="A51" s="2">
        <v>0.26327419000000002</v>
      </c>
      <c r="B51" s="2">
        <v>2.9657671E-2</v>
      </c>
      <c r="C51" s="2">
        <v>4.2661764000000001E-3</v>
      </c>
      <c r="D51" s="2">
        <v>3.8623469999999999E-3</v>
      </c>
      <c r="E51" s="2"/>
      <c r="F51" s="2">
        <f>C353</f>
        <v>3.5285024999999999E-3</v>
      </c>
    </row>
    <row r="52" spans="1:6" x14ac:dyDescent="0.2">
      <c r="A52" s="2">
        <v>0.65845418</v>
      </c>
      <c r="B52" s="2">
        <v>7.031214E-3</v>
      </c>
      <c r="C52" s="2">
        <v>1.1493435E-2</v>
      </c>
      <c r="D52" s="2">
        <v>2.2427768000000001E-2</v>
      </c>
      <c r="E52" s="2"/>
      <c r="F52" s="2">
        <f>D353</f>
        <v>5.8345250000000001E-3</v>
      </c>
    </row>
    <row r="53" spans="1:6" x14ac:dyDescent="0.2">
      <c r="A53" s="2">
        <v>3.4387485999999997E-5</v>
      </c>
      <c r="B53" s="2">
        <v>2.7096203000000001E-5</v>
      </c>
      <c r="C53" s="2">
        <v>2.7050597E-5</v>
      </c>
      <c r="D53" s="2">
        <v>0</v>
      </c>
      <c r="E53" s="2"/>
      <c r="F53" s="2">
        <f>A382</f>
        <v>0</v>
      </c>
    </row>
    <row r="54" spans="1:6" x14ac:dyDescent="0.2">
      <c r="A54" s="2">
        <v>0</v>
      </c>
      <c r="B54" s="2">
        <v>0</v>
      </c>
      <c r="C54" s="2">
        <v>0</v>
      </c>
      <c r="D54" s="2">
        <v>0</v>
      </c>
      <c r="E54" s="2"/>
      <c r="F54" s="2">
        <f>B382</f>
        <v>0</v>
      </c>
    </row>
    <row r="55" spans="1:6" x14ac:dyDescent="0.2">
      <c r="A55" s="2">
        <v>0</v>
      </c>
      <c r="B55" s="2">
        <v>0</v>
      </c>
      <c r="C55" s="2">
        <v>0</v>
      </c>
      <c r="D55" s="2">
        <v>0</v>
      </c>
      <c r="E55" s="2"/>
      <c r="F55" s="2">
        <f>C382</f>
        <v>0</v>
      </c>
    </row>
    <row r="56" spans="1:6" x14ac:dyDescent="0.2">
      <c r="A56" s="2">
        <v>0</v>
      </c>
      <c r="B56" s="2">
        <v>0</v>
      </c>
      <c r="C56" s="2">
        <v>0</v>
      </c>
      <c r="D56" s="2">
        <v>0</v>
      </c>
      <c r="E56" s="2"/>
      <c r="F56" s="2">
        <f>D382</f>
        <v>0</v>
      </c>
    </row>
    <row r="57" spans="1:6" x14ac:dyDescent="0.2">
      <c r="A57" s="2">
        <v>3.4520180999999999E-3</v>
      </c>
      <c r="B57" s="2">
        <v>0</v>
      </c>
      <c r="C57" s="2">
        <v>0</v>
      </c>
      <c r="D57" s="2">
        <v>0</v>
      </c>
      <c r="E57" s="2"/>
      <c r="F57" s="2">
        <f>A411</f>
        <v>0</v>
      </c>
    </row>
    <row r="58" spans="1:6" x14ac:dyDescent="0.2">
      <c r="A58" s="2">
        <v>0</v>
      </c>
      <c r="B58" s="2">
        <v>1.7094392E-2</v>
      </c>
      <c r="C58" s="2">
        <v>4.4226865000000001E-4</v>
      </c>
      <c r="D58" s="2">
        <v>8.0672557999999991E-3</v>
      </c>
      <c r="E58" s="2"/>
      <c r="F58" s="2">
        <f>B411</f>
        <v>1.7402048999999999E-2</v>
      </c>
    </row>
    <row r="59" spans="1:6" x14ac:dyDescent="0.2">
      <c r="A59" s="1" t="s">
        <v>8</v>
      </c>
      <c r="F59" s="2">
        <f>C411</f>
        <v>1.6442165000000002E-2</v>
      </c>
    </row>
    <row r="60" spans="1:6" x14ac:dyDescent="0.2">
      <c r="A60" s="2">
        <v>358033.41</v>
      </c>
      <c r="B60" s="2">
        <v>203750.66</v>
      </c>
      <c r="C60" s="2">
        <v>116599.43</v>
      </c>
      <c r="D60" s="2">
        <v>23178.228999999999</v>
      </c>
      <c r="E60" s="2"/>
      <c r="F60" s="2">
        <f>D411</f>
        <v>8.5359848999999998E-3</v>
      </c>
    </row>
    <row r="61" spans="1:6" x14ac:dyDescent="0.2">
      <c r="A61" s="2">
        <v>2.6498008999999999E-2</v>
      </c>
      <c r="B61" s="2">
        <v>0.1446432</v>
      </c>
      <c r="C61" s="2">
        <v>0.68596338999999995</v>
      </c>
      <c r="D61" s="2">
        <v>1</v>
      </c>
      <c r="E61" s="2"/>
      <c r="F61" s="2">
        <f>A440</f>
        <v>0</v>
      </c>
    </row>
    <row r="62" spans="1:6" x14ac:dyDescent="0.2">
      <c r="A62" s="2">
        <v>0.57672882000000003</v>
      </c>
      <c r="B62" s="2">
        <v>0.80743957</v>
      </c>
      <c r="C62" s="2">
        <v>0.96859633999999994</v>
      </c>
      <c r="D62" s="2">
        <v>1</v>
      </c>
      <c r="E62" s="2"/>
      <c r="F62" s="2">
        <f>B440</f>
        <v>0</v>
      </c>
    </row>
    <row r="63" spans="1:6" x14ac:dyDescent="0.2">
      <c r="A63" s="2">
        <v>0</v>
      </c>
      <c r="B63" s="2">
        <v>1.0946180999999999E-2</v>
      </c>
      <c r="C63" s="2">
        <v>0.10064317</v>
      </c>
      <c r="D63" s="2">
        <v>9.4820768E-2</v>
      </c>
      <c r="E63" s="2"/>
      <c r="F63" s="2">
        <f>C440</f>
        <v>6.5574973999999994E-2</v>
      </c>
    </row>
    <row r="64" spans="1:6" x14ac:dyDescent="0.2">
      <c r="A64" s="2">
        <v>1.0445772000000001E-2</v>
      </c>
      <c r="B64" s="2">
        <v>0</v>
      </c>
      <c r="C64" s="2">
        <v>4.7702665999999998E-2</v>
      </c>
      <c r="D64" s="2">
        <v>0.12595761</v>
      </c>
      <c r="E64" s="2"/>
      <c r="F64" s="2">
        <f>D440</f>
        <v>0</v>
      </c>
    </row>
    <row r="65" spans="1:6" x14ac:dyDescent="0.2">
      <c r="A65" s="2">
        <v>0</v>
      </c>
      <c r="B65" s="2">
        <v>1.347766E-3</v>
      </c>
      <c r="C65" s="2">
        <v>1.9235458E-2</v>
      </c>
      <c r="D65" s="2">
        <v>1.7332799999999999E-2</v>
      </c>
      <c r="E65" s="2"/>
      <c r="F65" s="2">
        <f>A469</f>
        <v>0</v>
      </c>
    </row>
    <row r="66" spans="1:6" x14ac:dyDescent="0.2">
      <c r="A66" s="2">
        <v>0</v>
      </c>
      <c r="B66" s="2">
        <v>0</v>
      </c>
      <c r="C66" s="2">
        <v>2.2973422E-2</v>
      </c>
      <c r="D66" s="2">
        <v>1.7893501999999999E-2</v>
      </c>
      <c r="E66" s="2"/>
      <c r="F66" s="2">
        <f>B469</f>
        <v>1.7219646000000002E-2</v>
      </c>
    </row>
    <row r="67" spans="1:6" x14ac:dyDescent="0.2">
      <c r="A67" s="2">
        <v>0</v>
      </c>
      <c r="B67" s="2">
        <v>0</v>
      </c>
      <c r="C67" s="2">
        <v>0</v>
      </c>
      <c r="D67" s="2">
        <v>0</v>
      </c>
      <c r="E67" s="2"/>
      <c r="F67" s="2">
        <f>C469</f>
        <v>1.5353531E-2</v>
      </c>
    </row>
    <row r="68" spans="1:6" x14ac:dyDescent="0.2">
      <c r="A68" s="2">
        <v>0</v>
      </c>
      <c r="B68" s="2">
        <v>1.2967663000000001E-3</v>
      </c>
      <c r="C68" s="2">
        <v>1.9243163E-3</v>
      </c>
      <c r="D68" s="2">
        <v>0</v>
      </c>
      <c r="E68" s="2"/>
      <c r="F68" s="2">
        <f>D469</f>
        <v>5.7365159000000001E-3</v>
      </c>
    </row>
    <row r="69" spans="1:6" x14ac:dyDescent="0.2">
      <c r="A69" s="2">
        <v>0</v>
      </c>
      <c r="B69" s="2">
        <v>0</v>
      </c>
      <c r="C69" s="2">
        <v>1.4109906E-2</v>
      </c>
      <c r="D69" s="2">
        <v>0</v>
      </c>
      <c r="E69" s="2"/>
      <c r="F69" s="2">
        <f>A498</f>
        <v>0</v>
      </c>
    </row>
    <row r="70" spans="1:6" x14ac:dyDescent="0.2">
      <c r="A70" s="2">
        <v>1.7530459E-3</v>
      </c>
      <c r="B70" s="2">
        <v>1.2990249000000001E-3</v>
      </c>
      <c r="C70" s="2">
        <v>2.8205681999999999E-2</v>
      </c>
      <c r="D70" s="2">
        <v>2.0161289999999998E-2</v>
      </c>
      <c r="E70" s="2"/>
      <c r="F70" s="2">
        <f>B498</f>
        <v>5.2762180999999998E-2</v>
      </c>
    </row>
    <row r="71" spans="1:6" x14ac:dyDescent="0.2">
      <c r="A71" s="2">
        <v>3.8348369000000002E-3</v>
      </c>
      <c r="B71" s="2">
        <v>3.5046385999999998E-3</v>
      </c>
      <c r="C71" s="2">
        <v>0</v>
      </c>
      <c r="D71" s="2">
        <v>0</v>
      </c>
      <c r="E71" s="2"/>
      <c r="F71" s="2">
        <f>C498</f>
        <v>0.10771409999999999</v>
      </c>
    </row>
    <row r="72" spans="1:6" x14ac:dyDescent="0.2">
      <c r="A72" s="2">
        <v>0</v>
      </c>
      <c r="B72" s="2">
        <v>0</v>
      </c>
      <c r="C72" s="2">
        <v>0</v>
      </c>
      <c r="D72" s="2">
        <v>0</v>
      </c>
      <c r="E72" s="2"/>
      <c r="F72" s="2">
        <f>D498</f>
        <v>0.20789155000000001</v>
      </c>
    </row>
    <row r="73" spans="1:6" x14ac:dyDescent="0.2">
      <c r="A73" s="2">
        <v>0</v>
      </c>
      <c r="B73" s="2">
        <v>0</v>
      </c>
      <c r="C73" s="2">
        <v>0</v>
      </c>
      <c r="D73" s="2">
        <v>5.2772932000000002E-2</v>
      </c>
      <c r="E73" s="2"/>
      <c r="F73" s="2">
        <f>A527</f>
        <v>0</v>
      </c>
    </row>
    <row r="74" spans="1:6" x14ac:dyDescent="0.2">
      <c r="A74" s="2">
        <v>0</v>
      </c>
      <c r="B74" s="2">
        <v>3.6849120999999999E-3</v>
      </c>
      <c r="C74" s="2">
        <v>5.9573088000000003E-2</v>
      </c>
      <c r="D74" s="2">
        <v>0</v>
      </c>
      <c r="E74" s="2"/>
      <c r="F74" s="2">
        <f>B527</f>
        <v>5.1309656000000002E-2</v>
      </c>
    </row>
    <row r="75" spans="1:6" x14ac:dyDescent="0.2">
      <c r="A75" s="2">
        <v>0</v>
      </c>
      <c r="B75" s="2">
        <v>0</v>
      </c>
      <c r="C75" s="2">
        <v>0</v>
      </c>
      <c r="D75" s="2">
        <v>0</v>
      </c>
      <c r="E75" s="2"/>
      <c r="F75" s="2">
        <f>C527</f>
        <v>0.16483943000000001</v>
      </c>
    </row>
    <row r="76" spans="1:6" x14ac:dyDescent="0.2">
      <c r="A76" s="2">
        <v>0</v>
      </c>
      <c r="B76" s="2">
        <v>0</v>
      </c>
      <c r="C76" s="2">
        <v>0</v>
      </c>
      <c r="D76" s="2">
        <v>0</v>
      </c>
      <c r="E76" s="2"/>
      <c r="F76" s="2">
        <f>D527</f>
        <v>0.23775467</v>
      </c>
    </row>
    <row r="77" spans="1:6" x14ac:dyDescent="0.2">
      <c r="A77" s="2">
        <v>0</v>
      </c>
      <c r="B77" s="2">
        <v>0</v>
      </c>
      <c r="C77" s="2">
        <v>0</v>
      </c>
      <c r="D77" s="2">
        <v>0</v>
      </c>
      <c r="E77" s="2"/>
      <c r="F77" s="2">
        <f>A556</f>
        <v>0</v>
      </c>
    </row>
    <row r="78" spans="1:6" x14ac:dyDescent="0.2">
      <c r="A78" s="2">
        <v>1.9894842999999998E-3</v>
      </c>
      <c r="B78" s="2">
        <v>6.9160871E-3</v>
      </c>
      <c r="C78" s="2">
        <v>4.5838822000000001E-2</v>
      </c>
      <c r="D78" s="2">
        <v>1.6295243000000001E-2</v>
      </c>
      <c r="E78" s="2"/>
      <c r="F78" s="2">
        <f>B556</f>
        <v>0</v>
      </c>
    </row>
    <row r="79" spans="1:6" x14ac:dyDescent="0.2">
      <c r="A79" s="2">
        <v>0</v>
      </c>
      <c r="B79" s="2">
        <v>0</v>
      </c>
      <c r="C79" s="2">
        <v>0.55549042999999998</v>
      </c>
      <c r="D79" s="2">
        <v>0.37479061000000002</v>
      </c>
      <c r="E79" s="2"/>
      <c r="F79" s="2">
        <f>C556</f>
        <v>0</v>
      </c>
    </row>
    <row r="80" spans="1:6" x14ac:dyDescent="0.2">
      <c r="A80" s="2">
        <v>0</v>
      </c>
      <c r="B80" s="2">
        <v>0</v>
      </c>
      <c r="C80" s="2">
        <v>1.3242521E-3</v>
      </c>
      <c r="D80" s="2">
        <v>0</v>
      </c>
      <c r="E80" s="2"/>
      <c r="F80" s="2">
        <f>D556</f>
        <v>0</v>
      </c>
    </row>
    <row r="81" spans="1:6" x14ac:dyDescent="0.2">
      <c r="A81" s="2">
        <v>0</v>
      </c>
      <c r="B81" s="2">
        <v>0</v>
      </c>
      <c r="C81" s="2">
        <v>0</v>
      </c>
      <c r="D81" s="2">
        <v>0</v>
      </c>
      <c r="E81" s="2"/>
      <c r="F81" s="2">
        <f>A585</f>
        <v>0</v>
      </c>
    </row>
    <row r="82" spans="1:6" x14ac:dyDescent="0.2">
      <c r="A82" s="2">
        <v>0</v>
      </c>
      <c r="B82" s="2">
        <v>0</v>
      </c>
      <c r="C82" s="2">
        <v>3.1667563000000002E-4</v>
      </c>
      <c r="D82" s="2">
        <v>2.5680701999999998E-4</v>
      </c>
      <c r="E82" s="2"/>
      <c r="F82" s="2">
        <f>B585</f>
        <v>0</v>
      </c>
    </row>
    <row r="83" spans="1:6" x14ac:dyDescent="0.2">
      <c r="A83" s="2">
        <v>0</v>
      </c>
      <c r="B83" s="2">
        <v>0</v>
      </c>
      <c r="C83" s="2">
        <v>3.9013749999999999E-3</v>
      </c>
      <c r="D83" s="2">
        <v>0</v>
      </c>
      <c r="E83" s="2"/>
      <c r="F83" s="2">
        <f>C585</f>
        <v>0</v>
      </c>
    </row>
    <row r="84" spans="1:6" x14ac:dyDescent="0.2">
      <c r="A84" s="2">
        <v>0</v>
      </c>
      <c r="B84" s="2">
        <v>0</v>
      </c>
      <c r="C84" s="2">
        <v>0</v>
      </c>
      <c r="D84" s="2">
        <v>0</v>
      </c>
      <c r="E84" s="2"/>
      <c r="F84" s="2">
        <f>D585</f>
        <v>0</v>
      </c>
    </row>
    <row r="85" spans="1:6" x14ac:dyDescent="0.2">
      <c r="A85" s="2">
        <v>5.9583262E-3</v>
      </c>
      <c r="B85" s="2">
        <v>0</v>
      </c>
      <c r="C85" s="2">
        <v>0</v>
      </c>
      <c r="D85" s="2">
        <v>0</v>
      </c>
      <c r="E85" s="2"/>
      <c r="F85" s="2">
        <f>A614</f>
        <v>0</v>
      </c>
    </row>
    <row r="86" spans="1:6" x14ac:dyDescent="0.2">
      <c r="A86" s="2">
        <v>5.6693354000000003E-3</v>
      </c>
      <c r="B86" s="2">
        <v>1.437042E-2</v>
      </c>
      <c r="C86" s="2">
        <v>1.0904459E-2</v>
      </c>
      <c r="D86" s="2">
        <v>3.4183748E-2</v>
      </c>
      <c r="E86" s="2"/>
      <c r="F86" s="2">
        <f>B614</f>
        <v>0</v>
      </c>
    </row>
    <row r="87" spans="1:6" x14ac:dyDescent="0.2">
      <c r="A87" s="2">
        <v>0</v>
      </c>
      <c r="B87" s="2">
        <v>0</v>
      </c>
      <c r="C87" s="2">
        <v>0</v>
      </c>
      <c r="D87" s="2">
        <v>0</v>
      </c>
      <c r="E87" s="2"/>
      <c r="F87" s="2">
        <f>C614</f>
        <v>7.2163521999999994E-2</v>
      </c>
    </row>
    <row r="88" spans="1:6" x14ac:dyDescent="0.2">
      <c r="A88" s="1" t="s">
        <v>9</v>
      </c>
      <c r="F88" s="2">
        <f>D614</f>
        <v>8.0080024999999999E-2</v>
      </c>
    </row>
    <row r="89" spans="1:6" x14ac:dyDescent="0.2">
      <c r="A89" s="2">
        <v>1945246.8</v>
      </c>
      <c r="B89" s="2">
        <v>1055868.8999999999</v>
      </c>
      <c r="C89" s="2">
        <v>372429.84</v>
      </c>
      <c r="D89" s="2">
        <v>34775</v>
      </c>
      <c r="E89" s="2"/>
      <c r="F89" s="2">
        <f>A643</f>
        <v>0</v>
      </c>
    </row>
    <row r="90" spans="1:6" x14ac:dyDescent="0.2">
      <c r="A90" s="2">
        <v>7.3677494999999996E-2</v>
      </c>
      <c r="B90" s="2">
        <v>5.7326883000000002E-2</v>
      </c>
      <c r="C90" s="2">
        <v>0.70870398999999995</v>
      </c>
      <c r="D90" s="2">
        <v>1</v>
      </c>
      <c r="E90" s="2"/>
      <c r="F90" s="2">
        <f>B643</f>
        <v>3.3752961999999999E-3</v>
      </c>
    </row>
    <row r="91" spans="1:6" x14ac:dyDescent="0.2">
      <c r="A91" s="2">
        <v>0.58560807000000004</v>
      </c>
      <c r="B91" s="2">
        <v>0.78949760999999996</v>
      </c>
      <c r="C91" s="2">
        <v>0.97087038000000003</v>
      </c>
      <c r="D91" s="2">
        <v>1</v>
      </c>
      <c r="E91" s="2"/>
      <c r="F91" s="2">
        <f>C643</f>
        <v>7.7331371999999995E-2</v>
      </c>
    </row>
    <row r="92" spans="1:6" x14ac:dyDescent="0.2">
      <c r="A92" s="2">
        <v>0</v>
      </c>
      <c r="B92" s="2">
        <v>2.6810354999999998E-4</v>
      </c>
      <c r="C92" s="2">
        <v>2.7018236000000001E-3</v>
      </c>
      <c r="D92" s="2">
        <v>0</v>
      </c>
      <c r="E92" s="2"/>
      <c r="F92" s="2">
        <f>D643</f>
        <v>0.15037239999999999</v>
      </c>
    </row>
    <row r="93" spans="1:6" x14ac:dyDescent="0.2">
      <c r="A93" s="2">
        <v>7.1676751000000001E-4</v>
      </c>
      <c r="B93" s="2">
        <v>4.8620659000000004E-3</v>
      </c>
      <c r="C93" s="2">
        <v>2.0276252E-3</v>
      </c>
      <c r="D93" s="2">
        <v>2.2303546000000001E-3</v>
      </c>
      <c r="E93" s="2"/>
      <c r="F93" s="2">
        <f>A672</f>
        <v>1.6940181000000001E-3</v>
      </c>
    </row>
    <row r="94" spans="1:6" x14ac:dyDescent="0.2">
      <c r="A94" s="2">
        <v>7.2102766999999999E-4</v>
      </c>
      <c r="B94" s="2">
        <v>8.5695721000000002E-2</v>
      </c>
      <c r="C94" s="2">
        <v>4.9395077000000003E-2</v>
      </c>
      <c r="D94" s="2">
        <v>1.1253552999999999E-2</v>
      </c>
      <c r="E94" s="2"/>
      <c r="F94" s="2">
        <f>B672</f>
        <v>0.23997489</v>
      </c>
    </row>
    <row r="95" spans="1:6" x14ac:dyDescent="0.2">
      <c r="A95" s="2">
        <v>0</v>
      </c>
      <c r="B95" s="2">
        <v>0.17249268000000001</v>
      </c>
      <c r="C95" s="2">
        <v>0.18677716</v>
      </c>
      <c r="D95" s="2">
        <v>4.6470388999999999E-3</v>
      </c>
      <c r="E95" s="2"/>
      <c r="F95" s="2">
        <f>C672</f>
        <v>9.0209291999999996E-3</v>
      </c>
    </row>
    <row r="96" spans="1:6" x14ac:dyDescent="0.2">
      <c r="A96" s="2">
        <v>2.1118297999999998E-3</v>
      </c>
      <c r="B96" s="2">
        <v>7.8668028000000001E-2</v>
      </c>
      <c r="C96" s="2">
        <v>3.4621824000000002E-2</v>
      </c>
      <c r="D96" s="2">
        <v>0</v>
      </c>
      <c r="E96" s="2"/>
      <c r="F96" s="2">
        <f>D672</f>
        <v>0</v>
      </c>
    </row>
    <row r="97" spans="1:6" x14ac:dyDescent="0.2">
      <c r="A97" s="2">
        <v>9.4568971999999998E-3</v>
      </c>
      <c r="B97" s="2">
        <v>9.0202807999999995E-2</v>
      </c>
      <c r="C97" s="2">
        <v>0.17602072999999999</v>
      </c>
      <c r="D97" s="2">
        <v>2.2422974E-3</v>
      </c>
      <c r="E97" s="2"/>
      <c r="F97" s="2">
        <f>A701</f>
        <v>0</v>
      </c>
    </row>
    <row r="98" spans="1:6" x14ac:dyDescent="0.2">
      <c r="A98" s="2">
        <v>0</v>
      </c>
      <c r="B98" s="2">
        <v>0</v>
      </c>
      <c r="C98" s="2">
        <v>0</v>
      </c>
      <c r="D98" s="2">
        <v>0</v>
      </c>
      <c r="E98" s="2"/>
      <c r="F98" s="2">
        <f>B701</f>
        <v>6.7760169999999995E-2</v>
      </c>
    </row>
    <row r="99" spans="1:6" x14ac:dyDescent="0.2">
      <c r="A99" s="2">
        <v>0</v>
      </c>
      <c r="B99" s="2">
        <v>0</v>
      </c>
      <c r="C99" s="2">
        <v>2.4662602000000001E-3</v>
      </c>
      <c r="D99" s="2">
        <v>0</v>
      </c>
      <c r="E99" s="2"/>
      <c r="F99" s="2">
        <f>C701</f>
        <v>8.2974777999999996E-3</v>
      </c>
    </row>
    <row r="100" spans="1:6" x14ac:dyDescent="0.2">
      <c r="A100" s="2">
        <v>8.9706358999999992E-3</v>
      </c>
      <c r="B100" s="2">
        <v>1.2875806E-3</v>
      </c>
      <c r="C100" s="2">
        <v>0</v>
      </c>
      <c r="D100" s="2">
        <v>0</v>
      </c>
      <c r="E100" s="2"/>
      <c r="F100" s="2">
        <f>D701</f>
        <v>0</v>
      </c>
    </row>
    <row r="101" spans="1:6" x14ac:dyDescent="0.2">
      <c r="A101" s="2">
        <v>8.6683034999999998E-4</v>
      </c>
      <c r="B101" s="2">
        <v>1.4202484E-3</v>
      </c>
      <c r="C101" s="2">
        <v>0</v>
      </c>
      <c r="D101" s="2">
        <v>0</v>
      </c>
      <c r="E101" s="2"/>
      <c r="F101" s="2">
        <f>A730</f>
        <v>0</v>
      </c>
    </row>
    <row r="102" spans="1:6" x14ac:dyDescent="0.2">
      <c r="A102" s="2">
        <v>7.5125297999999998E-4</v>
      </c>
      <c r="B102" s="2">
        <v>2.7569527999999999E-3</v>
      </c>
      <c r="C102" s="2">
        <v>1.644997E-3</v>
      </c>
      <c r="D102" s="2">
        <v>0</v>
      </c>
      <c r="E102" s="2"/>
      <c r="F102" s="2">
        <f>B730</f>
        <v>0</v>
      </c>
    </row>
    <row r="103" spans="1:6" x14ac:dyDescent="0.2">
      <c r="A103" s="2">
        <v>1.3070052E-2</v>
      </c>
      <c r="B103" s="2">
        <v>3.0686403999999998E-3</v>
      </c>
      <c r="C103" s="2">
        <v>9.1677987999999998E-3</v>
      </c>
      <c r="D103" s="2">
        <v>0</v>
      </c>
      <c r="E103" s="2"/>
      <c r="F103" s="2">
        <f>C730</f>
        <v>0.17081205999999999</v>
      </c>
    </row>
    <row r="104" spans="1:6" x14ac:dyDescent="0.2">
      <c r="A104" s="2">
        <v>7.2611402999999998E-3</v>
      </c>
      <c r="B104" s="2">
        <v>1.0830496E-3</v>
      </c>
      <c r="C104" s="2">
        <v>0</v>
      </c>
      <c r="D104" s="2">
        <v>0</v>
      </c>
      <c r="E104" s="2"/>
      <c r="F104" s="2">
        <f>D730</f>
        <v>0.1034215</v>
      </c>
    </row>
    <row r="105" spans="1:6" x14ac:dyDescent="0.2">
      <c r="A105" s="2">
        <v>4.1492227E-3</v>
      </c>
      <c r="B105" s="2">
        <v>2.8881320999999999E-3</v>
      </c>
      <c r="C105" s="2">
        <v>0</v>
      </c>
      <c r="D105" s="2">
        <v>0</v>
      </c>
      <c r="E105" s="2"/>
      <c r="F105" s="2">
        <f>A759</f>
        <v>0</v>
      </c>
    </row>
    <row r="106" spans="1:6" x14ac:dyDescent="0.2">
      <c r="A106" s="2">
        <v>0</v>
      </c>
      <c r="B106" s="2">
        <v>0</v>
      </c>
      <c r="C106" s="2">
        <v>0</v>
      </c>
      <c r="D106" s="2">
        <v>0</v>
      </c>
      <c r="E106" s="2"/>
      <c r="F106" s="2">
        <f>B759</f>
        <v>9.1802485000000003E-2</v>
      </c>
    </row>
    <row r="107" spans="1:6" x14ac:dyDescent="0.2">
      <c r="A107" s="2">
        <v>7.7358126000000001E-3</v>
      </c>
      <c r="B107" s="2">
        <v>1.0078999E-2</v>
      </c>
      <c r="C107" s="2">
        <v>7.3995218000000003E-3</v>
      </c>
      <c r="D107" s="2">
        <v>2.3225405999999999E-3</v>
      </c>
      <c r="E107" s="2"/>
      <c r="F107" s="2">
        <f>C759</f>
        <v>0.17451631000000001</v>
      </c>
    </row>
    <row r="108" spans="1:6" x14ac:dyDescent="0.2">
      <c r="A108" s="2">
        <v>0.48180571</v>
      </c>
      <c r="B108" s="2">
        <v>0.34628174</v>
      </c>
      <c r="C108" s="2">
        <v>1.9757779E-2</v>
      </c>
      <c r="D108" s="2">
        <v>4.6450811999999998E-3</v>
      </c>
      <c r="E108" s="2"/>
      <c r="F108" s="2">
        <f>D759</f>
        <v>0.28928610999999999</v>
      </c>
    </row>
    <row r="109" spans="1:6" x14ac:dyDescent="0.2">
      <c r="A109" s="2">
        <v>0</v>
      </c>
      <c r="B109" s="2">
        <v>0</v>
      </c>
      <c r="C109" s="2">
        <v>4.5030392E-4</v>
      </c>
      <c r="D109" s="2">
        <v>0</v>
      </c>
      <c r="E109" s="2"/>
      <c r="F109" s="2">
        <f>A788</f>
        <v>0</v>
      </c>
    </row>
    <row r="110" spans="1:6" x14ac:dyDescent="0.2">
      <c r="A110" s="2">
        <v>6.2097990999999998E-3</v>
      </c>
      <c r="B110" s="2">
        <v>0</v>
      </c>
      <c r="C110" s="2">
        <v>8.7238208E-4</v>
      </c>
      <c r="D110" s="2">
        <v>0</v>
      </c>
      <c r="E110" s="2"/>
      <c r="F110" s="2">
        <f>B788</f>
        <v>5.5855513000000002E-2</v>
      </c>
    </row>
    <row r="111" spans="1:6" x14ac:dyDescent="0.2">
      <c r="A111" s="2">
        <v>0</v>
      </c>
      <c r="B111" s="2">
        <v>1.6587001E-3</v>
      </c>
      <c r="C111" s="2">
        <v>2.5746175000000001E-3</v>
      </c>
      <c r="D111" s="2">
        <v>6.6694165999999996E-5</v>
      </c>
      <c r="E111" s="2"/>
      <c r="F111" s="2">
        <f>C788</f>
        <v>0.11874263</v>
      </c>
    </row>
    <row r="112" spans="1:6" x14ac:dyDescent="0.2">
      <c r="A112" s="2">
        <v>5.1865284000000003E-3</v>
      </c>
      <c r="B112" s="2">
        <v>1.7148284E-2</v>
      </c>
      <c r="C112" s="2">
        <v>5.5276620999999996E-3</v>
      </c>
      <c r="D112" s="2">
        <v>8.9214182999999992E-3</v>
      </c>
      <c r="E112" s="2"/>
      <c r="F112" s="2">
        <f>D788</f>
        <v>0.21250182000000001</v>
      </c>
    </row>
    <row r="113" spans="1:6" x14ac:dyDescent="0.2">
      <c r="A113" s="2">
        <v>1.0987795E-2</v>
      </c>
      <c r="B113" s="2">
        <v>4.1818413999999996E-3</v>
      </c>
      <c r="C113" s="2">
        <v>0</v>
      </c>
      <c r="D113" s="2">
        <v>0</v>
      </c>
      <c r="E113" s="2"/>
      <c r="F113" s="2">
        <f>A817</f>
        <v>0</v>
      </c>
    </row>
    <row r="114" spans="1:6" x14ac:dyDescent="0.2">
      <c r="A114" s="2">
        <v>3.0152554000000002E-2</v>
      </c>
      <c r="B114" s="2">
        <v>6.9418568E-3</v>
      </c>
      <c r="C114" s="2">
        <v>1.0905869E-3</v>
      </c>
      <c r="D114" s="2">
        <v>0</v>
      </c>
      <c r="E114" s="2"/>
      <c r="F114" s="2">
        <f>B817</f>
        <v>5.6641134000000003E-3</v>
      </c>
    </row>
    <row r="115" spans="1:6" x14ac:dyDescent="0.2">
      <c r="A115" s="2">
        <v>4.7751984999999997E-2</v>
      </c>
      <c r="B115" s="2">
        <v>0.13540611</v>
      </c>
      <c r="C115" s="2">
        <v>0.16685979000000001</v>
      </c>
      <c r="D115" s="2">
        <v>4.4388515000000003E-3</v>
      </c>
      <c r="E115" s="2"/>
      <c r="F115" s="2">
        <f>C817</f>
        <v>6.7836895999999994E-2</v>
      </c>
    </row>
    <row r="116" spans="1:6" x14ac:dyDescent="0.2">
      <c r="A116" s="2">
        <v>0</v>
      </c>
      <c r="B116" s="2">
        <v>0</v>
      </c>
      <c r="C116" s="2">
        <v>0</v>
      </c>
      <c r="D116" s="2">
        <v>0</v>
      </c>
      <c r="E116" s="2"/>
      <c r="F116" s="2">
        <f>D817</f>
        <v>9.9313200000000004E-2</v>
      </c>
    </row>
    <row r="117" spans="1:6" x14ac:dyDescent="0.2">
      <c r="A117" s="1" t="s">
        <v>10</v>
      </c>
      <c r="F117" s="2">
        <f>A846</f>
        <v>0</v>
      </c>
    </row>
    <row r="118" spans="1:6" x14ac:dyDescent="0.2">
      <c r="A118" s="2">
        <v>322478.40999999997</v>
      </c>
      <c r="B118" s="2">
        <v>170726.78</v>
      </c>
      <c r="C118" s="2">
        <v>67332.672000000006</v>
      </c>
      <c r="D118" s="2">
        <v>8774.6034999999993</v>
      </c>
      <c r="E118" s="2"/>
      <c r="F118" s="2">
        <f>B846</f>
        <v>5.1309656000000002E-2</v>
      </c>
    </row>
    <row r="119" spans="1:6" x14ac:dyDescent="0.2">
      <c r="A119" s="2">
        <v>0.11220146</v>
      </c>
      <c r="B119" s="2">
        <v>0.32042401999999998</v>
      </c>
      <c r="C119" s="2">
        <v>0.72897886999999995</v>
      </c>
      <c r="D119" s="2">
        <v>1</v>
      </c>
      <c r="E119" s="2"/>
      <c r="F119" s="2">
        <f>C846</f>
        <v>0.16483943000000001</v>
      </c>
    </row>
    <row r="120" spans="1:6" x14ac:dyDescent="0.2">
      <c r="A120" s="2">
        <v>0.64003794999999997</v>
      </c>
      <c r="B120" s="2">
        <v>0.84935050999999995</v>
      </c>
      <c r="C120" s="2">
        <v>0.97289789000000004</v>
      </c>
      <c r="D120" s="2">
        <v>1</v>
      </c>
      <c r="E120" s="2"/>
      <c r="F120" s="2">
        <f>D846</f>
        <v>0.23775467</v>
      </c>
    </row>
    <row r="121" spans="1:6" x14ac:dyDescent="0.2">
      <c r="A121" s="2">
        <v>5.0401529999999997E-5</v>
      </c>
      <c r="B121" s="2">
        <v>0.10950219</v>
      </c>
      <c r="C121" s="2">
        <v>0.23253582</v>
      </c>
      <c r="D121" s="2">
        <v>0.30535140999999999</v>
      </c>
      <c r="E121" s="2"/>
      <c r="F121" s="2"/>
    </row>
    <row r="122" spans="1:6" x14ac:dyDescent="0.2">
      <c r="A122" s="2">
        <v>2.5014642999999999E-4</v>
      </c>
      <c r="B122" s="2">
        <v>5.7683802999999999E-2</v>
      </c>
      <c r="C122" s="2">
        <v>6.2164142999999998E-2</v>
      </c>
      <c r="D122" s="2">
        <v>7.9338737000000006E-2</v>
      </c>
      <c r="E122" s="2"/>
      <c r="F122" s="2"/>
    </row>
    <row r="123" spans="1:6" x14ac:dyDescent="0.2">
      <c r="A123" s="2">
        <v>2.9692715000000001E-3</v>
      </c>
      <c r="B123" s="2">
        <v>6.3950695000000002E-2</v>
      </c>
      <c r="C123" s="2">
        <v>5.3896524000000001E-2</v>
      </c>
      <c r="D123" s="2">
        <v>3.2127131000000003E-2</v>
      </c>
      <c r="E123" s="2"/>
      <c r="F123" s="2"/>
    </row>
    <row r="124" spans="1:6" x14ac:dyDescent="0.2">
      <c r="A124" s="2">
        <v>7.9732784000000002E-4</v>
      </c>
      <c r="B124" s="2">
        <v>4.9869998999999998E-2</v>
      </c>
      <c r="C124" s="2">
        <v>5.3066961000000003E-2</v>
      </c>
      <c r="D124" s="2">
        <v>2.4743200999999999E-2</v>
      </c>
      <c r="E124" s="2"/>
      <c r="F124" s="2"/>
    </row>
    <row r="125" spans="1:6" x14ac:dyDescent="0.2">
      <c r="A125" s="2">
        <v>0</v>
      </c>
      <c r="B125" s="2">
        <v>1.9781913000000001E-4</v>
      </c>
      <c r="C125" s="2">
        <v>0</v>
      </c>
      <c r="D125" s="2">
        <v>0</v>
      </c>
      <c r="E125" s="2"/>
      <c r="F125" s="2"/>
    </row>
    <row r="126" spans="1:6" x14ac:dyDescent="0.2">
      <c r="A126" s="2">
        <v>0</v>
      </c>
      <c r="B126" s="2">
        <v>3.7016065000000003E-4</v>
      </c>
      <c r="C126" s="2">
        <v>0</v>
      </c>
      <c r="D126" s="2">
        <v>0</v>
      </c>
      <c r="E126" s="2"/>
      <c r="F126" s="2"/>
    </row>
    <row r="127" spans="1:6" x14ac:dyDescent="0.2">
      <c r="A127" s="2">
        <v>3.2172127999999998E-4</v>
      </c>
      <c r="B127" s="2">
        <v>9.3645881999999993E-3</v>
      </c>
      <c r="C127" s="2">
        <v>2.8824491000000001E-2</v>
      </c>
      <c r="D127" s="2">
        <v>3.9062101000000002E-2</v>
      </c>
      <c r="E127" s="2"/>
      <c r="F127" s="2"/>
    </row>
    <row r="128" spans="1:6" x14ac:dyDescent="0.2">
      <c r="A128" s="2">
        <v>1.2594135E-4</v>
      </c>
      <c r="B128" s="2">
        <v>9.1015855000000003E-3</v>
      </c>
      <c r="C128" s="2">
        <v>3.1505736999999999E-2</v>
      </c>
      <c r="D128" s="2">
        <v>4.5572451999999999E-2</v>
      </c>
      <c r="E128" s="2"/>
      <c r="F128" s="2"/>
    </row>
    <row r="129" spans="1:6" x14ac:dyDescent="0.2">
      <c r="A129" s="2">
        <v>2.5045470999999998E-3</v>
      </c>
      <c r="B129" s="2">
        <v>3.3422303E-3</v>
      </c>
      <c r="C129" s="2">
        <v>1.5202768E-2</v>
      </c>
      <c r="D129" s="2">
        <v>7.4815493999999998E-3</v>
      </c>
      <c r="E129" s="2"/>
      <c r="F129" s="2"/>
    </row>
    <row r="130" spans="1:6" x14ac:dyDescent="0.2">
      <c r="A130" s="2">
        <v>1.2154174E-2</v>
      </c>
      <c r="B130" s="2">
        <v>4.7862417999999997E-2</v>
      </c>
      <c r="C130" s="2">
        <v>9.2204659999999994E-2</v>
      </c>
      <c r="D130" s="2">
        <v>0.15917497999999999</v>
      </c>
      <c r="E130" s="2"/>
      <c r="F130" s="2"/>
    </row>
    <row r="131" spans="1:6" x14ac:dyDescent="0.2">
      <c r="A131" s="2">
        <v>4.3562476999999997E-4</v>
      </c>
      <c r="B131" s="2">
        <v>1.72602E-3</v>
      </c>
      <c r="C131" s="2">
        <v>1.0113857000000001E-3</v>
      </c>
      <c r="D131" s="2">
        <v>0</v>
      </c>
      <c r="E131" s="2"/>
      <c r="F131" s="2"/>
    </row>
    <row r="132" spans="1:6" x14ac:dyDescent="0.2">
      <c r="A132" s="2">
        <v>1.3032425E-4</v>
      </c>
      <c r="B132" s="2">
        <v>4.3030405999999998E-4</v>
      </c>
      <c r="C132" s="2">
        <v>4.9533703999999996E-3</v>
      </c>
      <c r="D132" s="2">
        <v>0</v>
      </c>
      <c r="E132" s="2"/>
      <c r="F132" s="2"/>
    </row>
    <row r="133" spans="1:6" x14ac:dyDescent="0.2">
      <c r="A133" s="2">
        <v>3.0408992000000002E-4</v>
      </c>
      <c r="B133" s="2">
        <v>0</v>
      </c>
      <c r="C133" s="2">
        <v>1.5372528999999999E-3</v>
      </c>
      <c r="D133" s="2">
        <v>0</v>
      </c>
      <c r="E133" s="2"/>
      <c r="F133" s="2"/>
    </row>
    <row r="134" spans="1:6" x14ac:dyDescent="0.2">
      <c r="A134" s="2">
        <v>0</v>
      </c>
      <c r="B134" s="2">
        <v>0</v>
      </c>
      <c r="C134" s="2">
        <v>0</v>
      </c>
      <c r="D134" s="2">
        <v>0</v>
      </c>
      <c r="E134" s="2"/>
      <c r="F134" s="2"/>
    </row>
    <row r="135" spans="1:6" x14ac:dyDescent="0.2">
      <c r="A135" s="2">
        <v>0</v>
      </c>
      <c r="B135" s="2">
        <v>0</v>
      </c>
      <c r="C135" s="2">
        <v>0</v>
      </c>
      <c r="D135" s="2">
        <v>0</v>
      </c>
      <c r="E135" s="2"/>
      <c r="F135" s="2"/>
    </row>
    <row r="136" spans="1:6" x14ac:dyDescent="0.2">
      <c r="A136" s="2">
        <v>1.0243132000000001E-3</v>
      </c>
      <c r="B136" s="2">
        <v>1.5479445000000001E-3</v>
      </c>
      <c r="C136" s="2">
        <v>8.4248371000000006E-3</v>
      </c>
      <c r="D136" s="2">
        <v>4.4162814000000002E-2</v>
      </c>
      <c r="E136" s="2"/>
      <c r="F136" s="2"/>
    </row>
    <row r="137" spans="1:6" x14ac:dyDescent="0.2">
      <c r="A137" s="2">
        <v>0</v>
      </c>
      <c r="B137" s="2">
        <v>0</v>
      </c>
      <c r="C137" s="2">
        <v>5.0614919999999997E-4</v>
      </c>
      <c r="D137" s="2">
        <v>0</v>
      </c>
      <c r="E137" s="2"/>
      <c r="F137" s="2"/>
    </row>
    <row r="138" spans="1:6" x14ac:dyDescent="0.2">
      <c r="A138" s="2">
        <v>0</v>
      </c>
      <c r="B138" s="2">
        <v>5.1129427999999999E-3</v>
      </c>
      <c r="C138" s="2">
        <v>1.0064193000000001E-2</v>
      </c>
      <c r="D138" s="2">
        <v>9.6373372000000002E-3</v>
      </c>
      <c r="E138" s="2"/>
      <c r="F138" s="2"/>
    </row>
    <row r="139" spans="1:6" x14ac:dyDescent="0.2">
      <c r="A139" s="2">
        <v>0</v>
      </c>
      <c r="B139" s="2">
        <v>6.6816765999999997E-4</v>
      </c>
      <c r="C139" s="2">
        <v>7.3299051000000001E-4</v>
      </c>
      <c r="D139" s="2">
        <v>0</v>
      </c>
      <c r="E139" s="2"/>
      <c r="F139" s="2"/>
    </row>
    <row r="140" spans="1:6" x14ac:dyDescent="0.2">
      <c r="A140" s="2">
        <v>0</v>
      </c>
      <c r="B140" s="2">
        <v>0</v>
      </c>
      <c r="C140" s="2">
        <v>0</v>
      </c>
      <c r="D140" s="2">
        <v>0</v>
      </c>
      <c r="E140" s="2"/>
      <c r="F140" s="2"/>
    </row>
    <row r="141" spans="1:6" x14ac:dyDescent="0.2">
      <c r="A141" s="2">
        <v>0</v>
      </c>
      <c r="B141" s="2">
        <v>0</v>
      </c>
      <c r="C141" s="2">
        <v>0</v>
      </c>
      <c r="D141" s="2">
        <v>0</v>
      </c>
      <c r="E141" s="2"/>
      <c r="F141" s="2"/>
    </row>
    <row r="142" spans="1:6" x14ac:dyDescent="0.2">
      <c r="A142" s="2">
        <v>0</v>
      </c>
      <c r="B142" s="2">
        <v>0</v>
      </c>
      <c r="C142" s="2">
        <v>5.1314476999999995E-4</v>
      </c>
      <c r="D142" s="2">
        <v>0</v>
      </c>
      <c r="E142" s="2"/>
      <c r="F142" s="2"/>
    </row>
    <row r="143" spans="1:6" x14ac:dyDescent="0.2">
      <c r="A143" s="2">
        <v>0</v>
      </c>
      <c r="B143" s="2">
        <v>0</v>
      </c>
      <c r="C143" s="2">
        <v>0</v>
      </c>
      <c r="D143" s="2">
        <v>0</v>
      </c>
      <c r="E143" s="2"/>
      <c r="F143" s="2"/>
    </row>
    <row r="144" spans="1:6" x14ac:dyDescent="0.2">
      <c r="A144" s="2">
        <v>6.3130452000000005E-4</v>
      </c>
      <c r="B144" s="2">
        <v>2.3690818000000002E-3</v>
      </c>
      <c r="C144" s="2">
        <v>1.5394343E-3</v>
      </c>
      <c r="D144" s="2">
        <v>7.5429915000000004E-3</v>
      </c>
      <c r="E144" s="2"/>
      <c r="F144" s="2"/>
    </row>
    <row r="145" spans="1:6" x14ac:dyDescent="0.2">
      <c r="A145" s="2">
        <v>0.17680249000000001</v>
      </c>
      <c r="B145" s="2">
        <v>5.2900641999999998E-2</v>
      </c>
      <c r="C145" s="2">
        <v>7.3647833999999995E-2</v>
      </c>
      <c r="D145" s="2">
        <v>0.11117624</v>
      </c>
      <c r="E145" s="2"/>
      <c r="F145" s="2"/>
    </row>
    <row r="146" spans="1:6" x14ac:dyDescent="0.2">
      <c r="A146" s="1" t="s">
        <v>11</v>
      </c>
    </row>
    <row r="147" spans="1:6" x14ac:dyDescent="0.2">
      <c r="A147" s="2">
        <v>450904.56</v>
      </c>
      <c r="B147" s="2">
        <v>239026.03</v>
      </c>
      <c r="C147" s="2">
        <v>94480.281000000003</v>
      </c>
      <c r="D147" s="2">
        <v>12339.579</v>
      </c>
      <c r="E147" s="2"/>
      <c r="F147" s="2"/>
    </row>
    <row r="148" spans="1:6" x14ac:dyDescent="0.2">
      <c r="A148" s="2">
        <v>0.11220146</v>
      </c>
      <c r="B148" s="2">
        <v>0.32042401999999998</v>
      </c>
      <c r="C148" s="2">
        <v>0.72897886999999995</v>
      </c>
      <c r="D148" s="2">
        <v>1</v>
      </c>
      <c r="E148" s="2"/>
      <c r="F148" s="2"/>
    </row>
    <row r="149" spans="1:6" x14ac:dyDescent="0.2">
      <c r="A149" s="2">
        <v>0.64003794999999997</v>
      </c>
      <c r="B149" s="2">
        <v>0.84935050999999995</v>
      </c>
      <c r="C149" s="2">
        <v>0.97289789000000004</v>
      </c>
      <c r="D149" s="2">
        <v>1</v>
      </c>
      <c r="E149" s="2"/>
      <c r="F149" s="2"/>
    </row>
    <row r="150" spans="1:6" x14ac:dyDescent="0.2">
      <c r="A150" s="2">
        <v>5.0401529999999997E-5</v>
      </c>
      <c r="B150" s="2">
        <v>0.10950219</v>
      </c>
      <c r="C150" s="2">
        <v>0.23253582</v>
      </c>
      <c r="D150" s="2">
        <v>0.30535140999999999</v>
      </c>
      <c r="E150" s="2"/>
      <c r="F150" s="2"/>
    </row>
    <row r="151" spans="1:6" x14ac:dyDescent="0.2">
      <c r="A151" s="2">
        <v>2.5014642999999999E-4</v>
      </c>
      <c r="B151" s="2">
        <v>5.7683802999999999E-2</v>
      </c>
      <c r="C151" s="2">
        <v>6.2164142999999998E-2</v>
      </c>
      <c r="D151" s="2">
        <v>7.9338737000000006E-2</v>
      </c>
      <c r="E151" s="2"/>
      <c r="F151" s="2"/>
    </row>
    <row r="152" spans="1:6" x14ac:dyDescent="0.2">
      <c r="A152" s="2">
        <v>2.9692715000000001E-3</v>
      </c>
      <c r="B152" s="2">
        <v>6.3950695000000002E-2</v>
      </c>
      <c r="C152" s="2">
        <v>5.3896524000000001E-2</v>
      </c>
      <c r="D152" s="2">
        <v>3.2127131000000003E-2</v>
      </c>
      <c r="E152" s="2"/>
      <c r="F152" s="2"/>
    </row>
    <row r="153" spans="1:6" x14ac:dyDescent="0.2">
      <c r="A153" s="2">
        <v>7.9732784000000002E-4</v>
      </c>
      <c r="B153" s="2">
        <v>4.9869998999999998E-2</v>
      </c>
      <c r="C153" s="2">
        <v>5.3066961000000003E-2</v>
      </c>
      <c r="D153" s="2">
        <v>2.4743200999999999E-2</v>
      </c>
      <c r="E153" s="2"/>
      <c r="F153" s="2"/>
    </row>
    <row r="154" spans="1:6" x14ac:dyDescent="0.2">
      <c r="A154" s="2">
        <v>0</v>
      </c>
      <c r="B154" s="2">
        <v>1.9781913000000001E-4</v>
      </c>
      <c r="C154" s="2">
        <v>0</v>
      </c>
      <c r="D154" s="2">
        <v>0</v>
      </c>
      <c r="E154" s="2"/>
      <c r="F154" s="2"/>
    </row>
    <row r="155" spans="1:6" x14ac:dyDescent="0.2">
      <c r="A155" s="2">
        <v>0</v>
      </c>
      <c r="B155" s="2">
        <v>3.7016065000000003E-4</v>
      </c>
      <c r="C155" s="2">
        <v>0</v>
      </c>
      <c r="D155" s="2">
        <v>0</v>
      </c>
      <c r="E155" s="2"/>
      <c r="F155" s="2"/>
    </row>
    <row r="156" spans="1:6" x14ac:dyDescent="0.2">
      <c r="A156" s="2">
        <v>3.2172127999999998E-4</v>
      </c>
      <c r="B156" s="2">
        <v>9.3645881999999993E-3</v>
      </c>
      <c r="C156" s="2">
        <v>2.8824491000000001E-2</v>
      </c>
      <c r="D156" s="2">
        <v>3.9062101000000002E-2</v>
      </c>
      <c r="E156" s="2"/>
      <c r="F156" s="2"/>
    </row>
    <row r="157" spans="1:6" x14ac:dyDescent="0.2">
      <c r="A157" s="2">
        <v>1.2594135E-4</v>
      </c>
      <c r="B157" s="2">
        <v>9.1015855000000003E-3</v>
      </c>
      <c r="C157" s="2">
        <v>3.1505736999999999E-2</v>
      </c>
      <c r="D157" s="2">
        <v>4.5572451999999999E-2</v>
      </c>
      <c r="E157" s="2"/>
      <c r="F157" s="2"/>
    </row>
    <row r="158" spans="1:6" x14ac:dyDescent="0.2">
      <c r="A158" s="2">
        <v>2.5045470999999998E-3</v>
      </c>
      <c r="B158" s="2">
        <v>3.3422303E-3</v>
      </c>
      <c r="C158" s="2">
        <v>1.5202768E-2</v>
      </c>
      <c r="D158" s="2">
        <v>7.4815493999999998E-3</v>
      </c>
      <c r="E158" s="2"/>
      <c r="F158" s="2"/>
    </row>
    <row r="159" spans="1:6" x14ac:dyDescent="0.2">
      <c r="A159" s="2">
        <v>1.2154174E-2</v>
      </c>
      <c r="B159" s="2">
        <v>4.7862417999999997E-2</v>
      </c>
      <c r="C159" s="2">
        <v>9.2204659999999994E-2</v>
      </c>
      <c r="D159" s="2">
        <v>0.15917497999999999</v>
      </c>
      <c r="E159" s="2"/>
      <c r="F159" s="2"/>
    </row>
    <row r="160" spans="1:6" x14ac:dyDescent="0.2">
      <c r="A160" s="2">
        <v>4.3562476999999997E-4</v>
      </c>
      <c r="B160" s="2">
        <v>1.72602E-3</v>
      </c>
      <c r="C160" s="2">
        <v>1.0113857000000001E-3</v>
      </c>
      <c r="D160" s="2">
        <v>0</v>
      </c>
      <c r="E160" s="2"/>
      <c r="F160" s="2"/>
    </row>
    <row r="161" spans="1:6" x14ac:dyDescent="0.2">
      <c r="A161" s="2">
        <v>1.3032425E-4</v>
      </c>
      <c r="B161" s="2">
        <v>4.3030405999999998E-4</v>
      </c>
      <c r="C161" s="2">
        <v>4.9533703999999996E-3</v>
      </c>
      <c r="D161" s="2">
        <v>0</v>
      </c>
      <c r="E161" s="2"/>
      <c r="F161" s="2"/>
    </row>
    <row r="162" spans="1:6" x14ac:dyDescent="0.2">
      <c r="A162" s="2">
        <v>3.0408992000000002E-4</v>
      </c>
      <c r="B162" s="2">
        <v>0</v>
      </c>
      <c r="C162" s="2">
        <v>1.5372528999999999E-3</v>
      </c>
      <c r="D162" s="2">
        <v>0</v>
      </c>
      <c r="E162" s="2"/>
      <c r="F162" s="2"/>
    </row>
    <row r="163" spans="1:6" x14ac:dyDescent="0.2">
      <c r="A163" s="2">
        <v>0</v>
      </c>
      <c r="B163" s="2">
        <v>0</v>
      </c>
      <c r="C163" s="2">
        <v>0</v>
      </c>
      <c r="D163" s="2">
        <v>0</v>
      </c>
      <c r="E163" s="2"/>
      <c r="F163" s="2"/>
    </row>
    <row r="164" spans="1:6" x14ac:dyDescent="0.2">
      <c r="A164" s="2">
        <v>0</v>
      </c>
      <c r="B164" s="2">
        <v>0</v>
      </c>
      <c r="C164" s="2">
        <v>0</v>
      </c>
      <c r="D164" s="2">
        <v>0</v>
      </c>
      <c r="E164" s="2"/>
      <c r="F164" s="2"/>
    </row>
    <row r="165" spans="1:6" x14ac:dyDescent="0.2">
      <c r="A165" s="2">
        <v>1.0243132000000001E-3</v>
      </c>
      <c r="B165" s="2">
        <v>1.5479445000000001E-3</v>
      </c>
      <c r="C165" s="2">
        <v>8.4248371000000006E-3</v>
      </c>
      <c r="D165" s="2">
        <v>4.4162814000000002E-2</v>
      </c>
      <c r="E165" s="2"/>
      <c r="F165" s="2"/>
    </row>
    <row r="166" spans="1:6" x14ac:dyDescent="0.2">
      <c r="A166" s="2">
        <v>0</v>
      </c>
      <c r="B166" s="2">
        <v>0</v>
      </c>
      <c r="C166" s="2">
        <v>5.0614919999999997E-4</v>
      </c>
      <c r="D166" s="2">
        <v>0</v>
      </c>
      <c r="E166" s="2"/>
      <c r="F166" s="2"/>
    </row>
    <row r="167" spans="1:6" x14ac:dyDescent="0.2">
      <c r="A167" s="2">
        <v>0</v>
      </c>
      <c r="B167" s="2">
        <v>5.1129427999999999E-3</v>
      </c>
      <c r="C167" s="2">
        <v>1.0064193000000001E-2</v>
      </c>
      <c r="D167" s="2">
        <v>9.6373372000000002E-3</v>
      </c>
      <c r="E167" s="2"/>
      <c r="F167" s="2"/>
    </row>
    <row r="168" spans="1:6" x14ac:dyDescent="0.2">
      <c r="A168" s="2">
        <v>0</v>
      </c>
      <c r="B168" s="2">
        <v>6.6816765999999997E-4</v>
      </c>
      <c r="C168" s="2">
        <v>7.3299051000000001E-4</v>
      </c>
      <c r="D168" s="2">
        <v>0</v>
      </c>
      <c r="E168" s="2"/>
      <c r="F168" s="2"/>
    </row>
    <row r="169" spans="1:6" x14ac:dyDescent="0.2">
      <c r="A169" s="2">
        <v>0</v>
      </c>
      <c r="B169" s="2">
        <v>0</v>
      </c>
      <c r="C169" s="2">
        <v>0</v>
      </c>
      <c r="D169" s="2">
        <v>0</v>
      </c>
      <c r="E169" s="2"/>
      <c r="F169" s="2"/>
    </row>
    <row r="170" spans="1:6" x14ac:dyDescent="0.2">
      <c r="A170" s="2">
        <v>0</v>
      </c>
      <c r="B170" s="2">
        <v>0</v>
      </c>
      <c r="C170" s="2">
        <v>0</v>
      </c>
      <c r="D170" s="2">
        <v>0</v>
      </c>
      <c r="E170" s="2"/>
      <c r="F170" s="2"/>
    </row>
    <row r="171" spans="1:6" x14ac:dyDescent="0.2">
      <c r="A171" s="2">
        <v>0</v>
      </c>
      <c r="B171" s="2">
        <v>0</v>
      </c>
      <c r="C171" s="2">
        <v>5.1314476999999995E-4</v>
      </c>
      <c r="D171" s="2">
        <v>0</v>
      </c>
      <c r="E171" s="2"/>
      <c r="F171" s="2"/>
    </row>
    <row r="172" spans="1:6" x14ac:dyDescent="0.2">
      <c r="A172" s="2">
        <v>0</v>
      </c>
      <c r="B172" s="2">
        <v>0</v>
      </c>
      <c r="C172" s="2">
        <v>0</v>
      </c>
      <c r="D172" s="2">
        <v>0</v>
      </c>
      <c r="E172" s="2"/>
      <c r="F172" s="2"/>
    </row>
    <row r="173" spans="1:6" x14ac:dyDescent="0.2">
      <c r="A173" s="2">
        <v>6.3130452000000005E-4</v>
      </c>
      <c r="B173" s="2">
        <v>2.3690818000000002E-3</v>
      </c>
      <c r="C173" s="2">
        <v>1.5394343E-3</v>
      </c>
      <c r="D173" s="2">
        <v>7.5429915000000004E-3</v>
      </c>
      <c r="E173" s="2"/>
      <c r="F173" s="2"/>
    </row>
    <row r="174" spans="1:6" x14ac:dyDescent="0.2">
      <c r="A174" s="2">
        <v>0.17680249000000001</v>
      </c>
      <c r="B174" s="2">
        <v>5.2900641999999998E-2</v>
      </c>
      <c r="C174" s="2">
        <v>7.3647833999999995E-2</v>
      </c>
      <c r="D174" s="2">
        <v>0.11117624</v>
      </c>
      <c r="E174" s="2"/>
      <c r="F174" s="2"/>
    </row>
    <row r="175" spans="1:6" x14ac:dyDescent="0.2">
      <c r="A175" s="1" t="s">
        <v>12</v>
      </c>
    </row>
    <row r="176" spans="1:6" x14ac:dyDescent="0.2">
      <c r="A176" s="2">
        <v>170444.52</v>
      </c>
      <c r="B176" s="2">
        <v>97575.383000000002</v>
      </c>
      <c r="C176" s="2">
        <v>53597.612999999998</v>
      </c>
      <c r="D176" s="2">
        <v>24819.905999999999</v>
      </c>
      <c r="E176" s="2"/>
      <c r="F176" s="2"/>
    </row>
    <row r="177" spans="1:6" x14ac:dyDescent="0.2">
      <c r="A177" s="2">
        <v>4.3800939000000001E-4</v>
      </c>
      <c r="B177" s="2">
        <v>9.5383674000000009E-3</v>
      </c>
      <c r="C177" s="2">
        <v>0.24588445</v>
      </c>
      <c r="D177" s="2">
        <v>1</v>
      </c>
      <c r="E177" s="2"/>
      <c r="F177" s="2"/>
    </row>
    <row r="178" spans="1:6" x14ac:dyDescent="0.2">
      <c r="A178" s="2">
        <v>0.51971816999999998</v>
      </c>
      <c r="B178" s="2">
        <v>0.74215388000000004</v>
      </c>
      <c r="C178" s="2">
        <v>0.92458843999999996</v>
      </c>
      <c r="D178" s="2">
        <v>1</v>
      </c>
      <c r="E178" s="2"/>
      <c r="F178" s="2"/>
    </row>
    <row r="179" spans="1:6" x14ac:dyDescent="0.2">
      <c r="A179" s="2">
        <v>0</v>
      </c>
      <c r="B179" s="2">
        <v>1.2159311000000001E-2</v>
      </c>
      <c r="C179" s="2">
        <v>0.12598978999999999</v>
      </c>
      <c r="D179" s="2">
        <v>0.17268696</v>
      </c>
      <c r="E179" s="2"/>
      <c r="F179" s="2"/>
    </row>
    <row r="180" spans="1:6" x14ac:dyDescent="0.2">
      <c r="A180" s="2">
        <v>0</v>
      </c>
      <c r="B180" s="2">
        <v>0.10310859</v>
      </c>
      <c r="C180" s="2">
        <v>6.0699402999999999E-2</v>
      </c>
      <c r="D180" s="2">
        <v>8.3247520000000005E-2</v>
      </c>
      <c r="E180" s="2"/>
      <c r="F180" s="2"/>
    </row>
    <row r="181" spans="1:6" x14ac:dyDescent="0.2">
      <c r="A181" s="2">
        <v>1.0120629000000001E-3</v>
      </c>
      <c r="B181" s="2">
        <v>2.1458929000000002E-2</v>
      </c>
      <c r="C181" s="2">
        <v>7.8427777000000004E-2</v>
      </c>
      <c r="D181" s="2">
        <v>8.8487700000000002E-2</v>
      </c>
      <c r="E181" s="2"/>
      <c r="F181" s="2"/>
    </row>
    <row r="182" spans="1:6" x14ac:dyDescent="0.2">
      <c r="A182" s="2">
        <v>0</v>
      </c>
      <c r="B182" s="2">
        <v>0</v>
      </c>
      <c r="C182" s="2">
        <v>2.1805204000000002E-3</v>
      </c>
      <c r="D182" s="2">
        <v>9.2506538999999992E-3</v>
      </c>
      <c r="E182" s="2"/>
      <c r="F182" s="2"/>
    </row>
    <row r="183" spans="1:6" x14ac:dyDescent="0.2">
      <c r="A183" s="2">
        <v>0</v>
      </c>
      <c r="B183" s="2">
        <v>0</v>
      </c>
      <c r="C183" s="2">
        <v>0</v>
      </c>
      <c r="D183" s="2">
        <v>0</v>
      </c>
      <c r="E183" s="2"/>
      <c r="F183" s="2"/>
    </row>
    <row r="184" spans="1:6" x14ac:dyDescent="0.2">
      <c r="A184" s="2">
        <v>3.2880735E-3</v>
      </c>
      <c r="B184" s="2">
        <v>8.0026825999999999E-3</v>
      </c>
      <c r="C184" s="2">
        <v>2.0091096E-3</v>
      </c>
      <c r="D184" s="2">
        <v>0</v>
      </c>
      <c r="E184" s="2"/>
      <c r="F184" s="2"/>
    </row>
    <row r="185" spans="1:6" x14ac:dyDescent="0.2">
      <c r="A185" s="2">
        <v>0</v>
      </c>
      <c r="B185" s="2">
        <v>1.807924E-2</v>
      </c>
      <c r="C185" s="2">
        <v>8.8574067000000006E-2</v>
      </c>
      <c r="D185" s="2">
        <v>1.7429192999999999E-2</v>
      </c>
      <c r="E185" s="2"/>
      <c r="F185" s="2"/>
    </row>
    <row r="186" spans="1:6" x14ac:dyDescent="0.2">
      <c r="A186" s="2">
        <v>6.5849315999999998E-3</v>
      </c>
      <c r="B186" s="2">
        <v>3.6235124E-2</v>
      </c>
      <c r="C186" s="2">
        <v>6.4107731000000001E-2</v>
      </c>
      <c r="D186" s="2">
        <v>7.1895427999999997E-2</v>
      </c>
      <c r="E186" s="2"/>
      <c r="F186" s="2"/>
    </row>
    <row r="187" spans="1:6" x14ac:dyDescent="0.2">
      <c r="A187" s="2">
        <v>5.1121651999999997E-2</v>
      </c>
      <c r="B187" s="2">
        <v>4.1850249999999999E-2</v>
      </c>
      <c r="C187" s="2">
        <v>0.12548941</v>
      </c>
      <c r="D187" s="2">
        <v>9.8581418000000004E-2</v>
      </c>
      <c r="E187" s="2"/>
      <c r="F187" s="2"/>
    </row>
    <row r="188" spans="1:6" x14ac:dyDescent="0.2">
      <c r="A188" s="2">
        <v>0</v>
      </c>
      <c r="B188" s="2">
        <v>0</v>
      </c>
      <c r="C188" s="2">
        <v>0</v>
      </c>
      <c r="D188" s="2">
        <v>1.0966722999999999E-2</v>
      </c>
      <c r="E188" s="2"/>
      <c r="F188" s="2"/>
    </row>
    <row r="189" spans="1:6" x14ac:dyDescent="0.2">
      <c r="A189" s="2">
        <v>0</v>
      </c>
      <c r="B189" s="2">
        <v>6.3149584000000004E-4</v>
      </c>
      <c r="C189" s="2">
        <v>0</v>
      </c>
      <c r="D189" s="2">
        <v>0</v>
      </c>
      <c r="E189" s="2"/>
      <c r="F189" s="2"/>
    </row>
    <row r="190" spans="1:6" x14ac:dyDescent="0.2">
      <c r="A190" s="2">
        <v>0</v>
      </c>
      <c r="B190" s="2">
        <v>0</v>
      </c>
      <c r="C190" s="2">
        <v>0</v>
      </c>
      <c r="D190" s="2">
        <v>0</v>
      </c>
      <c r="E190" s="2"/>
      <c r="F190" s="2"/>
    </row>
    <row r="191" spans="1:6" x14ac:dyDescent="0.2">
      <c r="A191" s="2">
        <v>0</v>
      </c>
      <c r="B191" s="2">
        <v>0</v>
      </c>
      <c r="C191" s="2">
        <v>0</v>
      </c>
      <c r="D191" s="2">
        <v>0</v>
      </c>
      <c r="E191" s="2"/>
      <c r="F191" s="2"/>
    </row>
    <row r="192" spans="1:6" x14ac:dyDescent="0.2">
      <c r="A192" s="2">
        <v>0</v>
      </c>
      <c r="B192" s="2">
        <v>0</v>
      </c>
      <c r="C192" s="2">
        <v>0</v>
      </c>
      <c r="D192" s="2">
        <v>0</v>
      </c>
      <c r="E192" s="2"/>
      <c r="F192" s="2"/>
    </row>
    <row r="193" spans="1:6" x14ac:dyDescent="0.2">
      <c r="A193" s="2">
        <v>0</v>
      </c>
      <c r="B193" s="2">
        <v>0</v>
      </c>
      <c r="C193" s="2">
        <v>0</v>
      </c>
      <c r="D193" s="2">
        <v>0</v>
      </c>
      <c r="E193" s="2"/>
      <c r="F193" s="2"/>
    </row>
    <row r="194" spans="1:6" x14ac:dyDescent="0.2">
      <c r="A194" s="2">
        <v>9.3413247000000005E-3</v>
      </c>
      <c r="B194" s="2">
        <v>9.2831123999999998E-3</v>
      </c>
      <c r="C194" s="2">
        <v>0.19844855</v>
      </c>
      <c r="D194" s="2">
        <v>0.18049024</v>
      </c>
      <c r="E194" s="2"/>
      <c r="F194" s="2"/>
    </row>
    <row r="195" spans="1:6" x14ac:dyDescent="0.2">
      <c r="A195" s="2">
        <v>0</v>
      </c>
      <c r="B195" s="2">
        <v>0</v>
      </c>
      <c r="C195" s="2">
        <v>0</v>
      </c>
      <c r="D195" s="2">
        <v>0</v>
      </c>
      <c r="E195" s="2"/>
      <c r="F195" s="2"/>
    </row>
    <row r="196" spans="1:6" x14ac:dyDescent="0.2">
      <c r="A196" s="2">
        <v>0</v>
      </c>
      <c r="B196" s="2">
        <v>5.0663794000000003E-3</v>
      </c>
      <c r="C196" s="2">
        <v>2.4886874E-2</v>
      </c>
      <c r="D196" s="2">
        <v>2.6738627000000001E-2</v>
      </c>
      <c r="E196" s="2"/>
      <c r="F196" s="2"/>
    </row>
    <row r="197" spans="1:6" x14ac:dyDescent="0.2">
      <c r="A197" s="2">
        <v>6.3504614000000001E-2</v>
      </c>
      <c r="B197" s="2">
        <v>7.9449927000000004E-3</v>
      </c>
      <c r="C197" s="2">
        <v>7.0311795E-3</v>
      </c>
      <c r="D197" s="2">
        <v>4.1972067000000002E-2</v>
      </c>
      <c r="E197" s="2"/>
      <c r="F197" s="2"/>
    </row>
    <row r="198" spans="1:6" x14ac:dyDescent="0.2">
      <c r="A198" s="2">
        <v>0</v>
      </c>
      <c r="B198" s="2">
        <v>0</v>
      </c>
      <c r="C198" s="2">
        <v>3.005724E-5</v>
      </c>
      <c r="D198" s="2">
        <v>1.3276510999999999E-4</v>
      </c>
      <c r="E198" s="2"/>
      <c r="F198" s="2"/>
    </row>
    <row r="199" spans="1:6" x14ac:dyDescent="0.2">
      <c r="A199" s="2">
        <v>0</v>
      </c>
      <c r="B199" s="2">
        <v>0</v>
      </c>
      <c r="C199" s="2">
        <v>0</v>
      </c>
      <c r="D199" s="2">
        <v>0</v>
      </c>
      <c r="E199" s="2"/>
      <c r="F199" s="2"/>
    </row>
    <row r="200" spans="1:6" x14ac:dyDescent="0.2">
      <c r="A200" s="2">
        <v>0</v>
      </c>
      <c r="B200" s="2">
        <v>0</v>
      </c>
      <c r="C200" s="2">
        <v>0</v>
      </c>
      <c r="D200" s="2">
        <v>0</v>
      </c>
      <c r="E200" s="2"/>
      <c r="F200" s="2"/>
    </row>
    <row r="201" spans="1:6" x14ac:dyDescent="0.2">
      <c r="A201" s="2">
        <v>0</v>
      </c>
      <c r="B201" s="2">
        <v>0</v>
      </c>
      <c r="C201" s="2">
        <v>0</v>
      </c>
      <c r="D201" s="2">
        <v>0</v>
      </c>
      <c r="E201" s="2"/>
      <c r="F201" s="2"/>
    </row>
    <row r="202" spans="1:6" x14ac:dyDescent="0.2">
      <c r="A202" s="2">
        <v>5.9381998000000002E-3</v>
      </c>
      <c r="B202" s="2">
        <v>9.7030289000000006E-3</v>
      </c>
      <c r="C202" s="2">
        <v>3.3652588999999997E-2</v>
      </c>
      <c r="D202" s="2">
        <v>6.4062632999999994E-2</v>
      </c>
      <c r="E202" s="2"/>
      <c r="F202" s="2"/>
    </row>
    <row r="203" spans="1:6" x14ac:dyDescent="0.2">
      <c r="A203" s="2">
        <v>0</v>
      </c>
      <c r="B203" s="2">
        <v>0</v>
      </c>
      <c r="C203" s="2">
        <v>0</v>
      </c>
      <c r="D203" s="2">
        <v>0</v>
      </c>
      <c r="E203" s="2"/>
      <c r="F203" s="2"/>
    </row>
    <row r="204" spans="1:6" x14ac:dyDescent="0.2">
      <c r="A204" s="1" t="s">
        <v>13</v>
      </c>
    </row>
    <row r="205" spans="1:6" x14ac:dyDescent="0.2">
      <c r="A205" s="2">
        <v>381127.91</v>
      </c>
      <c r="B205" s="2">
        <v>165315.75</v>
      </c>
      <c r="C205" s="2">
        <v>25968.107</v>
      </c>
      <c r="D205" s="2">
        <v>887.95959000000005</v>
      </c>
      <c r="E205" s="2"/>
      <c r="F205" s="2"/>
    </row>
    <row r="206" spans="1:6" x14ac:dyDescent="0.2">
      <c r="A206" s="2">
        <v>3.7127978999999998E-2</v>
      </c>
      <c r="B206" s="2">
        <v>0.22511911000000001</v>
      </c>
      <c r="C206" s="2">
        <v>0.92081594</v>
      </c>
      <c r="D206" s="2">
        <v>1</v>
      </c>
      <c r="E206" s="2"/>
      <c r="F206" s="2"/>
    </row>
    <row r="207" spans="1:6" x14ac:dyDescent="0.2">
      <c r="A207" s="2">
        <v>0.60337430000000003</v>
      </c>
      <c r="B207" s="2">
        <v>0.84011513000000004</v>
      </c>
      <c r="C207" s="2">
        <v>0.99208158000000002</v>
      </c>
      <c r="D207" s="2">
        <v>1</v>
      </c>
      <c r="E207" s="2"/>
      <c r="F207" s="2"/>
    </row>
    <row r="208" spans="1:6" x14ac:dyDescent="0.2">
      <c r="A208" s="2">
        <v>0</v>
      </c>
      <c r="B208" s="2">
        <v>8.3641884999999996E-3</v>
      </c>
      <c r="C208" s="2">
        <v>2.9252581E-2</v>
      </c>
      <c r="D208" s="2">
        <v>7.0079937999999994E-2</v>
      </c>
      <c r="E208" s="2"/>
      <c r="F208" s="2"/>
    </row>
    <row r="209" spans="1:6" x14ac:dyDescent="0.2">
      <c r="A209" s="2">
        <v>6.3165580000000001E-4</v>
      </c>
      <c r="B209" s="2">
        <v>4.2134665000000002E-2</v>
      </c>
      <c r="C209" s="2">
        <v>2.7141957000000001E-2</v>
      </c>
      <c r="D209" s="2">
        <v>0.16756646</v>
      </c>
      <c r="E209" s="2"/>
      <c r="F209" s="2"/>
    </row>
    <row r="210" spans="1:6" x14ac:dyDescent="0.2">
      <c r="A210" s="2">
        <v>3.1770504E-4</v>
      </c>
      <c r="B210" s="2">
        <v>8.8665522999999996E-2</v>
      </c>
      <c r="C210" s="2">
        <v>5.4878544000000001E-2</v>
      </c>
      <c r="D210" s="2">
        <v>4.2273957000000001E-2</v>
      </c>
      <c r="E210" s="2"/>
      <c r="F210" s="2"/>
    </row>
    <row r="211" spans="1:6" x14ac:dyDescent="0.2">
      <c r="A211" s="2">
        <v>9.4376626999999997E-4</v>
      </c>
      <c r="B211" s="2">
        <v>2.9412631000000002E-2</v>
      </c>
      <c r="C211" s="2">
        <v>2.3486692E-2</v>
      </c>
      <c r="D211" s="2">
        <v>0</v>
      </c>
      <c r="E211" s="2"/>
      <c r="F211" s="2"/>
    </row>
    <row r="212" spans="1:6" x14ac:dyDescent="0.2">
      <c r="A212" s="2">
        <v>0</v>
      </c>
      <c r="B212" s="2">
        <v>0</v>
      </c>
      <c r="C212" s="2">
        <v>0</v>
      </c>
      <c r="D212" s="2">
        <v>0</v>
      </c>
      <c r="E212" s="2"/>
      <c r="F212" s="2"/>
    </row>
    <row r="213" spans="1:6" x14ac:dyDescent="0.2">
      <c r="A213" s="2">
        <v>5.9178688E-2</v>
      </c>
      <c r="B213" s="2">
        <v>0.18421011000000001</v>
      </c>
      <c r="C213" s="2">
        <v>9.1714084000000001E-2</v>
      </c>
      <c r="D213" s="2">
        <v>9.8270513000000004E-2</v>
      </c>
      <c r="E213" s="2"/>
      <c r="F213" s="2"/>
    </row>
    <row r="214" spans="1:6" x14ac:dyDescent="0.2">
      <c r="A214" s="2">
        <v>0</v>
      </c>
      <c r="B214" s="2">
        <v>1.6797227000000001E-3</v>
      </c>
      <c r="C214" s="2">
        <v>4.0939881999999997E-2</v>
      </c>
      <c r="D214" s="2">
        <v>4.715424E-2</v>
      </c>
      <c r="E214" s="2"/>
      <c r="F214" s="2"/>
    </row>
    <row r="215" spans="1:6" x14ac:dyDescent="0.2">
      <c r="A215" s="2">
        <v>2.0671305000000001E-3</v>
      </c>
      <c r="B215" s="2">
        <v>3.2771886000000001E-3</v>
      </c>
      <c r="C215" s="2">
        <v>1.7229214E-2</v>
      </c>
      <c r="D215" s="2">
        <v>0</v>
      </c>
      <c r="E215" s="2"/>
      <c r="F215" s="2"/>
    </row>
    <row r="216" spans="1:6" x14ac:dyDescent="0.2">
      <c r="A216" s="2">
        <v>4.2373097999999998E-2</v>
      </c>
      <c r="B216" s="2">
        <v>1.1349458E-2</v>
      </c>
      <c r="C216" s="2">
        <v>3.1309463000000003E-2</v>
      </c>
      <c r="D216" s="2">
        <v>0.16595257999999999</v>
      </c>
      <c r="E216" s="2"/>
      <c r="F216" s="2"/>
    </row>
    <row r="217" spans="1:6" x14ac:dyDescent="0.2">
      <c r="A217" s="2">
        <v>3.8194979000000001E-4</v>
      </c>
      <c r="B217" s="2">
        <v>6.2056508999999997E-4</v>
      </c>
      <c r="C217" s="2">
        <v>0</v>
      </c>
      <c r="D217" s="2">
        <v>0</v>
      </c>
      <c r="E217" s="2"/>
      <c r="F217" s="2"/>
    </row>
    <row r="218" spans="1:6" x14ac:dyDescent="0.2">
      <c r="A218" s="2">
        <v>0</v>
      </c>
      <c r="B218" s="2">
        <v>0</v>
      </c>
      <c r="C218" s="2">
        <v>5.3868266000000001E-3</v>
      </c>
      <c r="D218" s="2">
        <v>0</v>
      </c>
      <c r="E218" s="2"/>
      <c r="F218" s="2"/>
    </row>
    <row r="219" spans="1:6" x14ac:dyDescent="0.2">
      <c r="A219" s="2">
        <v>1.3711980999999999E-3</v>
      </c>
      <c r="B219" s="2">
        <v>2.4134677000000001E-3</v>
      </c>
      <c r="C219" s="2">
        <v>1.8558768999999999E-2</v>
      </c>
      <c r="D219" s="2">
        <v>0</v>
      </c>
      <c r="E219" s="2"/>
      <c r="F219" s="2"/>
    </row>
    <row r="220" spans="1:6" x14ac:dyDescent="0.2">
      <c r="A220" s="2">
        <v>0</v>
      </c>
      <c r="B220" s="2">
        <v>0</v>
      </c>
      <c r="C220" s="2">
        <v>0</v>
      </c>
      <c r="D220" s="2">
        <v>0</v>
      </c>
      <c r="E220" s="2"/>
      <c r="F220" s="2"/>
    </row>
    <row r="221" spans="1:6" x14ac:dyDescent="0.2">
      <c r="A221" s="2">
        <v>1.3711982E-4</v>
      </c>
      <c r="B221" s="2">
        <v>8.0448925000000001E-4</v>
      </c>
      <c r="C221" s="2">
        <v>0</v>
      </c>
      <c r="D221" s="2">
        <v>0</v>
      </c>
      <c r="E221" s="2"/>
      <c r="F221" s="2"/>
    </row>
    <row r="222" spans="1:6" x14ac:dyDescent="0.2">
      <c r="A222" s="2">
        <v>0</v>
      </c>
      <c r="B222" s="2">
        <v>0</v>
      </c>
      <c r="C222" s="2">
        <v>0</v>
      </c>
      <c r="D222" s="2">
        <v>0</v>
      </c>
      <c r="E222" s="2"/>
      <c r="F222" s="2"/>
    </row>
    <row r="223" spans="1:6" x14ac:dyDescent="0.2">
      <c r="A223" s="2">
        <v>3.3384393999999998E-2</v>
      </c>
      <c r="B223" s="2">
        <v>3.1204991000000001E-2</v>
      </c>
      <c r="C223" s="2">
        <v>0.16046314</v>
      </c>
      <c r="D223" s="2">
        <v>0.11910042999999999</v>
      </c>
      <c r="E223" s="2"/>
      <c r="F223" s="2"/>
    </row>
    <row r="224" spans="1:6" x14ac:dyDescent="0.2">
      <c r="A224" s="2">
        <v>1.3153908999999999E-3</v>
      </c>
      <c r="B224" s="2">
        <v>0</v>
      </c>
      <c r="C224" s="2">
        <v>0</v>
      </c>
      <c r="D224" s="2">
        <v>0</v>
      </c>
      <c r="E224" s="2"/>
      <c r="F224" s="2"/>
    </row>
    <row r="225" spans="1:6" x14ac:dyDescent="0.2">
      <c r="A225" s="2">
        <v>0</v>
      </c>
      <c r="B225" s="2">
        <v>1.1948841E-3</v>
      </c>
      <c r="C225" s="2">
        <v>5.3186513999999999E-3</v>
      </c>
      <c r="D225" s="2">
        <v>0</v>
      </c>
      <c r="E225" s="2"/>
      <c r="F225" s="2"/>
    </row>
    <row r="226" spans="1:6" x14ac:dyDescent="0.2">
      <c r="A226" s="2">
        <v>2.2280584999999999E-2</v>
      </c>
      <c r="B226" s="2">
        <v>4.2472630999999999E-3</v>
      </c>
      <c r="C226" s="2">
        <v>1.0819118000000001E-2</v>
      </c>
      <c r="D226" s="2">
        <v>0</v>
      </c>
      <c r="E226" s="2"/>
      <c r="F226" s="2"/>
    </row>
    <row r="227" spans="1:6" x14ac:dyDescent="0.2">
      <c r="A227" s="2">
        <v>2.0234285999999999E-5</v>
      </c>
      <c r="B227" s="2">
        <v>2.8283365000000003E-4</v>
      </c>
      <c r="C227" s="2">
        <v>3.2375075999999998E-4</v>
      </c>
      <c r="D227" s="2">
        <v>0</v>
      </c>
      <c r="E227" s="2"/>
      <c r="F227" s="2"/>
    </row>
    <row r="228" spans="1:6" x14ac:dyDescent="0.2">
      <c r="A228" s="2">
        <v>1.3711980999999999E-3</v>
      </c>
      <c r="B228" s="2">
        <v>0</v>
      </c>
      <c r="C228" s="2">
        <v>3.1338525000000001E-3</v>
      </c>
      <c r="D228" s="2">
        <v>0</v>
      </c>
      <c r="E228" s="2"/>
      <c r="F228" s="2"/>
    </row>
    <row r="229" spans="1:6" x14ac:dyDescent="0.2">
      <c r="A229" s="2">
        <v>5.7422806999999996E-3</v>
      </c>
      <c r="B229" s="2">
        <v>1.4910107000000001E-3</v>
      </c>
      <c r="C229" s="2">
        <v>7.7287149999999997E-3</v>
      </c>
      <c r="D229" s="2">
        <v>0</v>
      </c>
      <c r="E229" s="2"/>
      <c r="F229" s="2"/>
    </row>
    <row r="230" spans="1:6" x14ac:dyDescent="0.2">
      <c r="A230" s="2">
        <v>0</v>
      </c>
      <c r="B230" s="2">
        <v>0</v>
      </c>
      <c r="C230" s="2">
        <v>0</v>
      </c>
      <c r="D230" s="2">
        <v>0</v>
      </c>
      <c r="E230" s="2"/>
      <c r="F230" s="2"/>
    </row>
    <row r="231" spans="1:6" x14ac:dyDescent="0.2">
      <c r="A231" s="2">
        <v>0.11422491</v>
      </c>
      <c r="B231" s="2">
        <v>0.25258720000000001</v>
      </c>
      <c r="C231" s="2">
        <v>0.21331253999999999</v>
      </c>
      <c r="D231" s="2">
        <v>2.77909E-2</v>
      </c>
      <c r="E231" s="2"/>
      <c r="F231" s="2"/>
    </row>
    <row r="232" spans="1:6" x14ac:dyDescent="0.2">
      <c r="A232" s="2">
        <v>0.13611271999999999</v>
      </c>
      <c r="B232" s="2">
        <v>0.16029504999999999</v>
      </c>
      <c r="C232" s="2">
        <v>6.0223858999999998E-2</v>
      </c>
      <c r="D232" s="2">
        <v>0.14146270999999999</v>
      </c>
      <c r="E232" s="2"/>
      <c r="F232" s="2"/>
    </row>
    <row r="233" spans="1:6" x14ac:dyDescent="0.2">
      <c r="A233" s="1" t="s">
        <v>14</v>
      </c>
    </row>
    <row r="234" spans="1:6" x14ac:dyDescent="0.2">
      <c r="A234" s="2">
        <v>180635.28</v>
      </c>
      <c r="B234" s="2">
        <v>69044.75</v>
      </c>
      <c r="C234" s="2">
        <v>9296.4863000000005</v>
      </c>
      <c r="D234" s="2">
        <v>282.24849999999998</v>
      </c>
      <c r="E234" s="2"/>
      <c r="F234" s="2"/>
    </row>
    <row r="235" spans="1:6" x14ac:dyDescent="0.2">
      <c r="A235" s="2">
        <v>3.7127978999999998E-2</v>
      </c>
      <c r="B235" s="2">
        <v>0.22511911000000001</v>
      </c>
      <c r="C235" s="2">
        <v>0.92081594</v>
      </c>
      <c r="D235" s="2">
        <v>1</v>
      </c>
      <c r="E235" s="2"/>
      <c r="F235" s="2"/>
    </row>
    <row r="236" spans="1:6" x14ac:dyDescent="0.2">
      <c r="A236" s="2">
        <v>0.60337430000000003</v>
      </c>
      <c r="B236" s="2">
        <v>0.84011513000000004</v>
      </c>
      <c r="C236" s="2">
        <v>0.99208158000000002</v>
      </c>
      <c r="D236" s="2">
        <v>1</v>
      </c>
      <c r="E236" s="2"/>
      <c r="F236" s="2"/>
    </row>
    <row r="237" spans="1:6" x14ac:dyDescent="0.2">
      <c r="A237" s="2">
        <v>0</v>
      </c>
      <c r="B237" s="2">
        <v>8.3641884999999996E-3</v>
      </c>
      <c r="C237" s="2">
        <v>2.9252581E-2</v>
      </c>
      <c r="D237" s="2">
        <v>7.0079937999999994E-2</v>
      </c>
      <c r="E237" s="2"/>
      <c r="F237" s="2"/>
    </row>
    <row r="238" spans="1:6" x14ac:dyDescent="0.2">
      <c r="A238" s="2">
        <v>6.3165580000000001E-4</v>
      </c>
      <c r="B238" s="2">
        <v>4.2134665000000002E-2</v>
      </c>
      <c r="C238" s="2">
        <v>2.7141957000000001E-2</v>
      </c>
      <c r="D238" s="2">
        <v>0.16756646</v>
      </c>
      <c r="E238" s="2"/>
      <c r="F238" s="2"/>
    </row>
    <row r="239" spans="1:6" x14ac:dyDescent="0.2">
      <c r="A239" s="2">
        <v>3.1770504E-4</v>
      </c>
      <c r="B239" s="2">
        <v>8.8665522999999996E-2</v>
      </c>
      <c r="C239" s="2">
        <v>5.4878544000000001E-2</v>
      </c>
      <c r="D239" s="2">
        <v>4.2273957000000001E-2</v>
      </c>
      <c r="E239" s="2"/>
      <c r="F239" s="2"/>
    </row>
    <row r="240" spans="1:6" x14ac:dyDescent="0.2">
      <c r="A240" s="2">
        <v>9.4376626999999997E-4</v>
      </c>
      <c r="B240" s="2">
        <v>2.9412631000000002E-2</v>
      </c>
      <c r="C240" s="2">
        <v>2.3486692E-2</v>
      </c>
      <c r="D240" s="2">
        <v>0</v>
      </c>
      <c r="E240" s="2"/>
      <c r="F240" s="2"/>
    </row>
    <row r="241" spans="1:6" x14ac:dyDescent="0.2">
      <c r="A241" s="2">
        <v>0</v>
      </c>
      <c r="B241" s="2">
        <v>0</v>
      </c>
      <c r="C241" s="2">
        <v>0</v>
      </c>
      <c r="D241" s="2">
        <v>0</v>
      </c>
      <c r="E241" s="2"/>
      <c r="F241" s="2"/>
    </row>
    <row r="242" spans="1:6" x14ac:dyDescent="0.2">
      <c r="A242" s="2">
        <v>5.9178688E-2</v>
      </c>
      <c r="B242" s="2">
        <v>0.18421011000000001</v>
      </c>
      <c r="C242" s="2">
        <v>9.1714084000000001E-2</v>
      </c>
      <c r="D242" s="2">
        <v>9.8270513000000004E-2</v>
      </c>
      <c r="E242" s="2"/>
      <c r="F242" s="2"/>
    </row>
    <row r="243" spans="1:6" x14ac:dyDescent="0.2">
      <c r="A243" s="2">
        <v>0</v>
      </c>
      <c r="B243" s="2">
        <v>1.6797227000000001E-3</v>
      </c>
      <c r="C243" s="2">
        <v>4.0939881999999997E-2</v>
      </c>
      <c r="D243" s="2">
        <v>4.715424E-2</v>
      </c>
      <c r="E243" s="2"/>
      <c r="F243" s="2"/>
    </row>
    <row r="244" spans="1:6" x14ac:dyDescent="0.2">
      <c r="A244" s="2">
        <v>2.0671305000000001E-3</v>
      </c>
      <c r="B244" s="2">
        <v>3.2771886000000001E-3</v>
      </c>
      <c r="C244" s="2">
        <v>1.7229214E-2</v>
      </c>
      <c r="D244" s="2">
        <v>0</v>
      </c>
      <c r="E244" s="2"/>
      <c r="F244" s="2"/>
    </row>
    <row r="245" spans="1:6" x14ac:dyDescent="0.2">
      <c r="A245" s="2">
        <v>4.2373097999999998E-2</v>
      </c>
      <c r="B245" s="2">
        <v>1.1349458E-2</v>
      </c>
      <c r="C245" s="2">
        <v>3.1309463000000003E-2</v>
      </c>
      <c r="D245" s="2">
        <v>0.16595257999999999</v>
      </c>
      <c r="E245" s="2"/>
      <c r="F245" s="2"/>
    </row>
    <row r="246" spans="1:6" x14ac:dyDescent="0.2">
      <c r="A246" s="2">
        <v>3.8194979000000001E-4</v>
      </c>
      <c r="B246" s="2">
        <v>6.2056508999999997E-4</v>
      </c>
      <c r="C246" s="2">
        <v>0</v>
      </c>
      <c r="D246" s="2">
        <v>0</v>
      </c>
      <c r="E246" s="2"/>
      <c r="F246" s="2"/>
    </row>
    <row r="247" spans="1:6" x14ac:dyDescent="0.2">
      <c r="A247" s="2">
        <v>0</v>
      </c>
      <c r="B247" s="2">
        <v>0</v>
      </c>
      <c r="C247" s="2">
        <v>5.3868266000000001E-3</v>
      </c>
      <c r="D247" s="2">
        <v>0</v>
      </c>
      <c r="E247" s="2"/>
      <c r="F247" s="2"/>
    </row>
    <row r="248" spans="1:6" x14ac:dyDescent="0.2">
      <c r="A248" s="2">
        <v>1.3711980999999999E-3</v>
      </c>
      <c r="B248" s="2">
        <v>2.4134677000000001E-3</v>
      </c>
      <c r="C248" s="2">
        <v>1.8558768999999999E-2</v>
      </c>
      <c r="D248" s="2">
        <v>0</v>
      </c>
      <c r="E248" s="2"/>
      <c r="F248" s="2"/>
    </row>
    <row r="249" spans="1:6" x14ac:dyDescent="0.2">
      <c r="A249" s="2">
        <v>0</v>
      </c>
      <c r="B249" s="2">
        <v>0</v>
      </c>
      <c r="C249" s="2">
        <v>0</v>
      </c>
      <c r="D249" s="2">
        <v>0</v>
      </c>
      <c r="E249" s="2"/>
      <c r="F249" s="2"/>
    </row>
    <row r="250" spans="1:6" x14ac:dyDescent="0.2">
      <c r="A250" s="2">
        <v>1.3711982E-4</v>
      </c>
      <c r="B250" s="2">
        <v>8.0448925000000001E-4</v>
      </c>
      <c r="C250" s="2">
        <v>0</v>
      </c>
      <c r="D250" s="2">
        <v>0</v>
      </c>
      <c r="E250" s="2"/>
      <c r="F250" s="2"/>
    </row>
    <row r="251" spans="1:6" x14ac:dyDescent="0.2">
      <c r="A251" s="2">
        <v>0</v>
      </c>
      <c r="B251" s="2">
        <v>0</v>
      </c>
      <c r="C251" s="2">
        <v>0</v>
      </c>
      <c r="D251" s="2">
        <v>0</v>
      </c>
      <c r="E251" s="2"/>
      <c r="F251" s="2"/>
    </row>
    <row r="252" spans="1:6" x14ac:dyDescent="0.2">
      <c r="A252" s="2">
        <v>3.3384393999999998E-2</v>
      </c>
      <c r="B252" s="2">
        <v>3.1204991000000001E-2</v>
      </c>
      <c r="C252" s="2">
        <v>0.16046314</v>
      </c>
      <c r="D252" s="2">
        <v>0.11910042999999999</v>
      </c>
      <c r="E252" s="2"/>
      <c r="F252" s="2"/>
    </row>
    <row r="253" spans="1:6" x14ac:dyDescent="0.2">
      <c r="A253" s="2">
        <v>1.3153908999999999E-3</v>
      </c>
      <c r="B253" s="2">
        <v>0</v>
      </c>
      <c r="C253" s="2">
        <v>0</v>
      </c>
      <c r="D253" s="2">
        <v>0</v>
      </c>
      <c r="E253" s="2"/>
      <c r="F253" s="2"/>
    </row>
    <row r="254" spans="1:6" x14ac:dyDescent="0.2">
      <c r="A254" s="2">
        <v>0</v>
      </c>
      <c r="B254" s="2">
        <v>1.1948841E-3</v>
      </c>
      <c r="C254" s="2">
        <v>5.3186513999999999E-3</v>
      </c>
      <c r="D254" s="2">
        <v>0</v>
      </c>
      <c r="E254" s="2"/>
      <c r="F254" s="2"/>
    </row>
    <row r="255" spans="1:6" x14ac:dyDescent="0.2">
      <c r="A255" s="2">
        <v>2.2280584999999999E-2</v>
      </c>
      <c r="B255" s="2">
        <v>4.2472630999999999E-3</v>
      </c>
      <c r="C255" s="2">
        <v>1.0819118000000001E-2</v>
      </c>
      <c r="D255" s="2">
        <v>0</v>
      </c>
      <c r="E255" s="2"/>
      <c r="F255" s="2"/>
    </row>
    <row r="256" spans="1:6" x14ac:dyDescent="0.2">
      <c r="A256" s="2">
        <v>2.0234285999999999E-5</v>
      </c>
      <c r="B256" s="2">
        <v>2.8283365000000003E-4</v>
      </c>
      <c r="C256" s="2">
        <v>3.2375075999999998E-4</v>
      </c>
      <c r="D256" s="2">
        <v>0</v>
      </c>
      <c r="E256" s="2"/>
      <c r="F256" s="2"/>
    </row>
    <row r="257" spans="1:6" x14ac:dyDescent="0.2">
      <c r="A257" s="2">
        <v>1.3711980999999999E-3</v>
      </c>
      <c r="B257" s="2">
        <v>0</v>
      </c>
      <c r="C257" s="2">
        <v>3.1338525000000001E-3</v>
      </c>
      <c r="D257" s="2">
        <v>0</v>
      </c>
      <c r="E257" s="2"/>
      <c r="F257" s="2"/>
    </row>
    <row r="258" spans="1:6" x14ac:dyDescent="0.2">
      <c r="A258" s="2">
        <v>5.7422806999999996E-3</v>
      </c>
      <c r="B258" s="2">
        <v>1.4910107000000001E-3</v>
      </c>
      <c r="C258" s="2">
        <v>7.7287149999999997E-3</v>
      </c>
      <c r="D258" s="2">
        <v>0</v>
      </c>
      <c r="E258" s="2"/>
      <c r="F258" s="2"/>
    </row>
    <row r="259" spans="1:6" x14ac:dyDescent="0.2">
      <c r="A259" s="2">
        <v>0</v>
      </c>
      <c r="B259" s="2">
        <v>0</v>
      </c>
      <c r="C259" s="2">
        <v>0</v>
      </c>
      <c r="D259" s="2">
        <v>0</v>
      </c>
      <c r="E259" s="2"/>
      <c r="F259" s="2"/>
    </row>
    <row r="260" spans="1:6" x14ac:dyDescent="0.2">
      <c r="A260" s="2">
        <v>0.11422491</v>
      </c>
      <c r="B260" s="2">
        <v>0.25258720000000001</v>
      </c>
      <c r="C260" s="2">
        <v>0.21331253999999999</v>
      </c>
      <c r="D260" s="2">
        <v>2.77909E-2</v>
      </c>
      <c r="E260" s="2"/>
      <c r="F260" s="2"/>
    </row>
    <row r="261" spans="1:6" x14ac:dyDescent="0.2">
      <c r="A261" s="2">
        <v>0.13611271999999999</v>
      </c>
      <c r="B261" s="2">
        <v>0.16029504999999999</v>
      </c>
      <c r="C261" s="2">
        <v>6.0223858999999998E-2</v>
      </c>
      <c r="D261" s="2">
        <v>0.14146270999999999</v>
      </c>
      <c r="E261" s="2"/>
      <c r="F261" s="2"/>
    </row>
    <row r="262" spans="1:6" x14ac:dyDescent="0.2">
      <c r="A262" s="1" t="s">
        <v>15</v>
      </c>
    </row>
    <row r="263" spans="1:6" x14ac:dyDescent="0.2">
      <c r="A263" s="2">
        <v>492292.94</v>
      </c>
      <c r="B263" s="2">
        <v>357083.06</v>
      </c>
      <c r="C263" s="2">
        <v>186603.66</v>
      </c>
      <c r="D263" s="2">
        <v>11597.179</v>
      </c>
      <c r="E263" s="2"/>
      <c r="F263" s="2"/>
    </row>
    <row r="264" spans="1:6" x14ac:dyDescent="0.2">
      <c r="A264" s="2">
        <v>5.3900108E-3</v>
      </c>
      <c r="B264" s="2">
        <v>0.13990130000000001</v>
      </c>
      <c r="C264" s="2">
        <v>0.86832224999999996</v>
      </c>
      <c r="D264" s="2">
        <v>1</v>
      </c>
      <c r="E264" s="2"/>
      <c r="F264" s="2"/>
    </row>
    <row r="265" spans="1:6" x14ac:dyDescent="0.2">
      <c r="A265" s="2">
        <v>0.57554406000000002</v>
      </c>
      <c r="B265" s="2">
        <v>0.81891977999999999</v>
      </c>
      <c r="C265" s="2">
        <v>0.98683220000000005</v>
      </c>
      <c r="D265" s="2">
        <v>1</v>
      </c>
      <c r="E265" s="2"/>
      <c r="F265" s="2"/>
    </row>
    <row r="266" spans="1:6" x14ac:dyDescent="0.2">
      <c r="A266" s="2">
        <v>0</v>
      </c>
      <c r="B266" s="2">
        <v>7.2547612999999999E-4</v>
      </c>
      <c r="C266" s="2">
        <v>1.1933183E-3</v>
      </c>
      <c r="D266" s="2">
        <v>0</v>
      </c>
      <c r="E266" s="2"/>
      <c r="F266" s="2"/>
    </row>
    <row r="267" spans="1:6" x14ac:dyDescent="0.2">
      <c r="A267" s="2">
        <v>0</v>
      </c>
      <c r="B267" s="2">
        <v>4.5682400999999999E-3</v>
      </c>
      <c r="C267" s="2">
        <v>2.3134891000000002E-3</v>
      </c>
      <c r="D267" s="2">
        <v>0</v>
      </c>
      <c r="E267" s="2"/>
      <c r="F267" s="2"/>
    </row>
    <row r="268" spans="1:6" x14ac:dyDescent="0.2">
      <c r="A268" s="2">
        <v>0</v>
      </c>
      <c r="B268" s="2">
        <v>5.0022225000000003E-3</v>
      </c>
      <c r="C268" s="2">
        <v>1.9649699E-2</v>
      </c>
      <c r="D268" s="2">
        <v>1.8852952999999999E-2</v>
      </c>
      <c r="E268" s="2"/>
      <c r="F268" s="2"/>
    </row>
    <row r="269" spans="1:6" x14ac:dyDescent="0.2">
      <c r="A269" s="2">
        <v>0</v>
      </c>
      <c r="B269" s="2">
        <v>7.8551568000000002E-2</v>
      </c>
      <c r="C269" s="2">
        <v>0.17643708999999999</v>
      </c>
      <c r="D269" s="2">
        <v>0.11448724</v>
      </c>
      <c r="E269" s="2"/>
      <c r="F269" s="2"/>
    </row>
    <row r="270" spans="1:6" x14ac:dyDescent="0.2">
      <c r="A270" s="2">
        <v>0</v>
      </c>
      <c r="B270" s="2">
        <v>7.7095041000000003E-3</v>
      </c>
      <c r="C270" s="2">
        <v>3.1032693E-2</v>
      </c>
      <c r="D270" s="2">
        <v>8.1723873000000002E-3</v>
      </c>
      <c r="E270" s="2"/>
      <c r="F270" s="2"/>
    </row>
    <row r="271" spans="1:6" x14ac:dyDescent="0.2">
      <c r="A271" s="2">
        <v>3.2319189000000002E-3</v>
      </c>
      <c r="B271" s="2">
        <v>3.3003006000000001E-2</v>
      </c>
      <c r="C271" s="2">
        <v>1.8568804000000001E-2</v>
      </c>
      <c r="D271" s="2">
        <v>0</v>
      </c>
      <c r="E271" s="2"/>
      <c r="F271" s="2"/>
    </row>
    <row r="272" spans="1:6" x14ac:dyDescent="0.2">
      <c r="A272" s="2">
        <v>0</v>
      </c>
      <c r="B272" s="2">
        <v>3.5302389999999998E-4</v>
      </c>
      <c r="C272" s="2">
        <v>0</v>
      </c>
      <c r="D272" s="2">
        <v>0</v>
      </c>
      <c r="E272" s="2"/>
      <c r="F272" s="2"/>
    </row>
    <row r="273" spans="1:6" x14ac:dyDescent="0.2">
      <c r="A273" s="2">
        <v>0</v>
      </c>
      <c r="B273" s="2">
        <v>1.6071067999999999E-3</v>
      </c>
      <c r="C273" s="2">
        <v>2.5406163E-3</v>
      </c>
      <c r="D273" s="2">
        <v>0</v>
      </c>
      <c r="E273" s="2"/>
      <c r="F273" s="2"/>
    </row>
    <row r="274" spans="1:6" x14ac:dyDescent="0.2">
      <c r="A274" s="2">
        <v>4.6081259000000001E-3</v>
      </c>
      <c r="B274" s="2">
        <v>4.9552143999999996E-3</v>
      </c>
      <c r="C274" s="2">
        <v>2.6970856999999999E-3</v>
      </c>
      <c r="D274" s="2">
        <v>0</v>
      </c>
      <c r="E274" s="2"/>
      <c r="F274" s="2"/>
    </row>
    <row r="275" spans="1:6" x14ac:dyDescent="0.2">
      <c r="A275" s="2">
        <v>1.7398438999999999E-3</v>
      </c>
      <c r="B275" s="2">
        <v>7.2341230999999999E-3</v>
      </c>
      <c r="C275" s="2">
        <v>4.7847321000000003E-3</v>
      </c>
      <c r="D275" s="2">
        <v>0</v>
      </c>
      <c r="E275" s="2"/>
      <c r="F275" s="2"/>
    </row>
    <row r="276" spans="1:6" x14ac:dyDescent="0.2">
      <c r="A276" s="2">
        <v>6.6939755000000002E-3</v>
      </c>
      <c r="B276" s="2">
        <v>3.0518956E-3</v>
      </c>
      <c r="C276" s="2">
        <v>0</v>
      </c>
      <c r="D276" s="2">
        <v>0</v>
      </c>
      <c r="E276" s="2"/>
      <c r="F276" s="2"/>
    </row>
    <row r="277" spans="1:6" x14ac:dyDescent="0.2">
      <c r="A277" s="2">
        <v>0.97974795000000003</v>
      </c>
      <c r="B277" s="2">
        <v>0.46213996000000002</v>
      </c>
      <c r="C277" s="2">
        <v>9.9997424000000001E-2</v>
      </c>
      <c r="D277" s="2">
        <v>9.4599336000000006E-2</v>
      </c>
      <c r="E277" s="2"/>
      <c r="F277" s="2"/>
    </row>
    <row r="278" spans="1:6" x14ac:dyDescent="0.2">
      <c r="A278" s="2">
        <v>0.55690938000000001</v>
      </c>
      <c r="B278" s="2">
        <v>0.51048099999999996</v>
      </c>
      <c r="C278" s="2">
        <v>0.71225441</v>
      </c>
      <c r="D278" s="2">
        <v>0.87930858000000001</v>
      </c>
      <c r="E278" s="2"/>
      <c r="F278" s="2"/>
    </row>
    <row r="279" spans="1:6" x14ac:dyDescent="0.2">
      <c r="A279" s="2">
        <v>0</v>
      </c>
      <c r="B279" s="2">
        <v>0</v>
      </c>
      <c r="C279" s="2">
        <v>0</v>
      </c>
      <c r="D279" s="2">
        <v>0</v>
      </c>
      <c r="E279" s="2"/>
      <c r="F279" s="2"/>
    </row>
    <row r="280" spans="1:6" x14ac:dyDescent="0.2">
      <c r="A280" s="2">
        <v>0</v>
      </c>
      <c r="B280" s="2">
        <v>0</v>
      </c>
      <c r="C280" s="2">
        <v>0</v>
      </c>
      <c r="D280" s="2">
        <v>0</v>
      </c>
      <c r="E280" s="2"/>
      <c r="F280" s="2"/>
    </row>
    <row r="281" spans="1:6" x14ac:dyDescent="0.2">
      <c r="A281" s="2">
        <v>1.8866694E-3</v>
      </c>
      <c r="B281" s="2">
        <v>6.2644592999999997E-3</v>
      </c>
      <c r="C281" s="2">
        <v>9.1172418999999998E-3</v>
      </c>
      <c r="D281" s="2">
        <v>0</v>
      </c>
      <c r="E281" s="2"/>
      <c r="F281" s="2"/>
    </row>
    <row r="282" spans="1:6" x14ac:dyDescent="0.2">
      <c r="A282" s="2">
        <v>1.7921696000000001E-4</v>
      </c>
      <c r="B282" s="2">
        <v>3.5635465999999999E-4</v>
      </c>
      <c r="C282" s="2">
        <v>1.7958937E-3</v>
      </c>
      <c r="D282" s="2">
        <v>4.6773385000000002E-3</v>
      </c>
      <c r="E282" s="2"/>
      <c r="F282" s="2"/>
    </row>
    <row r="283" spans="1:6" x14ac:dyDescent="0.2">
      <c r="A283" s="2">
        <v>0</v>
      </c>
      <c r="B283" s="2">
        <v>2.4182537E-4</v>
      </c>
      <c r="C283" s="2">
        <v>1.4916479000000001E-4</v>
      </c>
      <c r="D283" s="2">
        <v>0</v>
      </c>
      <c r="E283" s="2"/>
      <c r="F283" s="2"/>
    </row>
    <row r="284" spans="1:6" x14ac:dyDescent="0.2">
      <c r="A284" s="2">
        <v>1.5843932000000002E-2</v>
      </c>
      <c r="B284" s="2">
        <v>1.4031347999999999E-3</v>
      </c>
      <c r="C284" s="2">
        <v>0</v>
      </c>
      <c r="D284" s="2">
        <v>0</v>
      </c>
      <c r="E284" s="2"/>
      <c r="F284" s="2"/>
    </row>
    <row r="285" spans="1:6" x14ac:dyDescent="0.2">
      <c r="A285" s="2">
        <v>0</v>
      </c>
      <c r="B285" s="2">
        <v>7.5535665E-4</v>
      </c>
      <c r="C285" s="2">
        <v>2.4320854999999998E-3</v>
      </c>
      <c r="D285" s="2">
        <v>1.6431175000000001E-3</v>
      </c>
      <c r="E285" s="2"/>
      <c r="F285" s="2"/>
    </row>
    <row r="286" spans="1:6" x14ac:dyDescent="0.2">
      <c r="A286" s="2">
        <v>0</v>
      </c>
      <c r="B286" s="2">
        <v>1.1397101E-3</v>
      </c>
      <c r="C286" s="2">
        <v>2.6367234999999998E-3</v>
      </c>
      <c r="D286" s="2">
        <v>0</v>
      </c>
      <c r="E286" s="2"/>
      <c r="F286" s="2"/>
    </row>
    <row r="287" spans="1:6" x14ac:dyDescent="0.2">
      <c r="A287" s="2">
        <v>2.9860217000000001E-2</v>
      </c>
      <c r="B287" s="2">
        <v>1.8482596E-2</v>
      </c>
      <c r="C287" s="2">
        <v>5.2455068000000001E-2</v>
      </c>
      <c r="D287" s="2">
        <v>7.2920210999999999E-2</v>
      </c>
      <c r="E287" s="2"/>
      <c r="F287" s="2"/>
    </row>
    <row r="288" spans="1:6" x14ac:dyDescent="0.2">
      <c r="A288" s="2">
        <v>4.7333005999999997E-2</v>
      </c>
      <c r="B288" s="2">
        <v>1.1881668999999999E-2</v>
      </c>
      <c r="C288" s="2">
        <v>9.9707982000000004E-3</v>
      </c>
      <c r="D288" s="2">
        <v>8.8388137999999995E-3</v>
      </c>
      <c r="E288" s="2"/>
      <c r="F288" s="2"/>
    </row>
    <row r="289" spans="1:6" x14ac:dyDescent="0.2">
      <c r="A289" s="2">
        <v>1.4590585E-2</v>
      </c>
      <c r="B289" s="2">
        <v>8.5008442000000004E-2</v>
      </c>
      <c r="C289" s="2">
        <v>0.12499623999999999</v>
      </c>
      <c r="D289" s="2">
        <v>5.6866273000000002E-2</v>
      </c>
      <c r="E289" s="2"/>
      <c r="F289" s="2"/>
    </row>
    <row r="290" spans="1:6" x14ac:dyDescent="0.2">
      <c r="A290" s="2">
        <v>2.1778512999999999E-2</v>
      </c>
      <c r="B290" s="2">
        <v>0</v>
      </c>
      <c r="C290" s="2">
        <v>0</v>
      </c>
      <c r="D290" s="2">
        <v>0</v>
      </c>
      <c r="E290" s="2"/>
      <c r="F290" s="2"/>
    </row>
    <row r="291" spans="1:6" x14ac:dyDescent="0.2">
      <c r="A291" s="1" t="s">
        <v>16</v>
      </c>
    </row>
    <row r="292" spans="1:6" x14ac:dyDescent="0.2">
      <c r="A292" s="2">
        <v>300117.31</v>
      </c>
      <c r="B292" s="2">
        <v>167387.48000000001</v>
      </c>
      <c r="C292" s="2">
        <v>76453.789000000004</v>
      </c>
      <c r="D292" s="2">
        <v>7408.5762000000004</v>
      </c>
      <c r="E292" s="2"/>
      <c r="F292" s="2"/>
    </row>
    <row r="293" spans="1:6" x14ac:dyDescent="0.2">
      <c r="A293" s="2">
        <v>1.5108454E-2</v>
      </c>
      <c r="B293" s="2">
        <v>0.13578592</v>
      </c>
      <c r="C293" s="2">
        <v>0.80829315999999996</v>
      </c>
      <c r="D293" s="2">
        <v>0.99999994000000003</v>
      </c>
      <c r="E293" s="2"/>
      <c r="F293" s="2"/>
    </row>
    <row r="294" spans="1:6" x14ac:dyDescent="0.2">
      <c r="A294" s="2">
        <v>0.57623285000000002</v>
      </c>
      <c r="B294" s="2">
        <v>0.81390315000000002</v>
      </c>
      <c r="C294" s="2">
        <v>0.98082930000000002</v>
      </c>
      <c r="D294" s="2">
        <v>0.99999994000000003</v>
      </c>
      <c r="E294" s="2"/>
      <c r="F294" s="2"/>
    </row>
    <row r="295" spans="1:6" x14ac:dyDescent="0.2">
      <c r="A295" s="2">
        <v>0</v>
      </c>
      <c r="B295" s="2">
        <v>0</v>
      </c>
      <c r="C295" s="2">
        <v>4.5076878999999997E-3</v>
      </c>
      <c r="D295" s="2">
        <v>0</v>
      </c>
      <c r="E295" s="2"/>
      <c r="F295" s="2"/>
    </row>
    <row r="296" spans="1:6" x14ac:dyDescent="0.2">
      <c r="A296" s="2">
        <v>0</v>
      </c>
      <c r="B296" s="2">
        <v>2.7811748000000001E-4</v>
      </c>
      <c r="C296" s="2">
        <v>4.8574461000000001E-3</v>
      </c>
      <c r="D296" s="2">
        <v>0</v>
      </c>
      <c r="E296" s="2"/>
      <c r="F296" s="2"/>
    </row>
    <row r="297" spans="1:6" x14ac:dyDescent="0.2">
      <c r="A297" s="2">
        <v>0</v>
      </c>
      <c r="B297" s="2">
        <v>2.1752761999999999E-3</v>
      </c>
      <c r="C297" s="2">
        <v>1.3720547E-2</v>
      </c>
      <c r="D297" s="2">
        <v>0</v>
      </c>
      <c r="E297" s="2"/>
      <c r="F297" s="2"/>
    </row>
    <row r="298" spans="1:6" x14ac:dyDescent="0.2">
      <c r="A298" s="2">
        <v>5.1368087999999999E-3</v>
      </c>
      <c r="B298" s="2">
        <v>9.8594390000000004E-2</v>
      </c>
      <c r="C298" s="2">
        <v>0.17718128999999999</v>
      </c>
      <c r="D298" s="2">
        <v>0.19470170000000001</v>
      </c>
      <c r="E298" s="2"/>
      <c r="F298" s="2"/>
    </row>
    <row r="299" spans="1:6" x14ac:dyDescent="0.2">
      <c r="A299" s="2">
        <v>0</v>
      </c>
      <c r="B299" s="2">
        <v>1.0423887999999999E-2</v>
      </c>
      <c r="C299" s="2">
        <v>3.4500744E-2</v>
      </c>
      <c r="D299" s="2">
        <v>2.3757772999999999E-2</v>
      </c>
      <c r="E299" s="2"/>
      <c r="F299" s="2"/>
    </row>
    <row r="300" spans="1:6" x14ac:dyDescent="0.2">
      <c r="A300" s="2">
        <v>1.9712525000000001E-4</v>
      </c>
      <c r="B300" s="2">
        <v>5.7556494E-3</v>
      </c>
      <c r="C300" s="2">
        <v>1.9146962E-2</v>
      </c>
      <c r="D300" s="2">
        <v>0</v>
      </c>
      <c r="E300" s="2"/>
      <c r="F300" s="2"/>
    </row>
    <row r="301" spans="1:6" x14ac:dyDescent="0.2">
      <c r="A301" s="2">
        <v>0</v>
      </c>
      <c r="B301" s="2">
        <v>8.9551379999999996E-5</v>
      </c>
      <c r="C301" s="2">
        <v>0</v>
      </c>
      <c r="D301" s="2">
        <v>0</v>
      </c>
      <c r="E301" s="2"/>
      <c r="F301" s="2"/>
    </row>
    <row r="302" spans="1:6" x14ac:dyDescent="0.2">
      <c r="A302" s="2">
        <v>0</v>
      </c>
      <c r="B302" s="2">
        <v>1.5724564E-3</v>
      </c>
      <c r="C302" s="2">
        <v>0</v>
      </c>
      <c r="D302" s="2">
        <v>0</v>
      </c>
      <c r="E302" s="2"/>
      <c r="F302" s="2"/>
    </row>
    <row r="303" spans="1:6" x14ac:dyDescent="0.2">
      <c r="A303" s="2">
        <v>1.5626075000000001E-3</v>
      </c>
      <c r="B303" s="2">
        <v>1.5908736E-3</v>
      </c>
      <c r="C303" s="2">
        <v>3.4063277000000001E-4</v>
      </c>
      <c r="D303" s="2">
        <v>0</v>
      </c>
      <c r="E303" s="2"/>
      <c r="F303" s="2"/>
    </row>
    <row r="304" spans="1:6" x14ac:dyDescent="0.2">
      <c r="A304" s="2">
        <v>1.7725426E-3</v>
      </c>
      <c r="B304" s="2">
        <v>9.1180345000000003E-3</v>
      </c>
      <c r="C304" s="2">
        <v>1.0197483999999999E-3</v>
      </c>
      <c r="D304" s="2">
        <v>0</v>
      </c>
      <c r="E304" s="2"/>
      <c r="F304" s="2"/>
    </row>
    <row r="305" spans="1:6" x14ac:dyDescent="0.2">
      <c r="A305" s="2">
        <v>4.2015821999999998E-3</v>
      </c>
      <c r="B305" s="2">
        <v>2.3225183000000001E-3</v>
      </c>
      <c r="C305" s="2">
        <v>3.0592452E-3</v>
      </c>
      <c r="D305" s="2">
        <v>7.5505887999999998E-3</v>
      </c>
      <c r="E305" s="2"/>
      <c r="F305" s="2"/>
    </row>
    <row r="306" spans="1:6" x14ac:dyDescent="0.2">
      <c r="A306" s="2">
        <v>0.12476648</v>
      </c>
      <c r="B306" s="2">
        <v>0.22987231999999999</v>
      </c>
      <c r="C306" s="2">
        <v>4.5810044000000001E-2</v>
      </c>
      <c r="D306" s="2">
        <v>2.0098481000000001E-2</v>
      </c>
      <c r="E306" s="2"/>
      <c r="F306" s="2"/>
    </row>
    <row r="307" spans="1:6" x14ac:dyDescent="0.2">
      <c r="A307" s="2">
        <v>1.2060759000000001</v>
      </c>
      <c r="B307" s="2">
        <v>0.37319353</v>
      </c>
      <c r="C307" s="2">
        <v>0.35924718</v>
      </c>
      <c r="D307" s="2">
        <v>0.45472815999999999</v>
      </c>
      <c r="E307" s="2"/>
      <c r="F307" s="2"/>
    </row>
    <row r="308" spans="1:6" x14ac:dyDescent="0.2">
      <c r="A308" s="2">
        <v>0</v>
      </c>
      <c r="B308" s="2">
        <v>0</v>
      </c>
      <c r="C308" s="2">
        <v>0</v>
      </c>
      <c r="D308" s="2">
        <v>0</v>
      </c>
      <c r="E308" s="2"/>
      <c r="F308" s="2"/>
    </row>
    <row r="309" spans="1:6" x14ac:dyDescent="0.2">
      <c r="A309" s="2">
        <v>0</v>
      </c>
      <c r="B309" s="2">
        <v>0</v>
      </c>
      <c r="C309" s="2">
        <v>0</v>
      </c>
      <c r="D309" s="2">
        <v>0</v>
      </c>
      <c r="E309" s="2"/>
      <c r="F309" s="2"/>
    </row>
    <row r="310" spans="1:6" x14ac:dyDescent="0.2">
      <c r="A310" s="2">
        <v>1.2923707E-3</v>
      </c>
      <c r="B310" s="2">
        <v>3.1394452999999999E-3</v>
      </c>
      <c r="C310" s="2">
        <v>3.0580198000000002E-3</v>
      </c>
      <c r="D310" s="2">
        <v>0</v>
      </c>
      <c r="E310" s="2"/>
      <c r="F310" s="2"/>
    </row>
    <row r="311" spans="1:6" x14ac:dyDescent="0.2">
      <c r="A311" s="2">
        <v>0</v>
      </c>
      <c r="B311" s="2">
        <v>0</v>
      </c>
      <c r="C311" s="2">
        <v>0</v>
      </c>
      <c r="D311" s="2">
        <v>0</v>
      </c>
      <c r="E311" s="2"/>
      <c r="F311" s="2"/>
    </row>
    <row r="312" spans="1:6" x14ac:dyDescent="0.2">
      <c r="A312" s="2">
        <v>0</v>
      </c>
      <c r="B312" s="2">
        <v>0</v>
      </c>
      <c r="C312" s="2">
        <v>6.9349044000000003E-4</v>
      </c>
      <c r="D312" s="2">
        <v>0</v>
      </c>
      <c r="E312" s="2"/>
      <c r="F312" s="2"/>
    </row>
    <row r="313" spans="1:6" x14ac:dyDescent="0.2">
      <c r="A313" s="2">
        <v>0</v>
      </c>
      <c r="B313" s="2">
        <v>2.5973446000000002E-4</v>
      </c>
      <c r="C313" s="2">
        <v>1.1755729E-3</v>
      </c>
      <c r="D313" s="2">
        <v>0</v>
      </c>
      <c r="E313" s="2"/>
      <c r="F313" s="2"/>
    </row>
    <row r="314" spans="1:6" x14ac:dyDescent="0.2">
      <c r="A314" s="2">
        <v>1.1013284E-4</v>
      </c>
      <c r="B314" s="2">
        <v>9.4808964999999995E-4</v>
      </c>
      <c r="C314" s="2">
        <v>2.4423438999999999E-3</v>
      </c>
      <c r="D314" s="2">
        <v>2.7943530999999999E-3</v>
      </c>
      <c r="E314" s="2"/>
      <c r="F314" s="2"/>
    </row>
    <row r="315" spans="1:6" x14ac:dyDescent="0.2">
      <c r="A315" s="2">
        <v>0</v>
      </c>
      <c r="B315" s="2">
        <v>1.3009934E-3</v>
      </c>
      <c r="C315" s="2">
        <v>8.5128755999999998E-4</v>
      </c>
      <c r="D315" s="2">
        <v>0</v>
      </c>
      <c r="E315" s="2"/>
      <c r="F315" s="2"/>
    </row>
    <row r="316" spans="1:6" x14ac:dyDescent="0.2">
      <c r="A316" s="2">
        <v>8.4184110000000006E-3</v>
      </c>
      <c r="B316" s="2">
        <v>1.9892506000000001E-2</v>
      </c>
      <c r="C316" s="2">
        <v>4.8371270000000001E-2</v>
      </c>
      <c r="D316" s="2">
        <v>6.2631875000000004E-2</v>
      </c>
      <c r="E316" s="2"/>
      <c r="F316" s="2"/>
    </row>
    <row r="317" spans="1:6" x14ac:dyDescent="0.2">
      <c r="A317" s="2">
        <v>0.18984968999999999</v>
      </c>
      <c r="B317" s="2">
        <v>8.4995255000000006E-2</v>
      </c>
      <c r="C317" s="2">
        <v>6.0632046000000002E-2</v>
      </c>
      <c r="D317" s="2">
        <v>6.5843761000000001E-2</v>
      </c>
      <c r="E317" s="2"/>
      <c r="F317" s="2"/>
    </row>
    <row r="318" spans="1:6" x14ac:dyDescent="0.2">
      <c r="A318" s="2">
        <v>8.9492164999999992E-3</v>
      </c>
      <c r="B318" s="2">
        <v>4.5449349999999999E-2</v>
      </c>
      <c r="C318" s="2">
        <v>2.0154696E-2</v>
      </c>
      <c r="D318" s="2">
        <v>6.3582589000000002E-3</v>
      </c>
      <c r="E318" s="2"/>
      <c r="F318" s="2"/>
    </row>
    <row r="319" spans="1:6" x14ac:dyDescent="0.2">
      <c r="A319" s="2">
        <v>0</v>
      </c>
      <c r="B319" s="2">
        <v>0</v>
      </c>
      <c r="C319" s="2">
        <v>1.0179129E-3</v>
      </c>
      <c r="D319" s="2">
        <v>0</v>
      </c>
      <c r="E319" s="2"/>
      <c r="F319" s="2"/>
    </row>
    <row r="320" spans="1:6" x14ac:dyDescent="0.2">
      <c r="A320" s="1" t="s">
        <v>17</v>
      </c>
    </row>
    <row r="321" spans="1:6" x14ac:dyDescent="0.2">
      <c r="A321" s="2">
        <v>203584.28</v>
      </c>
      <c r="B321" s="2">
        <v>112849.13</v>
      </c>
      <c r="C321" s="2">
        <v>51066.5</v>
      </c>
      <c r="D321" s="2">
        <v>4954.7837</v>
      </c>
      <c r="E321" s="2"/>
      <c r="F321" s="2"/>
    </row>
    <row r="322" spans="1:6" x14ac:dyDescent="0.2">
      <c r="A322" s="2">
        <v>1.6737116999999999E-2</v>
      </c>
      <c r="B322" s="2">
        <v>0.14267725000000001</v>
      </c>
      <c r="C322" s="2">
        <v>0.80747634000000001</v>
      </c>
      <c r="D322" s="2">
        <v>1</v>
      </c>
      <c r="E322" s="2"/>
      <c r="F322" s="2"/>
    </row>
    <row r="323" spans="1:6" x14ac:dyDescent="0.2">
      <c r="A323" s="2">
        <v>0.57791643999999998</v>
      </c>
      <c r="B323" s="2">
        <v>0.81533104000000001</v>
      </c>
      <c r="C323" s="2">
        <v>0.98074764000000003</v>
      </c>
      <c r="D323" s="2">
        <v>1</v>
      </c>
      <c r="E323" s="2"/>
      <c r="F323" s="2"/>
    </row>
    <row r="324" spans="1:6" x14ac:dyDescent="0.2">
      <c r="A324" s="2">
        <v>0</v>
      </c>
      <c r="B324" s="2">
        <v>0</v>
      </c>
      <c r="C324" s="2">
        <v>4.1603394999999996E-3</v>
      </c>
      <c r="D324" s="2">
        <v>0</v>
      </c>
      <c r="E324" s="2"/>
      <c r="F324" s="2"/>
    </row>
    <row r="325" spans="1:6" x14ac:dyDescent="0.2">
      <c r="A325" s="2">
        <v>0</v>
      </c>
      <c r="B325" s="2">
        <v>4.1308516E-4</v>
      </c>
      <c r="C325" s="2">
        <v>4.4231041999999998E-3</v>
      </c>
      <c r="D325" s="2">
        <v>0</v>
      </c>
      <c r="E325" s="2"/>
      <c r="F325" s="2"/>
    </row>
    <row r="326" spans="1:6" x14ac:dyDescent="0.2">
      <c r="A326" s="2">
        <v>0</v>
      </c>
      <c r="B326" s="2">
        <v>2.4231869999999998E-3</v>
      </c>
      <c r="C326" s="2">
        <v>1.3805385E-2</v>
      </c>
      <c r="D326" s="2">
        <v>0</v>
      </c>
      <c r="E326" s="2"/>
      <c r="F326" s="2"/>
    </row>
    <row r="327" spans="1:6" x14ac:dyDescent="0.2">
      <c r="A327" s="2">
        <v>4.5865224999999997E-3</v>
      </c>
      <c r="B327" s="2">
        <v>9.7759447999999999E-2</v>
      </c>
      <c r="C327" s="2">
        <v>0.18317014000000001</v>
      </c>
      <c r="D327" s="2">
        <v>0.20191677999999999</v>
      </c>
      <c r="E327" s="2"/>
      <c r="F327" s="2"/>
    </row>
    <row r="328" spans="1:6" x14ac:dyDescent="0.2">
      <c r="A328" s="2">
        <v>0</v>
      </c>
      <c r="B328" s="2">
        <v>1.1421515E-2</v>
      </c>
      <c r="C328" s="2">
        <v>3.3221754999999999E-2</v>
      </c>
      <c r="D328" s="2">
        <v>2.0336264999999999E-2</v>
      </c>
      <c r="E328" s="2"/>
      <c r="F328" s="2"/>
    </row>
    <row r="329" spans="1:6" x14ac:dyDescent="0.2">
      <c r="A329" s="2">
        <v>1.4539789000000001E-4</v>
      </c>
      <c r="B329" s="2">
        <v>5.6992066000000003E-3</v>
      </c>
      <c r="C329" s="2">
        <v>1.7632802999999999E-2</v>
      </c>
      <c r="D329" s="2">
        <v>0</v>
      </c>
      <c r="E329" s="2"/>
      <c r="F329" s="2"/>
    </row>
    <row r="330" spans="1:6" x14ac:dyDescent="0.2">
      <c r="A330" s="2">
        <v>0</v>
      </c>
      <c r="B330" s="2">
        <v>1.3300977E-4</v>
      </c>
      <c r="C330" s="2">
        <v>0</v>
      </c>
      <c r="D330" s="2">
        <v>0</v>
      </c>
      <c r="E330" s="2"/>
      <c r="F330" s="2"/>
    </row>
    <row r="331" spans="1:6" x14ac:dyDescent="0.2">
      <c r="A331" s="2">
        <v>0</v>
      </c>
      <c r="B331" s="2">
        <v>1.6867891E-3</v>
      </c>
      <c r="C331" s="2">
        <v>0</v>
      </c>
      <c r="D331" s="2">
        <v>0</v>
      </c>
      <c r="E331" s="2"/>
      <c r="F331" s="2"/>
    </row>
    <row r="332" spans="1:6" x14ac:dyDescent="0.2">
      <c r="A332" s="2">
        <v>1.5033468000000001E-3</v>
      </c>
      <c r="B332" s="2">
        <v>1.4439997999999999E-3</v>
      </c>
      <c r="C332" s="2">
        <v>5.1295069999999999E-4</v>
      </c>
      <c r="D332" s="2">
        <v>0</v>
      </c>
      <c r="E332" s="2"/>
      <c r="F332" s="2"/>
    </row>
    <row r="333" spans="1:6" x14ac:dyDescent="0.2">
      <c r="A333" s="2">
        <v>1.7432164E-3</v>
      </c>
      <c r="B333" s="2">
        <v>9.4544953000000008E-3</v>
      </c>
      <c r="C333" s="2">
        <v>1.0237431E-3</v>
      </c>
      <c r="D333" s="2">
        <v>0</v>
      </c>
      <c r="E333" s="2"/>
      <c r="F333" s="2"/>
    </row>
    <row r="334" spans="1:6" x14ac:dyDescent="0.2">
      <c r="A334" s="2">
        <v>4.4548864999999997E-3</v>
      </c>
      <c r="B334" s="2">
        <v>2.1719788E-3</v>
      </c>
      <c r="C334" s="2">
        <v>3.0712292E-3</v>
      </c>
      <c r="D334" s="2">
        <v>7.4850945E-3</v>
      </c>
      <c r="E334" s="2"/>
      <c r="F334" s="2"/>
    </row>
    <row r="335" spans="1:6" x14ac:dyDescent="0.2">
      <c r="A335" s="2">
        <v>0.11133675</v>
      </c>
      <c r="B335" s="2">
        <v>0.23719941</v>
      </c>
      <c r="C335" s="2">
        <v>5.3942564999999998E-2</v>
      </c>
      <c r="D335" s="2">
        <v>1.8678887000000002E-2</v>
      </c>
      <c r="E335" s="2"/>
      <c r="F335" s="2"/>
    </row>
    <row r="336" spans="1:6" x14ac:dyDescent="0.2">
      <c r="A336" s="2">
        <v>1.30264</v>
      </c>
      <c r="B336" s="2">
        <v>0.38347238</v>
      </c>
      <c r="C336" s="2">
        <v>0.33195424000000001</v>
      </c>
      <c r="D336" s="2">
        <v>0.44829327000000002</v>
      </c>
      <c r="E336" s="2"/>
      <c r="F336" s="2"/>
    </row>
    <row r="337" spans="1:6" x14ac:dyDescent="0.2">
      <c r="A337" s="2">
        <v>0</v>
      </c>
      <c r="B337" s="2">
        <v>0</v>
      </c>
      <c r="C337" s="2">
        <v>0</v>
      </c>
      <c r="D337" s="2">
        <v>0</v>
      </c>
      <c r="E337" s="2"/>
      <c r="F337" s="2"/>
    </row>
    <row r="338" spans="1:6" x14ac:dyDescent="0.2">
      <c r="A338" s="2">
        <v>0</v>
      </c>
      <c r="B338" s="2">
        <v>0</v>
      </c>
      <c r="C338" s="2">
        <v>0</v>
      </c>
      <c r="D338" s="2">
        <v>0</v>
      </c>
      <c r="E338" s="2"/>
      <c r="F338" s="2"/>
    </row>
    <row r="339" spans="1:6" x14ac:dyDescent="0.2">
      <c r="A339" s="2">
        <v>1.2392141E-3</v>
      </c>
      <c r="B339" s="2">
        <v>2.8496033000000001E-3</v>
      </c>
      <c r="C339" s="2">
        <v>2.5583326000000002E-3</v>
      </c>
      <c r="D339" s="2">
        <v>0</v>
      </c>
      <c r="E339" s="2"/>
      <c r="F339" s="2"/>
    </row>
    <row r="340" spans="1:6" x14ac:dyDescent="0.2">
      <c r="A340" s="2">
        <v>0</v>
      </c>
      <c r="B340" s="2">
        <v>0</v>
      </c>
      <c r="C340" s="2">
        <v>0</v>
      </c>
      <c r="D340" s="2">
        <v>0</v>
      </c>
      <c r="E340" s="2"/>
      <c r="F340" s="2"/>
    </row>
    <row r="341" spans="1:6" x14ac:dyDescent="0.2">
      <c r="A341" s="2">
        <v>0</v>
      </c>
      <c r="B341" s="2">
        <v>0</v>
      </c>
      <c r="C341" s="2">
        <v>7.8006368E-4</v>
      </c>
      <c r="D341" s="2">
        <v>0</v>
      </c>
      <c r="E341" s="2"/>
      <c r="F341" s="2"/>
    </row>
    <row r="342" spans="1:6" x14ac:dyDescent="0.2">
      <c r="A342" s="2">
        <v>0</v>
      </c>
      <c r="B342" s="2">
        <v>2.5718734999999999E-4</v>
      </c>
      <c r="C342" s="2">
        <v>1.0074878999999999E-3</v>
      </c>
      <c r="D342" s="2">
        <v>0</v>
      </c>
      <c r="E342" s="2"/>
      <c r="F342" s="2"/>
    </row>
    <row r="343" spans="1:6" x14ac:dyDescent="0.2">
      <c r="A343" s="2">
        <v>9.8334738999999999E-5</v>
      </c>
      <c r="B343" s="2">
        <v>9.400608E-4</v>
      </c>
      <c r="C343" s="2">
        <v>2.5248967999999998E-3</v>
      </c>
      <c r="D343" s="2">
        <v>2.8979037000000001E-3</v>
      </c>
      <c r="E343" s="2"/>
      <c r="F343" s="2"/>
    </row>
    <row r="344" spans="1:6" x14ac:dyDescent="0.2">
      <c r="A344" s="2">
        <v>0</v>
      </c>
      <c r="B344" s="2">
        <v>1.7943275E-3</v>
      </c>
      <c r="C344" s="2">
        <v>1.2767461999999999E-3</v>
      </c>
      <c r="D344" s="2">
        <v>0</v>
      </c>
      <c r="E344" s="2"/>
      <c r="F344" s="2"/>
    </row>
    <row r="345" spans="1:6" x14ac:dyDescent="0.2">
      <c r="A345" s="2">
        <v>1.2418696999999999E-2</v>
      </c>
      <c r="B345" s="2">
        <v>2.0720671999999999E-2</v>
      </c>
      <c r="C345" s="2">
        <v>4.8364259E-2</v>
      </c>
      <c r="D345" s="2">
        <v>6.0141503999999998E-2</v>
      </c>
      <c r="E345" s="2"/>
      <c r="F345" s="2"/>
    </row>
    <row r="346" spans="1:6" x14ac:dyDescent="0.2">
      <c r="A346" s="2">
        <v>0.20597905999999999</v>
      </c>
      <c r="B346" s="2">
        <v>8.6975655999999998E-2</v>
      </c>
      <c r="C346" s="2">
        <v>6.0203429000000003E-2</v>
      </c>
      <c r="D346" s="2">
        <v>6.0141503999999998E-2</v>
      </c>
      <c r="E346" s="2"/>
      <c r="F346" s="2"/>
    </row>
    <row r="347" spans="1:6" x14ac:dyDescent="0.2">
      <c r="A347" s="2">
        <v>9.5345844000000006E-3</v>
      </c>
      <c r="B347" s="2">
        <v>4.3188299999999999E-2</v>
      </c>
      <c r="C347" s="2">
        <v>2.0151775E-2</v>
      </c>
      <c r="D347" s="2">
        <v>7.1433675E-3</v>
      </c>
      <c r="E347" s="2"/>
      <c r="F347" s="2"/>
    </row>
    <row r="348" spans="1:6" x14ac:dyDescent="0.2">
      <c r="A348" s="2">
        <v>0</v>
      </c>
      <c r="B348" s="2">
        <v>0</v>
      </c>
      <c r="C348" s="2">
        <v>1.0219003E-3</v>
      </c>
      <c r="D348" s="2">
        <v>0</v>
      </c>
      <c r="E348" s="2"/>
      <c r="F348" s="2"/>
    </row>
    <row r="349" spans="1:6" x14ac:dyDescent="0.2">
      <c r="A349" s="1" t="s">
        <v>18</v>
      </c>
    </row>
    <row r="350" spans="1:6" x14ac:dyDescent="0.2">
      <c r="A350" s="2">
        <v>256915.77</v>
      </c>
      <c r="B350" s="2">
        <v>141840.75</v>
      </c>
      <c r="C350" s="2">
        <v>49796.171999999999</v>
      </c>
      <c r="D350" s="2">
        <v>6486.7329</v>
      </c>
      <c r="E350" s="2"/>
      <c r="F350" s="2"/>
    </row>
    <row r="351" spans="1:6" x14ac:dyDescent="0.2">
      <c r="A351" s="2">
        <v>2.4802126000000001E-2</v>
      </c>
      <c r="B351" s="2">
        <v>0.13078313</v>
      </c>
      <c r="C351" s="2">
        <v>0.64952933999999996</v>
      </c>
      <c r="D351" s="2">
        <v>1</v>
      </c>
      <c r="E351" s="2"/>
      <c r="F351" s="2"/>
    </row>
    <row r="352" spans="1:6" x14ac:dyDescent="0.2">
      <c r="A352" s="2">
        <v>0.57213199000000003</v>
      </c>
      <c r="B352" s="2">
        <v>0.80178583000000003</v>
      </c>
      <c r="C352" s="2">
        <v>0.96495295000000003</v>
      </c>
      <c r="D352" s="2">
        <v>1</v>
      </c>
      <c r="E352" s="2"/>
      <c r="F352" s="2"/>
    </row>
    <row r="353" spans="1:6" x14ac:dyDescent="0.2">
      <c r="A353" s="2">
        <v>0</v>
      </c>
      <c r="B353" s="2">
        <v>0</v>
      </c>
      <c r="C353" s="2">
        <v>3.5285024999999999E-3</v>
      </c>
      <c r="D353" s="2">
        <v>5.8345250000000001E-3</v>
      </c>
      <c r="E353" s="2"/>
      <c r="F353" s="2"/>
    </row>
    <row r="354" spans="1:6" x14ac:dyDescent="0.2">
      <c r="A354" s="2">
        <v>0</v>
      </c>
      <c r="B354" s="2">
        <v>2.1277993999999998E-3</v>
      </c>
      <c r="C354" s="2">
        <v>1.0863668999999999E-2</v>
      </c>
      <c r="D354" s="2">
        <v>5.8128308E-3</v>
      </c>
      <c r="E354" s="2"/>
      <c r="F354" s="2"/>
    </row>
    <row r="355" spans="1:6" x14ac:dyDescent="0.2">
      <c r="A355" s="2">
        <v>0</v>
      </c>
      <c r="B355" s="2">
        <v>2.8804210000000002E-3</v>
      </c>
      <c r="C355" s="2">
        <v>2.3111591000000001E-2</v>
      </c>
      <c r="D355" s="2">
        <v>2.1508241000000001E-2</v>
      </c>
      <c r="E355" s="2"/>
      <c r="F355" s="2"/>
    </row>
    <row r="356" spans="1:6" x14ac:dyDescent="0.2">
      <c r="A356" s="2">
        <v>9.4483594999999999E-4</v>
      </c>
      <c r="B356" s="2">
        <v>4.5635473000000003E-2</v>
      </c>
      <c r="C356" s="2">
        <v>0.19576825</v>
      </c>
      <c r="D356" s="2">
        <v>5.6519311000000003E-2</v>
      </c>
      <c r="E356" s="2"/>
      <c r="F356" s="2"/>
    </row>
    <row r="357" spans="1:6" x14ac:dyDescent="0.2">
      <c r="A357" s="2">
        <v>0</v>
      </c>
      <c r="B357" s="2">
        <v>5.0283903000000003E-3</v>
      </c>
      <c r="C357" s="2">
        <v>6.7515750000000001E-3</v>
      </c>
      <c r="D357" s="2">
        <v>1.2350481999999999E-2</v>
      </c>
      <c r="E357" s="2"/>
      <c r="F357" s="2"/>
    </row>
    <row r="358" spans="1:6" x14ac:dyDescent="0.2">
      <c r="A358" s="2">
        <v>3.4445213E-4</v>
      </c>
      <c r="B358" s="2">
        <v>3.8697313999999997E-2</v>
      </c>
      <c r="C358" s="2">
        <v>6.7050464000000004E-2</v>
      </c>
      <c r="D358" s="2">
        <v>2.7271798E-2</v>
      </c>
      <c r="E358" s="2"/>
      <c r="F358" s="2"/>
    </row>
    <row r="359" spans="1:6" x14ac:dyDescent="0.2">
      <c r="A359" s="2">
        <v>0</v>
      </c>
      <c r="B359" s="2">
        <v>0</v>
      </c>
      <c r="C359" s="2">
        <v>0</v>
      </c>
      <c r="D359" s="2">
        <v>0</v>
      </c>
      <c r="E359" s="2"/>
      <c r="F359" s="2"/>
    </row>
    <row r="360" spans="1:6" x14ac:dyDescent="0.2">
      <c r="A360" s="2">
        <v>0</v>
      </c>
      <c r="B360" s="2">
        <v>2.5706041999999998E-3</v>
      </c>
      <c r="C360" s="2">
        <v>4.6877422999999996E-3</v>
      </c>
      <c r="D360" s="2">
        <v>0</v>
      </c>
      <c r="E360" s="2"/>
      <c r="F360" s="2"/>
    </row>
    <row r="361" spans="1:6" x14ac:dyDescent="0.2">
      <c r="A361" s="2">
        <v>2.3743167999999999E-4</v>
      </c>
      <c r="B361" s="2">
        <v>2.382252E-2</v>
      </c>
      <c r="C361" s="2">
        <v>1.3159937E-2</v>
      </c>
      <c r="D361" s="2">
        <v>1.0500672000000001E-2</v>
      </c>
      <c r="E361" s="2"/>
      <c r="F361" s="2"/>
    </row>
    <row r="362" spans="1:6" x14ac:dyDescent="0.2">
      <c r="A362" s="2">
        <v>2.2942964000000001E-4</v>
      </c>
      <c r="B362" s="2">
        <v>2.0148259000000002E-2</v>
      </c>
      <c r="C362" s="2">
        <v>2.5326484999999999E-2</v>
      </c>
      <c r="D362" s="2">
        <v>1.7522263999999999E-2</v>
      </c>
      <c r="E362" s="2"/>
      <c r="F362" s="2"/>
    </row>
    <row r="363" spans="1:6" x14ac:dyDescent="0.2">
      <c r="A363" s="2">
        <v>8.4124202999999995E-4</v>
      </c>
      <c r="B363" s="2">
        <v>1.7515823E-2</v>
      </c>
      <c r="C363" s="2">
        <v>0</v>
      </c>
      <c r="D363" s="2">
        <v>0</v>
      </c>
      <c r="E363" s="2"/>
      <c r="F363" s="2"/>
    </row>
    <row r="364" spans="1:6" x14ac:dyDescent="0.2">
      <c r="A364" s="2">
        <v>8.2672149E-2</v>
      </c>
      <c r="B364" s="2">
        <v>0.29973155000000001</v>
      </c>
      <c r="C364" s="2">
        <v>4.7524597000000002E-2</v>
      </c>
      <c r="D364" s="2">
        <v>2.0988682000000002E-2</v>
      </c>
      <c r="E364" s="2"/>
      <c r="F364" s="2"/>
    </row>
    <row r="365" spans="1:6" x14ac:dyDescent="0.2">
      <c r="A365" s="2">
        <v>0.37792980999999998</v>
      </c>
      <c r="B365" s="2">
        <v>0.44427212999999999</v>
      </c>
      <c r="C365" s="2">
        <v>0.39255315000000002</v>
      </c>
      <c r="D365" s="2">
        <v>0.39178875000000002</v>
      </c>
      <c r="E365" s="2"/>
      <c r="F365" s="2"/>
    </row>
    <row r="366" spans="1:6" x14ac:dyDescent="0.2">
      <c r="A366" s="2">
        <v>0</v>
      </c>
      <c r="B366" s="2">
        <v>0</v>
      </c>
      <c r="C366" s="2">
        <v>0</v>
      </c>
      <c r="D366" s="2">
        <v>0</v>
      </c>
      <c r="E366" s="2"/>
      <c r="F366" s="2"/>
    </row>
    <row r="367" spans="1:6" x14ac:dyDescent="0.2">
      <c r="A367" s="2">
        <v>0</v>
      </c>
      <c r="B367" s="2">
        <v>0</v>
      </c>
      <c r="C367" s="2">
        <v>0</v>
      </c>
      <c r="D367" s="2">
        <v>0</v>
      </c>
      <c r="E367" s="2"/>
      <c r="F367" s="2"/>
    </row>
    <row r="368" spans="1:6" x14ac:dyDescent="0.2">
      <c r="A368" s="2">
        <v>0</v>
      </c>
      <c r="B368" s="2">
        <v>1.2112156000000001E-2</v>
      </c>
      <c r="C368" s="2">
        <v>1.8752847E-2</v>
      </c>
      <c r="D368" s="2">
        <v>1.7584224999999998E-2</v>
      </c>
      <c r="E368" s="2"/>
      <c r="F368" s="2"/>
    </row>
    <row r="369" spans="1:6" x14ac:dyDescent="0.2">
      <c r="A369" s="2">
        <v>5.4224546000000002E-4</v>
      </c>
      <c r="B369" s="2">
        <v>0</v>
      </c>
      <c r="C369" s="2">
        <v>0</v>
      </c>
      <c r="D369" s="2">
        <v>0</v>
      </c>
      <c r="E369" s="2"/>
      <c r="F369" s="2"/>
    </row>
    <row r="370" spans="1:6" x14ac:dyDescent="0.2">
      <c r="A370" s="2">
        <v>0</v>
      </c>
      <c r="B370" s="2">
        <v>0</v>
      </c>
      <c r="C370" s="2">
        <v>1.0856931E-3</v>
      </c>
      <c r="D370" s="2">
        <v>1.9448416999999999E-3</v>
      </c>
      <c r="E370" s="2"/>
      <c r="F370" s="2"/>
    </row>
    <row r="371" spans="1:6" x14ac:dyDescent="0.2">
      <c r="A371" s="2">
        <v>0</v>
      </c>
      <c r="B371" s="2">
        <v>2.3438253E-3</v>
      </c>
      <c r="C371" s="2">
        <v>1.0516667E-3</v>
      </c>
      <c r="D371" s="2">
        <v>0</v>
      </c>
      <c r="E371" s="2"/>
      <c r="F371" s="2"/>
    </row>
    <row r="372" spans="1:6" x14ac:dyDescent="0.2">
      <c r="A372" s="2">
        <v>2.0257220000000001E-5</v>
      </c>
      <c r="B372" s="2">
        <v>4.3883348E-4</v>
      </c>
      <c r="C372" s="2">
        <v>2.6985545999999999E-3</v>
      </c>
      <c r="D372" s="2">
        <v>8.1116350000000001E-4</v>
      </c>
      <c r="E372" s="2"/>
      <c r="F372" s="2"/>
    </row>
    <row r="373" spans="1:6" x14ac:dyDescent="0.2">
      <c r="A373" s="2">
        <v>0</v>
      </c>
      <c r="B373" s="2">
        <v>2.187591E-3</v>
      </c>
      <c r="C373" s="2">
        <v>0</v>
      </c>
      <c r="D373" s="2">
        <v>0</v>
      </c>
      <c r="E373" s="2"/>
      <c r="F373" s="2"/>
    </row>
    <row r="374" spans="1:6" x14ac:dyDescent="0.2">
      <c r="A374" s="2">
        <v>1.0144923E-2</v>
      </c>
      <c r="B374" s="2">
        <v>1.9258399999999998E-2</v>
      </c>
      <c r="C374" s="2">
        <v>4.8644452999999997E-2</v>
      </c>
      <c r="D374" s="2">
        <v>9.3503303999999995E-2</v>
      </c>
      <c r="E374" s="2"/>
      <c r="F374" s="2"/>
    </row>
    <row r="375" spans="1:6" x14ac:dyDescent="0.2">
      <c r="A375" s="2">
        <v>0.16367142000000001</v>
      </c>
      <c r="B375" s="2">
        <v>0.15467536000000001</v>
      </c>
      <c r="C375" s="2">
        <v>9.7551851999999994E-2</v>
      </c>
      <c r="D375" s="2">
        <v>8.9607335999999996E-2</v>
      </c>
      <c r="E375" s="2"/>
      <c r="F375" s="2"/>
    </row>
    <row r="376" spans="1:6" x14ac:dyDescent="0.2">
      <c r="A376" s="2">
        <v>2.1365028000000001E-2</v>
      </c>
      <c r="B376" s="2">
        <v>9.2738807000000006E-2</v>
      </c>
      <c r="C376" s="2">
        <v>9.7288906999999994E-2</v>
      </c>
      <c r="D376" s="2">
        <v>0.10219014999999999</v>
      </c>
      <c r="E376" s="2"/>
      <c r="F376" s="2"/>
    </row>
    <row r="377" spans="1:6" x14ac:dyDescent="0.2">
      <c r="A377" s="2">
        <v>0</v>
      </c>
      <c r="B377" s="2">
        <v>5.5911490000000001E-3</v>
      </c>
      <c r="C377" s="2">
        <v>0</v>
      </c>
      <c r="D377" s="2">
        <v>1.3923892E-2</v>
      </c>
      <c r="E377" s="2"/>
      <c r="F377" s="2"/>
    </row>
    <row r="378" spans="1:6" x14ac:dyDescent="0.2">
      <c r="A378" s="1" t="s">
        <v>19</v>
      </c>
    </row>
    <row r="379" spans="1:6" x14ac:dyDescent="0.2">
      <c r="A379" s="2">
        <v>23598.26</v>
      </c>
      <c r="B379" s="2">
        <v>11173.7</v>
      </c>
      <c r="C379" s="2">
        <v>1250.7340999999999</v>
      </c>
      <c r="D379" s="2">
        <v>77.016373000000002</v>
      </c>
      <c r="E379" s="2"/>
      <c r="F379" s="2"/>
    </row>
    <row r="380" spans="1:6" x14ac:dyDescent="0.2">
      <c r="A380" s="2">
        <v>2.7239620999999999E-2</v>
      </c>
      <c r="B380" s="2">
        <v>0.36708146000000003</v>
      </c>
      <c r="C380" s="2">
        <v>0.90513801999999999</v>
      </c>
      <c r="D380" s="2">
        <v>1</v>
      </c>
      <c r="E380" s="2"/>
      <c r="F380" s="2"/>
    </row>
    <row r="381" spans="1:6" x14ac:dyDescent="0.2">
      <c r="A381" s="2">
        <v>0.61870634999999996</v>
      </c>
      <c r="B381" s="2">
        <v>0.86861312000000002</v>
      </c>
      <c r="C381" s="2">
        <v>0.9905138</v>
      </c>
      <c r="D381" s="2">
        <v>1</v>
      </c>
      <c r="E381" s="2"/>
      <c r="F381" s="2"/>
    </row>
    <row r="382" spans="1:6" x14ac:dyDescent="0.2">
      <c r="A382" s="2">
        <v>0</v>
      </c>
      <c r="B382" s="2">
        <v>0</v>
      </c>
      <c r="C382" s="2">
        <v>0</v>
      </c>
      <c r="D382" s="2">
        <v>0</v>
      </c>
      <c r="E382" s="2"/>
      <c r="F382" s="2"/>
    </row>
    <row r="383" spans="1:6" x14ac:dyDescent="0.2">
      <c r="A383" s="2">
        <v>0</v>
      </c>
      <c r="B383" s="2">
        <v>0</v>
      </c>
      <c r="C383" s="2">
        <v>2.1424964000000001E-2</v>
      </c>
      <c r="D383" s="2">
        <v>0</v>
      </c>
      <c r="E383" s="2"/>
      <c r="F383" s="2"/>
    </row>
    <row r="384" spans="1:6" x14ac:dyDescent="0.2">
      <c r="A384" s="2">
        <v>0</v>
      </c>
      <c r="B384" s="2">
        <v>2.2510927E-2</v>
      </c>
      <c r="C384" s="2">
        <v>0</v>
      </c>
      <c r="D384" s="2">
        <v>0</v>
      </c>
      <c r="E384" s="2"/>
      <c r="F384" s="2"/>
    </row>
    <row r="385" spans="1:6" x14ac:dyDescent="0.2">
      <c r="A385" s="2">
        <v>0</v>
      </c>
      <c r="B385" s="2">
        <v>0.13971782999999999</v>
      </c>
      <c r="C385" s="2">
        <v>0</v>
      </c>
      <c r="D385" s="2">
        <v>0</v>
      </c>
      <c r="E385" s="2"/>
      <c r="F385" s="2"/>
    </row>
    <row r="386" spans="1:6" x14ac:dyDescent="0.2">
      <c r="A386" s="2">
        <v>0</v>
      </c>
      <c r="B386" s="2">
        <v>0</v>
      </c>
      <c r="C386" s="2">
        <v>0</v>
      </c>
      <c r="D386" s="2">
        <v>0</v>
      </c>
      <c r="E386" s="2"/>
      <c r="F386" s="2"/>
    </row>
    <row r="387" spans="1:6" x14ac:dyDescent="0.2">
      <c r="A387" s="2">
        <v>0</v>
      </c>
      <c r="B387" s="2">
        <v>0.42114940000000001</v>
      </c>
      <c r="C387" s="2">
        <v>0</v>
      </c>
      <c r="D387" s="2">
        <v>0</v>
      </c>
      <c r="E387" s="2"/>
      <c r="F387" s="2"/>
    </row>
    <row r="388" spans="1:6" x14ac:dyDescent="0.2">
      <c r="A388" s="2">
        <v>0</v>
      </c>
      <c r="B388" s="2">
        <v>0</v>
      </c>
      <c r="C388" s="2">
        <v>0</v>
      </c>
      <c r="D388" s="2">
        <v>0</v>
      </c>
      <c r="E388" s="2"/>
      <c r="F388" s="2"/>
    </row>
    <row r="389" spans="1:6" x14ac:dyDescent="0.2">
      <c r="A389" s="2">
        <v>4.7439444000000001E-3</v>
      </c>
      <c r="B389" s="2">
        <v>0</v>
      </c>
      <c r="C389" s="2">
        <v>0</v>
      </c>
      <c r="D389" s="2">
        <v>0</v>
      </c>
      <c r="E389" s="2"/>
      <c r="F389" s="2"/>
    </row>
    <row r="390" spans="1:6" x14ac:dyDescent="0.2">
      <c r="A390" s="2">
        <v>3.1446998000000002E-3</v>
      </c>
      <c r="B390" s="2">
        <v>4.8779896000000003E-3</v>
      </c>
      <c r="C390" s="2">
        <v>0</v>
      </c>
      <c r="D390" s="2">
        <v>0</v>
      </c>
      <c r="E390" s="2"/>
      <c r="F390" s="2"/>
    </row>
    <row r="391" spans="1:6" x14ac:dyDescent="0.2">
      <c r="A391" s="2">
        <v>1.9751650999999999E-2</v>
      </c>
      <c r="B391" s="2">
        <v>6.8840033999999994E-2</v>
      </c>
      <c r="C391" s="2">
        <v>0</v>
      </c>
      <c r="D391" s="2">
        <v>0</v>
      </c>
      <c r="E391" s="2"/>
      <c r="F391" s="2"/>
    </row>
    <row r="392" spans="1:6" x14ac:dyDescent="0.2">
      <c r="A392" s="2">
        <v>1.6712936000000001E-2</v>
      </c>
      <c r="B392" s="2">
        <v>0</v>
      </c>
      <c r="C392" s="2">
        <v>0</v>
      </c>
      <c r="D392" s="2">
        <v>0</v>
      </c>
      <c r="E392" s="2"/>
      <c r="F392" s="2"/>
    </row>
    <row r="393" spans="1:6" x14ac:dyDescent="0.2">
      <c r="A393" s="2">
        <v>1.6346854</v>
      </c>
      <c r="B393" s="2">
        <v>6.2274261999999997E-2</v>
      </c>
      <c r="C393" s="2">
        <v>0</v>
      </c>
      <c r="D393" s="2">
        <v>0</v>
      </c>
      <c r="E393" s="2"/>
      <c r="F393" s="2"/>
    </row>
    <row r="394" spans="1:6" x14ac:dyDescent="0.2">
      <c r="A394" s="2">
        <v>0</v>
      </c>
      <c r="B394" s="2">
        <v>0</v>
      </c>
      <c r="C394" s="2">
        <v>0</v>
      </c>
      <c r="D394" s="2">
        <v>0</v>
      </c>
      <c r="E394" s="2"/>
      <c r="F394" s="2"/>
    </row>
    <row r="395" spans="1:6" x14ac:dyDescent="0.2">
      <c r="A395" s="2">
        <v>0</v>
      </c>
      <c r="B395" s="2">
        <v>0</v>
      </c>
      <c r="C395" s="2">
        <v>0</v>
      </c>
      <c r="D395" s="2">
        <v>0</v>
      </c>
      <c r="E395" s="2"/>
      <c r="F395" s="2"/>
    </row>
    <row r="396" spans="1:6" x14ac:dyDescent="0.2">
      <c r="A396" s="2">
        <v>0</v>
      </c>
      <c r="B396" s="2">
        <v>0</v>
      </c>
      <c r="C396" s="2">
        <v>0</v>
      </c>
      <c r="D396" s="2">
        <v>0</v>
      </c>
      <c r="E396" s="2"/>
      <c r="F396" s="2"/>
    </row>
    <row r="397" spans="1:6" x14ac:dyDescent="0.2">
      <c r="A397" s="2">
        <v>4.4864778999999999E-3</v>
      </c>
      <c r="B397" s="2">
        <v>0</v>
      </c>
      <c r="C397" s="2">
        <v>0</v>
      </c>
      <c r="D397" s="2">
        <v>0</v>
      </c>
      <c r="E397" s="2"/>
      <c r="F397" s="2"/>
    </row>
    <row r="398" spans="1:6" x14ac:dyDescent="0.2">
      <c r="A398" s="2">
        <v>1.2311746E-2</v>
      </c>
      <c r="B398" s="2">
        <v>0</v>
      </c>
      <c r="C398" s="2">
        <v>0</v>
      </c>
      <c r="D398" s="2">
        <v>0</v>
      </c>
      <c r="E398" s="2"/>
      <c r="F398" s="2"/>
    </row>
    <row r="399" spans="1:6" x14ac:dyDescent="0.2">
      <c r="A399" s="2">
        <v>0</v>
      </c>
      <c r="B399" s="2">
        <v>0</v>
      </c>
      <c r="C399" s="2">
        <v>0</v>
      </c>
      <c r="D399" s="2">
        <v>0</v>
      </c>
      <c r="E399" s="2"/>
      <c r="F399" s="2"/>
    </row>
    <row r="400" spans="1:6" x14ac:dyDescent="0.2">
      <c r="A400" s="2">
        <v>0</v>
      </c>
      <c r="B400" s="2">
        <v>0</v>
      </c>
      <c r="C400" s="2">
        <v>0</v>
      </c>
      <c r="D400" s="2">
        <v>0</v>
      </c>
      <c r="E400" s="2"/>
      <c r="F400" s="2"/>
    </row>
    <row r="401" spans="1:6" x14ac:dyDescent="0.2">
      <c r="A401" s="2">
        <v>0</v>
      </c>
      <c r="B401" s="2">
        <v>1.3435350999999999E-3</v>
      </c>
      <c r="C401" s="2">
        <v>0</v>
      </c>
      <c r="D401" s="2">
        <v>0</v>
      </c>
      <c r="E401" s="2"/>
      <c r="F401" s="2"/>
    </row>
    <row r="402" spans="1:6" x14ac:dyDescent="0.2">
      <c r="A402" s="2">
        <v>0</v>
      </c>
      <c r="B402" s="2">
        <v>0</v>
      </c>
      <c r="C402" s="2">
        <v>0</v>
      </c>
      <c r="D402" s="2">
        <v>0</v>
      </c>
      <c r="E402" s="2"/>
      <c r="F402" s="2"/>
    </row>
    <row r="403" spans="1:6" x14ac:dyDescent="0.2">
      <c r="A403" s="2">
        <v>0</v>
      </c>
      <c r="B403" s="2">
        <v>2.3764311999999999E-2</v>
      </c>
      <c r="C403" s="2">
        <v>2.0742696000000001E-2</v>
      </c>
      <c r="D403" s="2">
        <v>0</v>
      </c>
      <c r="E403" s="2"/>
      <c r="F403" s="2"/>
    </row>
    <row r="404" spans="1:6" x14ac:dyDescent="0.2">
      <c r="A404" s="2">
        <v>0</v>
      </c>
      <c r="B404" s="2">
        <v>9.5057254999999993E-3</v>
      </c>
      <c r="C404" s="2">
        <v>0</v>
      </c>
      <c r="D404" s="2">
        <v>0</v>
      </c>
      <c r="E404" s="2"/>
      <c r="F404" s="2"/>
    </row>
    <row r="405" spans="1:6" x14ac:dyDescent="0.2">
      <c r="A405" s="2">
        <v>0.14319082999999999</v>
      </c>
      <c r="B405" s="2">
        <v>0.13177596</v>
      </c>
      <c r="C405" s="2">
        <v>0.16594157000000001</v>
      </c>
      <c r="D405" s="2">
        <v>0.93545370999999999</v>
      </c>
      <c r="E405" s="2"/>
      <c r="F405" s="2"/>
    </row>
    <row r="406" spans="1:6" x14ac:dyDescent="0.2">
      <c r="A406" s="2">
        <v>0</v>
      </c>
      <c r="B406" s="2">
        <v>0</v>
      </c>
      <c r="C406" s="2">
        <v>0</v>
      </c>
      <c r="D406" s="2">
        <v>0</v>
      </c>
      <c r="E406" s="2"/>
      <c r="F406" s="2"/>
    </row>
    <row r="407" spans="1:6" x14ac:dyDescent="0.2">
      <c r="A407" s="1" t="s">
        <v>20</v>
      </c>
    </row>
    <row r="408" spans="1:6" x14ac:dyDescent="0.2">
      <c r="A408" s="2">
        <v>109713.14</v>
      </c>
      <c r="B408" s="2">
        <v>58598.199000000001</v>
      </c>
      <c r="C408" s="2">
        <v>22423.133000000002</v>
      </c>
      <c r="D408" s="2">
        <v>2701.4465</v>
      </c>
      <c r="E408" s="2"/>
      <c r="F408" s="2"/>
    </row>
    <row r="409" spans="1:6" x14ac:dyDescent="0.2">
      <c r="A409" s="2">
        <v>1.2053675E-2</v>
      </c>
      <c r="B409" s="2">
        <v>0.19114791</v>
      </c>
      <c r="C409" s="2">
        <v>0.80850171999999998</v>
      </c>
      <c r="D409" s="2">
        <v>1</v>
      </c>
      <c r="E409" s="2"/>
      <c r="F409" s="2"/>
    </row>
    <row r="410" spans="1:6" x14ac:dyDescent="0.2">
      <c r="A410" s="2">
        <v>0.58317226</v>
      </c>
      <c r="B410" s="2">
        <v>0.82583808999999997</v>
      </c>
      <c r="C410" s="2">
        <v>0.98085016000000003</v>
      </c>
      <c r="D410" s="2">
        <v>1</v>
      </c>
      <c r="E410" s="2"/>
      <c r="F410" s="2"/>
    </row>
    <row r="411" spans="1:6" x14ac:dyDescent="0.2">
      <c r="A411" s="2">
        <v>0</v>
      </c>
      <c r="B411" s="2">
        <v>1.7402048999999999E-2</v>
      </c>
      <c r="C411" s="2">
        <v>1.6442165000000002E-2</v>
      </c>
      <c r="D411" s="2">
        <v>8.5359848999999998E-3</v>
      </c>
      <c r="E411" s="2"/>
      <c r="F411" s="2"/>
    </row>
    <row r="412" spans="1:6" x14ac:dyDescent="0.2">
      <c r="A412" s="2">
        <v>7.2097382999999999E-3</v>
      </c>
      <c r="B412" s="2">
        <v>2.5501953000000001E-2</v>
      </c>
      <c r="C412" s="2">
        <v>2.6637170000000002E-2</v>
      </c>
      <c r="D412" s="2">
        <v>0</v>
      </c>
      <c r="E412" s="2"/>
      <c r="F412" s="2"/>
    </row>
    <row r="413" spans="1:6" x14ac:dyDescent="0.2">
      <c r="A413" s="2">
        <v>9.7534814999999993E-3</v>
      </c>
      <c r="B413" s="2">
        <v>5.1164004999999999E-2</v>
      </c>
      <c r="C413" s="2">
        <v>3.6863908000000001E-2</v>
      </c>
      <c r="D413" s="2">
        <v>5.7212421999999997E-3</v>
      </c>
      <c r="E413" s="2"/>
      <c r="F413" s="2"/>
    </row>
    <row r="414" spans="1:6" x14ac:dyDescent="0.2">
      <c r="A414" s="2">
        <v>1.9315624999999999E-2</v>
      </c>
      <c r="B414" s="2">
        <v>0.12242482</v>
      </c>
      <c r="C414" s="2">
        <v>7.6146953000000003E-2</v>
      </c>
      <c r="D414" s="2">
        <v>0.14470483000000001</v>
      </c>
      <c r="E414" s="2"/>
      <c r="F414" s="2"/>
    </row>
    <row r="415" spans="1:6" x14ac:dyDescent="0.2">
      <c r="A415" s="2">
        <v>0</v>
      </c>
      <c r="B415" s="2">
        <v>0</v>
      </c>
      <c r="C415" s="2">
        <v>0</v>
      </c>
      <c r="D415" s="2">
        <v>0</v>
      </c>
      <c r="E415" s="2"/>
      <c r="F415" s="2"/>
    </row>
    <row r="416" spans="1:6" x14ac:dyDescent="0.2">
      <c r="A416" s="2">
        <v>6.8612014999999997E-3</v>
      </c>
      <c r="B416" s="2">
        <v>2.5488587E-2</v>
      </c>
      <c r="C416" s="2">
        <v>1.4032206E-2</v>
      </c>
      <c r="D416" s="2">
        <v>0</v>
      </c>
      <c r="E416" s="2"/>
      <c r="F416" s="2"/>
    </row>
    <row r="417" spans="1:6" x14ac:dyDescent="0.2">
      <c r="A417" s="2">
        <v>0</v>
      </c>
      <c r="B417" s="2">
        <v>1.3685673000000001E-3</v>
      </c>
      <c r="C417" s="2">
        <v>0</v>
      </c>
      <c r="D417" s="2">
        <v>0</v>
      </c>
      <c r="E417" s="2"/>
      <c r="F417" s="2"/>
    </row>
    <row r="418" spans="1:6" x14ac:dyDescent="0.2">
      <c r="A418" s="2">
        <v>0</v>
      </c>
      <c r="B418" s="2">
        <v>7.3428173000000003E-3</v>
      </c>
      <c r="C418" s="2">
        <v>0</v>
      </c>
      <c r="D418" s="2">
        <v>0</v>
      </c>
      <c r="E418" s="2"/>
      <c r="F418" s="2"/>
    </row>
    <row r="419" spans="1:6" x14ac:dyDescent="0.2">
      <c r="A419" s="2">
        <v>1.8295476000000001E-2</v>
      </c>
      <c r="B419" s="2">
        <v>3.3260848000000003E-2</v>
      </c>
      <c r="C419" s="2">
        <v>1.2073545000000001E-3</v>
      </c>
      <c r="D419" s="2">
        <v>0</v>
      </c>
      <c r="E419" s="2"/>
      <c r="F419" s="2"/>
    </row>
    <row r="420" spans="1:6" x14ac:dyDescent="0.2">
      <c r="A420" s="2">
        <v>1.3229088000000001E-3</v>
      </c>
      <c r="B420" s="2">
        <v>1.3310191000000001E-2</v>
      </c>
      <c r="C420" s="2">
        <v>1.2048145E-3</v>
      </c>
      <c r="D420" s="2">
        <v>1.4735946E-2</v>
      </c>
      <c r="E420" s="2"/>
      <c r="F420" s="2"/>
    </row>
    <row r="421" spans="1:6" x14ac:dyDescent="0.2">
      <c r="A421" s="2">
        <v>4.9308421999999996E-3</v>
      </c>
      <c r="B421" s="2">
        <v>4.6010538999999998E-3</v>
      </c>
      <c r="C421" s="2">
        <v>0</v>
      </c>
      <c r="D421" s="2">
        <v>0</v>
      </c>
      <c r="E421" s="2"/>
      <c r="F421" s="2"/>
    </row>
    <row r="422" spans="1:6" x14ac:dyDescent="0.2">
      <c r="A422" s="2">
        <v>0.21976000000000001</v>
      </c>
      <c r="B422" s="2">
        <v>3.6326651000000001E-2</v>
      </c>
      <c r="C422" s="2">
        <v>2.6247982E-2</v>
      </c>
      <c r="D422" s="2">
        <v>0</v>
      </c>
      <c r="E422" s="2"/>
      <c r="F422" s="2"/>
    </row>
    <row r="423" spans="1:6" x14ac:dyDescent="0.2">
      <c r="A423" s="2">
        <v>0</v>
      </c>
      <c r="B423" s="2">
        <v>0.11736302999999999</v>
      </c>
      <c r="C423" s="2">
        <v>0.20387967000000001</v>
      </c>
      <c r="D423" s="2">
        <v>0.47437465000000001</v>
      </c>
      <c r="E423" s="2"/>
      <c r="F423" s="2"/>
    </row>
    <row r="424" spans="1:6" x14ac:dyDescent="0.2">
      <c r="A424" s="2">
        <v>0</v>
      </c>
      <c r="B424" s="2">
        <v>0</v>
      </c>
      <c r="C424" s="2">
        <v>0</v>
      </c>
      <c r="D424" s="2">
        <v>0</v>
      </c>
      <c r="E424" s="2"/>
      <c r="F424" s="2"/>
    </row>
    <row r="425" spans="1:6" x14ac:dyDescent="0.2">
      <c r="A425" s="2">
        <v>0</v>
      </c>
      <c r="B425" s="2">
        <v>0</v>
      </c>
      <c r="C425" s="2">
        <v>0</v>
      </c>
      <c r="D425" s="2">
        <v>0</v>
      </c>
      <c r="E425" s="2"/>
      <c r="F425" s="2"/>
    </row>
    <row r="426" spans="1:6" x14ac:dyDescent="0.2">
      <c r="A426" s="2">
        <v>7.5760256000000003E-3</v>
      </c>
      <c r="B426" s="2">
        <v>1.0328708000000001E-2</v>
      </c>
      <c r="C426" s="2">
        <v>3.6129958000000002E-3</v>
      </c>
      <c r="D426" s="2">
        <v>2.9576109999999999E-2</v>
      </c>
      <c r="E426" s="2"/>
      <c r="F426" s="2"/>
    </row>
    <row r="427" spans="1:6" x14ac:dyDescent="0.2">
      <c r="A427" s="2">
        <v>0</v>
      </c>
      <c r="B427" s="2">
        <v>0</v>
      </c>
      <c r="C427" s="2">
        <v>0</v>
      </c>
      <c r="D427" s="2">
        <v>0</v>
      </c>
      <c r="E427" s="2"/>
      <c r="F427" s="2"/>
    </row>
    <row r="428" spans="1:6" x14ac:dyDescent="0.2">
      <c r="A428" s="2">
        <v>0</v>
      </c>
      <c r="B428" s="2">
        <v>1.5820045000000001E-3</v>
      </c>
      <c r="C428" s="2">
        <v>1.5659204000000001E-3</v>
      </c>
      <c r="D428" s="2">
        <v>0</v>
      </c>
      <c r="E428" s="2"/>
      <c r="F428" s="2"/>
    </row>
    <row r="429" spans="1:6" x14ac:dyDescent="0.2">
      <c r="A429" s="2">
        <v>7.3847184000000003E-3</v>
      </c>
      <c r="B429" s="2">
        <v>3.9693875999999998E-3</v>
      </c>
      <c r="C429" s="2">
        <v>7.9634272999999992E-3</v>
      </c>
      <c r="D429" s="2">
        <v>0</v>
      </c>
      <c r="E429" s="2"/>
      <c r="F429" s="2"/>
    </row>
    <row r="430" spans="1:6" x14ac:dyDescent="0.2">
      <c r="A430" s="2">
        <v>4.1412571999999999E-4</v>
      </c>
      <c r="B430" s="2">
        <v>1.1772445E-3</v>
      </c>
      <c r="C430" s="2">
        <v>1.0496427E-3</v>
      </c>
      <c r="D430" s="2">
        <v>2.0767995E-3</v>
      </c>
      <c r="E430" s="2"/>
      <c r="F430" s="2"/>
    </row>
    <row r="431" spans="1:6" x14ac:dyDescent="0.2">
      <c r="A431" s="2">
        <v>0</v>
      </c>
      <c r="B431" s="2">
        <v>3.5504301E-4</v>
      </c>
      <c r="C431" s="2">
        <v>0</v>
      </c>
      <c r="D431" s="2">
        <v>0</v>
      </c>
      <c r="E431" s="2"/>
      <c r="F431" s="2"/>
    </row>
    <row r="432" spans="1:6" x14ac:dyDescent="0.2">
      <c r="A432" s="2">
        <v>2.9779987000000001E-2</v>
      </c>
      <c r="B432" s="2">
        <v>1.2008931E-2</v>
      </c>
      <c r="C432" s="2">
        <v>1.1377465E-3</v>
      </c>
      <c r="D432" s="2">
        <v>4.2748916999999997E-2</v>
      </c>
      <c r="E432" s="2"/>
      <c r="F432" s="2"/>
    </row>
    <row r="433" spans="1:6" x14ac:dyDescent="0.2">
      <c r="A433" s="2">
        <v>9.5721390000000003E-3</v>
      </c>
      <c r="B433" s="2">
        <v>1.2337941999999999E-2</v>
      </c>
      <c r="C433" s="2">
        <v>1.9720939999999999E-2</v>
      </c>
      <c r="D433" s="2">
        <v>2.2799422999999999E-2</v>
      </c>
      <c r="E433" s="2"/>
      <c r="F433" s="2"/>
    </row>
    <row r="434" spans="1:6" x14ac:dyDescent="0.2">
      <c r="A434" s="2">
        <v>4.6045348E-2</v>
      </c>
      <c r="B434" s="2">
        <v>6.9229834000000004E-2</v>
      </c>
      <c r="C434" s="2">
        <v>2.1996432999999999E-2</v>
      </c>
      <c r="D434" s="2">
        <v>0</v>
      </c>
      <c r="E434" s="2"/>
      <c r="F434" s="2"/>
    </row>
    <row r="435" spans="1:6" x14ac:dyDescent="0.2">
      <c r="A435" s="2">
        <v>0</v>
      </c>
      <c r="B435" s="2">
        <v>0</v>
      </c>
      <c r="C435" s="2">
        <v>0</v>
      </c>
      <c r="D435" s="2">
        <v>1.4637216999999999E-2</v>
      </c>
      <c r="E435" s="2"/>
      <c r="F435" s="2"/>
    </row>
    <row r="436" spans="1:6" x14ac:dyDescent="0.2">
      <c r="A436" s="1" t="s">
        <v>21</v>
      </c>
    </row>
    <row r="437" spans="1:6" x14ac:dyDescent="0.2">
      <c r="A437" s="2">
        <v>7456.9497000000001</v>
      </c>
      <c r="B437" s="2">
        <v>3906.2606999999998</v>
      </c>
      <c r="C437" s="2">
        <v>1290.6421</v>
      </c>
      <c r="D437" s="2">
        <v>80.962684999999993</v>
      </c>
      <c r="E437" s="2"/>
      <c r="F437" s="2"/>
    </row>
    <row r="438" spans="1:6" x14ac:dyDescent="0.2">
      <c r="A438" s="2">
        <v>1.2266368999999999E-2</v>
      </c>
      <c r="B438" s="2">
        <v>0.21912606000000001</v>
      </c>
      <c r="C438" s="2">
        <v>0.88939159999999995</v>
      </c>
      <c r="D438" s="2">
        <v>1</v>
      </c>
      <c r="E438" s="2"/>
      <c r="F438" s="2"/>
    </row>
    <row r="439" spans="1:6" x14ac:dyDescent="0.2">
      <c r="A439" s="2">
        <v>0.59092109999999998</v>
      </c>
      <c r="B439" s="2">
        <v>0.83691554999999995</v>
      </c>
      <c r="C439" s="2">
        <v>0.98893916999999998</v>
      </c>
      <c r="D439" s="2">
        <v>1</v>
      </c>
      <c r="E439" s="2"/>
      <c r="F439" s="2"/>
    </row>
    <row r="440" spans="1:6" x14ac:dyDescent="0.2">
      <c r="A440" s="2">
        <v>0</v>
      </c>
      <c r="B440" s="2">
        <v>0</v>
      </c>
      <c r="C440" s="2">
        <v>6.5574973999999994E-2</v>
      </c>
      <c r="D440" s="2">
        <v>0</v>
      </c>
      <c r="E440" s="2"/>
      <c r="F440" s="2"/>
    </row>
    <row r="441" spans="1:6" x14ac:dyDescent="0.2">
      <c r="A441" s="2">
        <v>0</v>
      </c>
      <c r="B441" s="2">
        <v>3.5608414999999997E-2</v>
      </c>
      <c r="C441" s="2">
        <v>0</v>
      </c>
      <c r="D441" s="2">
        <v>0</v>
      </c>
      <c r="E441" s="2"/>
      <c r="F441" s="2"/>
    </row>
    <row r="442" spans="1:6" x14ac:dyDescent="0.2">
      <c r="A442" s="2">
        <v>0</v>
      </c>
      <c r="B442" s="2">
        <v>0.10444075</v>
      </c>
      <c r="C442" s="2">
        <v>0</v>
      </c>
      <c r="D442" s="2">
        <v>0</v>
      </c>
      <c r="E442" s="2"/>
      <c r="F442" s="2"/>
    </row>
    <row r="443" spans="1:6" x14ac:dyDescent="0.2">
      <c r="A443" s="2">
        <v>0</v>
      </c>
      <c r="B443" s="2">
        <v>0.15352792000000001</v>
      </c>
      <c r="C443" s="2">
        <v>7.7057317E-2</v>
      </c>
      <c r="D443" s="2">
        <v>0</v>
      </c>
      <c r="E443" s="2"/>
      <c r="F443" s="2"/>
    </row>
    <row r="444" spans="1:6" x14ac:dyDescent="0.2">
      <c r="A444" s="2">
        <v>0</v>
      </c>
      <c r="B444" s="2">
        <v>0</v>
      </c>
      <c r="C444" s="2">
        <v>0</v>
      </c>
      <c r="D444" s="2">
        <v>0</v>
      </c>
      <c r="E444" s="2"/>
      <c r="F444" s="2"/>
    </row>
    <row r="445" spans="1:6" x14ac:dyDescent="0.2">
      <c r="A445" s="2">
        <v>0</v>
      </c>
      <c r="B445" s="2">
        <v>0</v>
      </c>
      <c r="C445" s="2">
        <v>0</v>
      </c>
      <c r="D445" s="2">
        <v>0</v>
      </c>
      <c r="E445" s="2"/>
      <c r="F445" s="2"/>
    </row>
    <row r="446" spans="1:6" x14ac:dyDescent="0.2">
      <c r="A446" s="2">
        <v>3.0174937999999998E-3</v>
      </c>
      <c r="B446" s="2">
        <v>0</v>
      </c>
      <c r="C446" s="2">
        <v>0</v>
      </c>
      <c r="D446" s="2">
        <v>0</v>
      </c>
      <c r="E446" s="2"/>
      <c r="F446" s="2"/>
    </row>
    <row r="447" spans="1:6" x14ac:dyDescent="0.2">
      <c r="A447" s="2">
        <v>1.5356006E-2</v>
      </c>
      <c r="B447" s="2">
        <v>3.2156464000000003E-2</v>
      </c>
      <c r="C447" s="2">
        <v>0</v>
      </c>
      <c r="D447" s="2">
        <v>0</v>
      </c>
      <c r="E447" s="2"/>
      <c r="F447" s="2"/>
    </row>
    <row r="448" spans="1:6" x14ac:dyDescent="0.2">
      <c r="A448" s="2">
        <v>1.5268950999999999E-2</v>
      </c>
      <c r="B448" s="2">
        <v>2.8289645E-3</v>
      </c>
      <c r="C448" s="2">
        <v>0</v>
      </c>
      <c r="D448" s="2">
        <v>0</v>
      </c>
      <c r="E448" s="2"/>
      <c r="F448" s="2"/>
    </row>
    <row r="449" spans="1:6" x14ac:dyDescent="0.2">
      <c r="A449" s="2">
        <v>1.6721594999999999E-2</v>
      </c>
      <c r="B449" s="2">
        <v>2.3403382E-2</v>
      </c>
      <c r="C449" s="2">
        <v>0</v>
      </c>
      <c r="D449" s="2">
        <v>0</v>
      </c>
      <c r="E449" s="2"/>
      <c r="F449" s="2"/>
    </row>
    <row r="450" spans="1:6" x14ac:dyDescent="0.2">
      <c r="A450" s="2">
        <v>2.9508696999999999E-3</v>
      </c>
      <c r="B450" s="2">
        <v>0</v>
      </c>
      <c r="C450" s="2">
        <v>0</v>
      </c>
      <c r="D450" s="2">
        <v>0</v>
      </c>
      <c r="E450" s="2"/>
      <c r="F450" s="2"/>
    </row>
    <row r="451" spans="1:6" x14ac:dyDescent="0.2">
      <c r="A451" s="2">
        <v>0.32887160999999998</v>
      </c>
      <c r="B451" s="2">
        <v>5.7968061000000001E-2</v>
      </c>
      <c r="C451" s="2">
        <v>6.1152129999999999E-2</v>
      </c>
      <c r="D451" s="2">
        <v>0</v>
      </c>
      <c r="E451" s="2"/>
      <c r="F451" s="2"/>
    </row>
    <row r="452" spans="1:6" x14ac:dyDescent="0.2">
      <c r="A452" s="2">
        <v>0.16443579999999999</v>
      </c>
      <c r="B452" s="2">
        <v>0.1970914</v>
      </c>
      <c r="C452" s="2">
        <v>0.17734117999999999</v>
      </c>
      <c r="D452" s="2">
        <v>0</v>
      </c>
      <c r="E452" s="2"/>
      <c r="F452" s="2"/>
    </row>
    <row r="453" spans="1:6" x14ac:dyDescent="0.2">
      <c r="A453" s="2">
        <v>0</v>
      </c>
      <c r="B453" s="2">
        <v>0</v>
      </c>
      <c r="C453" s="2">
        <v>0</v>
      </c>
      <c r="D453" s="2">
        <v>0</v>
      </c>
      <c r="E453" s="2"/>
      <c r="F453" s="2"/>
    </row>
    <row r="454" spans="1:6" x14ac:dyDescent="0.2">
      <c r="A454" s="2">
        <v>0</v>
      </c>
      <c r="B454" s="2">
        <v>0</v>
      </c>
      <c r="C454" s="2">
        <v>0</v>
      </c>
      <c r="D454" s="2">
        <v>0</v>
      </c>
      <c r="E454" s="2"/>
      <c r="F454" s="2"/>
    </row>
    <row r="455" spans="1:6" x14ac:dyDescent="0.2">
      <c r="A455" s="2">
        <v>6.7772116000000002E-3</v>
      </c>
      <c r="B455" s="2">
        <v>1.1165412E-2</v>
      </c>
      <c r="C455" s="2">
        <v>0</v>
      </c>
      <c r="D455" s="2">
        <v>0</v>
      </c>
      <c r="E455" s="2"/>
      <c r="F455" s="2"/>
    </row>
    <row r="456" spans="1:6" x14ac:dyDescent="0.2">
      <c r="A456" s="2">
        <v>0</v>
      </c>
      <c r="B456" s="2">
        <v>0</v>
      </c>
      <c r="C456" s="2">
        <v>0</v>
      </c>
      <c r="D456" s="2">
        <v>0</v>
      </c>
      <c r="E456" s="2"/>
      <c r="F456" s="2"/>
    </row>
    <row r="457" spans="1:6" x14ac:dyDescent="0.2">
      <c r="A457" s="2">
        <v>0</v>
      </c>
      <c r="B457" s="2">
        <v>0</v>
      </c>
      <c r="C457" s="2">
        <v>3.0858811E-2</v>
      </c>
      <c r="D457" s="2">
        <v>0</v>
      </c>
      <c r="E457" s="2"/>
      <c r="F457" s="2"/>
    </row>
    <row r="458" spans="1:6" x14ac:dyDescent="0.2">
      <c r="A458" s="2">
        <v>0</v>
      </c>
      <c r="B458" s="2">
        <v>1.1084923E-2</v>
      </c>
      <c r="C458" s="2">
        <v>0</v>
      </c>
      <c r="D458" s="2">
        <v>0</v>
      </c>
      <c r="E458" s="2"/>
      <c r="F458" s="2"/>
    </row>
    <row r="459" spans="1:6" x14ac:dyDescent="0.2">
      <c r="A459" s="2">
        <v>0</v>
      </c>
      <c r="B459" s="2">
        <v>1.4763338000000001E-3</v>
      </c>
      <c r="C459" s="2">
        <v>1.0621915E-3</v>
      </c>
      <c r="D459" s="2">
        <v>0</v>
      </c>
      <c r="E459" s="2"/>
      <c r="F459" s="2"/>
    </row>
    <row r="460" spans="1:6" x14ac:dyDescent="0.2">
      <c r="A460" s="2">
        <v>0</v>
      </c>
      <c r="B460" s="2">
        <v>0</v>
      </c>
      <c r="C460" s="2">
        <v>0</v>
      </c>
      <c r="D460" s="2">
        <v>0</v>
      </c>
      <c r="E460" s="2"/>
      <c r="F460" s="2"/>
    </row>
    <row r="461" spans="1:6" x14ac:dyDescent="0.2">
      <c r="A461" s="2">
        <v>0</v>
      </c>
      <c r="B461" s="2">
        <v>5.5127954000000002E-3</v>
      </c>
      <c r="C461" s="2">
        <v>0</v>
      </c>
      <c r="D461" s="2">
        <v>0</v>
      </c>
      <c r="E461" s="2"/>
      <c r="F461" s="2"/>
    </row>
    <row r="462" spans="1:6" x14ac:dyDescent="0.2">
      <c r="A462" s="2">
        <v>0.24791503000000001</v>
      </c>
      <c r="B462" s="2">
        <v>5.7884350000000001E-2</v>
      </c>
      <c r="C462" s="2">
        <v>2.6157834000000001E-2</v>
      </c>
      <c r="D462" s="2">
        <v>0.21750379</v>
      </c>
      <c r="E462" s="2"/>
      <c r="F462" s="2"/>
    </row>
    <row r="463" spans="1:6" x14ac:dyDescent="0.2">
      <c r="A463" s="2">
        <v>1.9864476999999998E-2</v>
      </c>
      <c r="B463" s="2">
        <v>5.8681779000000003E-2</v>
      </c>
      <c r="C463" s="2">
        <v>0.1008945</v>
      </c>
      <c r="D463" s="2">
        <v>0</v>
      </c>
      <c r="E463" s="2"/>
      <c r="F463" s="2"/>
    </row>
    <row r="464" spans="1:6" x14ac:dyDescent="0.2">
      <c r="A464" s="2">
        <v>0</v>
      </c>
      <c r="B464" s="2">
        <v>0</v>
      </c>
      <c r="C464" s="2">
        <v>0</v>
      </c>
      <c r="D464" s="2">
        <v>0</v>
      </c>
      <c r="E464" s="2"/>
      <c r="F464" s="2"/>
    </row>
    <row r="465" spans="1:6" x14ac:dyDescent="0.2">
      <c r="A465" s="1" t="s">
        <v>22</v>
      </c>
    </row>
    <row r="466" spans="1:6" x14ac:dyDescent="0.2">
      <c r="A466" s="2">
        <v>78086.039000000004</v>
      </c>
      <c r="B466" s="2">
        <v>42220.086000000003</v>
      </c>
      <c r="C466" s="2">
        <v>17220.312999999998</v>
      </c>
      <c r="D466" s="2">
        <v>2887.5324999999998</v>
      </c>
      <c r="E466" s="2"/>
      <c r="F466" s="2"/>
    </row>
    <row r="467" spans="1:6" x14ac:dyDescent="0.2">
      <c r="A467" s="2">
        <v>6.7243030999999997E-3</v>
      </c>
      <c r="B467" s="2">
        <v>0.14738383999999999</v>
      </c>
      <c r="C467" s="2">
        <v>0.73882186000000005</v>
      </c>
      <c r="D467" s="2">
        <v>1</v>
      </c>
      <c r="E467" s="2"/>
      <c r="F467" s="2"/>
    </row>
    <row r="468" spans="1:6" x14ac:dyDescent="0.2">
      <c r="A468" s="2">
        <v>0.57106727000000002</v>
      </c>
      <c r="B468" s="2">
        <v>0.81166207999999995</v>
      </c>
      <c r="C468" s="2">
        <v>0.97388220000000003</v>
      </c>
      <c r="D468" s="2">
        <v>1</v>
      </c>
      <c r="E468" s="2"/>
      <c r="F468" s="2"/>
    </row>
    <row r="469" spans="1:6" x14ac:dyDescent="0.2">
      <c r="A469" s="2">
        <v>0</v>
      </c>
      <c r="B469" s="2">
        <v>1.7219646000000002E-2</v>
      </c>
      <c r="C469" s="2">
        <v>1.5353531E-2</v>
      </c>
      <c r="D469" s="2">
        <v>5.7365159000000001E-3</v>
      </c>
      <c r="E469" s="2"/>
      <c r="F469" s="2"/>
    </row>
    <row r="470" spans="1:6" x14ac:dyDescent="0.2">
      <c r="A470" s="2">
        <v>7.1764756000000001E-3</v>
      </c>
      <c r="B470" s="2">
        <v>2.5234649000000001E-2</v>
      </c>
      <c r="C470" s="2">
        <v>2.4873526999999999E-2</v>
      </c>
      <c r="D470" s="2">
        <v>0</v>
      </c>
      <c r="E470" s="2"/>
      <c r="F470" s="2"/>
    </row>
    <row r="471" spans="1:6" x14ac:dyDescent="0.2">
      <c r="A471" s="2">
        <v>9.7084836999999993E-3</v>
      </c>
      <c r="B471" s="2">
        <v>5.0627720000000001E-2</v>
      </c>
      <c r="C471" s="2">
        <v>3.4423158000000002E-2</v>
      </c>
      <c r="D471" s="2">
        <v>3.8448989000000001E-3</v>
      </c>
      <c r="E471" s="2"/>
      <c r="F471" s="2"/>
    </row>
    <row r="472" spans="1:6" x14ac:dyDescent="0.2">
      <c r="A472" s="2">
        <v>1.9226512000000001E-2</v>
      </c>
      <c r="B472" s="2">
        <v>0.12114161</v>
      </c>
      <c r="C472" s="2">
        <v>7.1105264000000001E-2</v>
      </c>
      <c r="D472" s="2">
        <v>9.7247317E-2</v>
      </c>
      <c r="E472" s="2"/>
      <c r="F472" s="2"/>
    </row>
    <row r="473" spans="1:6" x14ac:dyDescent="0.2">
      <c r="A473" s="2">
        <v>0</v>
      </c>
      <c r="B473" s="2">
        <v>0</v>
      </c>
      <c r="C473" s="2">
        <v>0</v>
      </c>
      <c r="D473" s="2">
        <v>0</v>
      </c>
      <c r="E473" s="2"/>
      <c r="F473" s="2"/>
    </row>
    <row r="474" spans="1:6" x14ac:dyDescent="0.2">
      <c r="A474" s="2">
        <v>6.8295472000000001E-3</v>
      </c>
      <c r="B474" s="2">
        <v>2.5221422E-2</v>
      </c>
      <c r="C474" s="2">
        <v>1.3103135E-2</v>
      </c>
      <c r="D474" s="2">
        <v>0</v>
      </c>
      <c r="E474" s="2"/>
      <c r="F474" s="2"/>
    </row>
    <row r="475" spans="1:6" x14ac:dyDescent="0.2">
      <c r="A475" s="2">
        <v>0</v>
      </c>
      <c r="B475" s="2">
        <v>1.3542224999999999E-3</v>
      </c>
      <c r="C475" s="2">
        <v>0</v>
      </c>
      <c r="D475" s="2">
        <v>0</v>
      </c>
      <c r="E475" s="2"/>
      <c r="F475" s="2"/>
    </row>
    <row r="476" spans="1:6" x14ac:dyDescent="0.2">
      <c r="A476" s="2">
        <v>0</v>
      </c>
      <c r="B476" s="2">
        <v>7.2658523000000003E-3</v>
      </c>
      <c r="C476" s="2">
        <v>0</v>
      </c>
      <c r="D476" s="2">
        <v>0</v>
      </c>
      <c r="E476" s="2"/>
      <c r="F476" s="2"/>
    </row>
    <row r="477" spans="1:6" x14ac:dyDescent="0.2">
      <c r="A477" s="2">
        <v>1.8211069999999999E-2</v>
      </c>
      <c r="B477" s="2">
        <v>3.2912217000000001E-2</v>
      </c>
      <c r="C477" s="2">
        <v>1.2109955E-3</v>
      </c>
      <c r="D477" s="2">
        <v>0</v>
      </c>
      <c r="E477" s="2"/>
      <c r="F477" s="2"/>
    </row>
    <row r="478" spans="1:6" x14ac:dyDescent="0.2">
      <c r="A478" s="2">
        <v>1.3168056000000001E-3</v>
      </c>
      <c r="B478" s="2">
        <v>1.3170678E-2</v>
      </c>
      <c r="C478" s="2">
        <v>1.2084479E-3</v>
      </c>
      <c r="D478" s="2">
        <v>9.0235210999999992E-3</v>
      </c>
      <c r="E478" s="2"/>
      <c r="F478" s="2"/>
    </row>
    <row r="479" spans="1:6" x14ac:dyDescent="0.2">
      <c r="A479" s="2">
        <v>4.9080937000000003E-3</v>
      </c>
      <c r="B479" s="2">
        <v>4.5528271999999998E-3</v>
      </c>
      <c r="C479" s="2">
        <v>0</v>
      </c>
      <c r="D479" s="2">
        <v>0</v>
      </c>
      <c r="E479" s="2"/>
      <c r="F479" s="2"/>
    </row>
    <row r="480" spans="1:6" x14ac:dyDescent="0.2">
      <c r="A480" s="2">
        <v>0.39190536999999998</v>
      </c>
      <c r="B480" s="2">
        <v>4.6374447999999999E-2</v>
      </c>
      <c r="C480" s="2">
        <v>2.6327137E-2</v>
      </c>
      <c r="D480" s="2">
        <v>0</v>
      </c>
      <c r="E480" s="2"/>
      <c r="F480" s="2"/>
    </row>
    <row r="481" spans="1:6" x14ac:dyDescent="0.2">
      <c r="A481" s="2">
        <v>0</v>
      </c>
      <c r="B481" s="2">
        <v>0.42272093999999999</v>
      </c>
      <c r="C481" s="2">
        <v>0.57736021000000004</v>
      </c>
      <c r="D481" s="2">
        <v>0.81965505999999999</v>
      </c>
      <c r="E481" s="2"/>
      <c r="F481" s="2"/>
    </row>
    <row r="482" spans="1:6" x14ac:dyDescent="0.2">
      <c r="A482" s="2">
        <v>0</v>
      </c>
      <c r="B482" s="2">
        <v>0</v>
      </c>
      <c r="C482" s="2">
        <v>0</v>
      </c>
      <c r="D482" s="2">
        <v>0</v>
      </c>
      <c r="E482" s="2"/>
      <c r="F482" s="2"/>
    </row>
    <row r="483" spans="1:6" x14ac:dyDescent="0.2">
      <c r="A483" s="2">
        <v>0</v>
      </c>
      <c r="B483" s="2">
        <v>0</v>
      </c>
      <c r="C483" s="2">
        <v>0</v>
      </c>
      <c r="D483" s="2">
        <v>0</v>
      </c>
      <c r="E483" s="2"/>
      <c r="F483" s="2"/>
    </row>
    <row r="484" spans="1:6" x14ac:dyDescent="0.2">
      <c r="A484" s="2">
        <v>7.5410735000000003E-3</v>
      </c>
      <c r="B484" s="2">
        <v>1.0220445999999999E-2</v>
      </c>
      <c r="C484" s="2">
        <v>3.6238911999999998E-3</v>
      </c>
      <c r="D484" s="2">
        <v>1.8110858000000001E-2</v>
      </c>
      <c r="E484" s="2"/>
      <c r="F484" s="2"/>
    </row>
    <row r="485" spans="1:6" x14ac:dyDescent="0.2">
      <c r="A485" s="2">
        <v>0</v>
      </c>
      <c r="B485" s="2">
        <v>0</v>
      </c>
      <c r="C485" s="2">
        <v>0</v>
      </c>
      <c r="D485" s="2">
        <v>0</v>
      </c>
      <c r="E485" s="2"/>
      <c r="F485" s="2"/>
    </row>
    <row r="486" spans="1:6" x14ac:dyDescent="0.2">
      <c r="A486" s="2">
        <v>0</v>
      </c>
      <c r="B486" s="2">
        <v>1.5654224E-3</v>
      </c>
      <c r="C486" s="2">
        <v>1.4622411E-3</v>
      </c>
      <c r="D486" s="2">
        <v>0</v>
      </c>
      <c r="E486" s="2"/>
      <c r="F486" s="2"/>
    </row>
    <row r="487" spans="1:6" x14ac:dyDescent="0.2">
      <c r="A487" s="2">
        <v>7.3506483000000001E-3</v>
      </c>
      <c r="B487" s="2">
        <v>3.9277812E-3</v>
      </c>
      <c r="C487" s="2">
        <v>7.4361697999999997E-3</v>
      </c>
      <c r="D487" s="2">
        <v>0</v>
      </c>
      <c r="E487" s="2"/>
      <c r="F487" s="2"/>
    </row>
    <row r="488" spans="1:6" x14ac:dyDescent="0.2">
      <c r="A488" s="2">
        <v>4.1221515000000001E-4</v>
      </c>
      <c r="B488" s="2">
        <v>1.1649051E-3</v>
      </c>
      <c r="C488" s="2">
        <v>9.8014584000000009E-4</v>
      </c>
      <c r="D488" s="2">
        <v>1.3956906E-3</v>
      </c>
      <c r="E488" s="2"/>
      <c r="F488" s="2"/>
    </row>
    <row r="489" spans="1:6" x14ac:dyDescent="0.2">
      <c r="A489" s="2">
        <v>0</v>
      </c>
      <c r="B489" s="2">
        <v>3.5132159000000001E-4</v>
      </c>
      <c r="C489" s="2">
        <v>0</v>
      </c>
      <c r="D489" s="2">
        <v>0</v>
      </c>
      <c r="E489" s="2"/>
      <c r="F489" s="2"/>
    </row>
    <row r="490" spans="1:6" x14ac:dyDescent="0.2">
      <c r="A490" s="2">
        <v>2.9642597E-2</v>
      </c>
      <c r="B490" s="2">
        <v>1.1883057000000001E-2</v>
      </c>
      <c r="C490" s="2">
        <v>1.0624164E-3</v>
      </c>
      <c r="D490" s="2">
        <v>2.8728947000000001E-2</v>
      </c>
      <c r="E490" s="2"/>
      <c r="F490" s="2"/>
    </row>
    <row r="491" spans="1:6" x14ac:dyDescent="0.2">
      <c r="A491" s="2">
        <v>9.5279775999999993E-3</v>
      </c>
      <c r="B491" s="2">
        <v>1.2208619E-2</v>
      </c>
      <c r="C491" s="2">
        <v>1.8415216000000002E-2</v>
      </c>
      <c r="D491" s="2">
        <v>1.5322105000000001E-2</v>
      </c>
      <c r="E491" s="2"/>
      <c r="F491" s="2"/>
    </row>
    <row r="492" spans="1:6" x14ac:dyDescent="0.2">
      <c r="A492" s="2">
        <v>4.5832920999999999E-2</v>
      </c>
      <c r="B492" s="2">
        <v>6.8504192000000005E-2</v>
      </c>
      <c r="C492" s="2">
        <v>2.0540049000000001E-2</v>
      </c>
      <c r="D492" s="2">
        <v>0</v>
      </c>
      <c r="E492" s="2"/>
      <c r="F492" s="2"/>
    </row>
    <row r="493" spans="1:6" x14ac:dyDescent="0.2">
      <c r="A493" s="2">
        <v>0</v>
      </c>
      <c r="B493" s="2">
        <v>0</v>
      </c>
      <c r="C493" s="2">
        <v>0</v>
      </c>
      <c r="D493" s="2">
        <v>8.9630634000000004E-3</v>
      </c>
      <c r="E493" s="2"/>
      <c r="F493" s="2"/>
    </row>
    <row r="494" spans="1:6" x14ac:dyDescent="0.2">
      <c r="A494" s="1" t="s">
        <v>23</v>
      </c>
    </row>
    <row r="495" spans="1:6" x14ac:dyDescent="0.2">
      <c r="A495" s="2">
        <v>117382.2</v>
      </c>
      <c r="B495" s="2">
        <v>64416.512000000002</v>
      </c>
      <c r="C495" s="2">
        <v>29541.815999999999</v>
      </c>
      <c r="D495" s="2">
        <v>6930.9198999999999</v>
      </c>
      <c r="E495" s="2"/>
      <c r="F495" s="2"/>
    </row>
    <row r="496" spans="1:6" x14ac:dyDescent="0.2">
      <c r="A496" s="2">
        <v>7.4310831999999993E-2</v>
      </c>
      <c r="B496" s="2">
        <v>0.19240375000000001</v>
      </c>
      <c r="C496" s="2">
        <v>0.59033024000000001</v>
      </c>
      <c r="D496" s="2">
        <v>0.99999987999999995</v>
      </c>
      <c r="E496" s="2"/>
      <c r="F496" s="2"/>
    </row>
    <row r="497" spans="1:6" x14ac:dyDescent="0.2">
      <c r="A497" s="2">
        <v>0.60048091000000003</v>
      </c>
      <c r="B497" s="2">
        <v>0.81201290999999998</v>
      </c>
      <c r="C497" s="2">
        <v>0.95903300999999996</v>
      </c>
      <c r="D497" s="2">
        <v>0.99999987999999995</v>
      </c>
      <c r="E497" s="2"/>
      <c r="F497" s="2"/>
    </row>
    <row r="498" spans="1:6" x14ac:dyDescent="0.2">
      <c r="A498" s="2">
        <v>0</v>
      </c>
      <c r="B498" s="2">
        <v>5.2762180999999998E-2</v>
      </c>
      <c r="C498" s="2">
        <v>0.10771409999999999</v>
      </c>
      <c r="D498" s="2">
        <v>0.20789155000000001</v>
      </c>
      <c r="E498" s="2"/>
      <c r="F498" s="2"/>
    </row>
    <row r="499" spans="1:6" x14ac:dyDescent="0.2">
      <c r="A499" s="2">
        <v>0</v>
      </c>
      <c r="B499" s="2">
        <v>9.7134121000000004E-2</v>
      </c>
      <c r="C499" s="2">
        <v>8.1277445000000004E-2</v>
      </c>
      <c r="D499" s="2">
        <v>0.13081171999999999</v>
      </c>
      <c r="E499" s="2"/>
      <c r="F499" s="2"/>
    </row>
    <row r="500" spans="1:6" x14ac:dyDescent="0.2">
      <c r="A500" s="2">
        <v>0</v>
      </c>
      <c r="B500" s="2">
        <v>4.7246739000000003E-3</v>
      </c>
      <c r="C500" s="2">
        <v>5.5425956999999998E-2</v>
      </c>
      <c r="D500" s="2">
        <v>6.6002811999999996E-3</v>
      </c>
      <c r="E500" s="2"/>
      <c r="F500" s="2"/>
    </row>
    <row r="501" spans="1:6" x14ac:dyDescent="0.2">
      <c r="A501" s="2">
        <v>0</v>
      </c>
      <c r="B501" s="2">
        <v>7.1304791000000006E-2</v>
      </c>
      <c r="C501" s="2">
        <v>4.4557935999999999E-2</v>
      </c>
      <c r="D501" s="2">
        <v>1.3627591E-2</v>
      </c>
      <c r="E501" s="2"/>
      <c r="F501" s="2"/>
    </row>
    <row r="502" spans="1:6" x14ac:dyDescent="0.2">
      <c r="A502" s="2">
        <v>0</v>
      </c>
      <c r="B502" s="2">
        <v>2.2566332000000001E-2</v>
      </c>
      <c r="C502" s="2">
        <v>0</v>
      </c>
      <c r="D502" s="2">
        <v>0</v>
      </c>
      <c r="E502" s="2"/>
      <c r="F502" s="2"/>
    </row>
    <row r="503" spans="1:6" x14ac:dyDescent="0.2">
      <c r="A503" s="2">
        <v>0</v>
      </c>
      <c r="B503" s="2">
        <v>0</v>
      </c>
      <c r="C503" s="2">
        <v>0</v>
      </c>
      <c r="D503" s="2">
        <v>0</v>
      </c>
      <c r="E503" s="2"/>
      <c r="F503" s="2"/>
    </row>
    <row r="504" spans="1:6" x14ac:dyDescent="0.2">
      <c r="A504" s="2">
        <v>7.3923510000000001E-3</v>
      </c>
      <c r="B504" s="2">
        <v>0</v>
      </c>
      <c r="C504" s="2">
        <v>1.6289484E-2</v>
      </c>
      <c r="D504" s="2">
        <v>0</v>
      </c>
      <c r="E504" s="2"/>
      <c r="F504" s="2"/>
    </row>
    <row r="505" spans="1:6" x14ac:dyDescent="0.2">
      <c r="A505" s="2">
        <v>0</v>
      </c>
      <c r="B505" s="2">
        <v>3.0358732000000002E-3</v>
      </c>
      <c r="C505" s="2">
        <v>1.2210996999999999E-2</v>
      </c>
      <c r="D505" s="2">
        <v>2.0477815999999999E-2</v>
      </c>
      <c r="E505" s="2"/>
      <c r="F505" s="2"/>
    </row>
    <row r="506" spans="1:6" x14ac:dyDescent="0.2">
      <c r="A506" s="2">
        <v>2.8054765000000001E-3</v>
      </c>
      <c r="B506" s="2">
        <v>2.1500012E-3</v>
      </c>
      <c r="C506" s="2">
        <v>0</v>
      </c>
      <c r="D506" s="2">
        <v>0</v>
      </c>
      <c r="E506" s="2"/>
      <c r="F506" s="2"/>
    </row>
    <row r="507" spans="1:6" x14ac:dyDescent="0.2">
      <c r="A507" s="2">
        <v>6.7773129999999999E-4</v>
      </c>
      <c r="B507" s="2">
        <v>6.5765106E-3</v>
      </c>
      <c r="C507" s="2">
        <v>0</v>
      </c>
      <c r="D507" s="2">
        <v>0</v>
      </c>
      <c r="E507" s="2"/>
      <c r="F507" s="2"/>
    </row>
    <row r="508" spans="1:6" x14ac:dyDescent="0.2">
      <c r="A508" s="2">
        <v>2.2591042000000001E-4</v>
      </c>
      <c r="B508" s="2">
        <v>0</v>
      </c>
      <c r="C508" s="2">
        <v>0</v>
      </c>
      <c r="D508" s="2">
        <v>0</v>
      </c>
      <c r="E508" s="2"/>
      <c r="F508" s="2"/>
    </row>
    <row r="509" spans="1:6" x14ac:dyDescent="0.2">
      <c r="A509" s="2">
        <v>0</v>
      </c>
      <c r="B509" s="2">
        <v>6.4588402000000003E-4</v>
      </c>
      <c r="C509" s="2">
        <v>2.2008138E-2</v>
      </c>
      <c r="D509" s="2">
        <v>0</v>
      </c>
      <c r="E509" s="2"/>
      <c r="F509" s="2"/>
    </row>
    <row r="510" spans="1:6" x14ac:dyDescent="0.2">
      <c r="A510" s="2">
        <v>0</v>
      </c>
      <c r="B510" s="2">
        <v>0</v>
      </c>
      <c r="C510" s="2">
        <v>0</v>
      </c>
      <c r="D510" s="2">
        <v>0</v>
      </c>
      <c r="E510" s="2"/>
      <c r="F510" s="2"/>
    </row>
    <row r="511" spans="1:6" x14ac:dyDescent="0.2">
      <c r="A511" s="2">
        <v>0.17675789</v>
      </c>
      <c r="B511" s="2">
        <v>0.54594164999999995</v>
      </c>
      <c r="C511" s="2">
        <v>0.79229300999999996</v>
      </c>
      <c r="D511" s="2">
        <v>0.57620221000000005</v>
      </c>
      <c r="E511" s="2"/>
      <c r="F511" s="2"/>
    </row>
    <row r="512" spans="1:6" x14ac:dyDescent="0.2">
      <c r="A512" s="2">
        <v>0</v>
      </c>
      <c r="B512" s="2">
        <v>0</v>
      </c>
      <c r="C512" s="2">
        <v>0</v>
      </c>
      <c r="D512" s="2">
        <v>0</v>
      </c>
      <c r="E512" s="2"/>
      <c r="F512" s="2"/>
    </row>
    <row r="513" spans="1:6" x14ac:dyDescent="0.2">
      <c r="A513" s="2">
        <v>8.8944781000000004E-4</v>
      </c>
      <c r="B513" s="2">
        <v>0</v>
      </c>
      <c r="C513" s="2">
        <v>0</v>
      </c>
      <c r="D513" s="2">
        <v>1.3792562E-2</v>
      </c>
      <c r="E513" s="2"/>
      <c r="F513" s="2"/>
    </row>
    <row r="514" spans="1:6" x14ac:dyDescent="0.2">
      <c r="A514" s="2">
        <v>0</v>
      </c>
      <c r="B514" s="2">
        <v>0</v>
      </c>
      <c r="C514" s="2">
        <v>0</v>
      </c>
      <c r="D514" s="2">
        <v>0</v>
      </c>
      <c r="E514" s="2"/>
      <c r="F514" s="2"/>
    </row>
    <row r="515" spans="1:6" x14ac:dyDescent="0.2">
      <c r="A515" s="2">
        <v>0.14316791000000001</v>
      </c>
      <c r="B515" s="2">
        <v>4.7965617999999998E-3</v>
      </c>
      <c r="C515" s="2">
        <v>3.5316099000000001E-3</v>
      </c>
      <c r="D515" s="2">
        <v>4.3766643000000003E-3</v>
      </c>
      <c r="E515" s="2"/>
      <c r="F515" s="2"/>
    </row>
    <row r="516" spans="1:6" x14ac:dyDescent="0.2">
      <c r="A516" s="2">
        <v>0</v>
      </c>
      <c r="B516" s="2">
        <v>0</v>
      </c>
      <c r="C516" s="2">
        <v>0</v>
      </c>
      <c r="D516" s="2">
        <v>0</v>
      </c>
      <c r="E516" s="2"/>
      <c r="F516" s="2"/>
    </row>
    <row r="517" spans="1:6" x14ac:dyDescent="0.2">
      <c r="A517" s="2">
        <v>0</v>
      </c>
      <c r="B517" s="2">
        <v>6.8567121000000003E-4</v>
      </c>
      <c r="C517" s="2">
        <v>6.1420593999999998E-4</v>
      </c>
      <c r="D517" s="2">
        <v>1.9558279000000001E-4</v>
      </c>
      <c r="E517" s="2"/>
      <c r="F517" s="2"/>
    </row>
    <row r="518" spans="1:6" x14ac:dyDescent="0.2">
      <c r="A518" s="2">
        <v>0</v>
      </c>
      <c r="B518" s="2">
        <v>0</v>
      </c>
      <c r="C518" s="2">
        <v>3.4681552000000002E-3</v>
      </c>
      <c r="D518" s="2">
        <v>0</v>
      </c>
      <c r="E518" s="2"/>
      <c r="F518" s="2"/>
    </row>
    <row r="519" spans="1:6" x14ac:dyDescent="0.2">
      <c r="A519" s="2">
        <v>2.9967928000000001E-3</v>
      </c>
      <c r="B519" s="2">
        <v>1.1372046E-2</v>
      </c>
      <c r="C519" s="2">
        <v>0</v>
      </c>
      <c r="D519" s="2">
        <v>0</v>
      </c>
      <c r="E519" s="2"/>
      <c r="F519" s="2"/>
    </row>
    <row r="520" spans="1:6" x14ac:dyDescent="0.2">
      <c r="A520" s="2">
        <v>0</v>
      </c>
      <c r="B520" s="2">
        <v>0</v>
      </c>
      <c r="C520" s="2">
        <v>0</v>
      </c>
      <c r="D520" s="2">
        <v>0</v>
      </c>
      <c r="E520" s="2"/>
      <c r="F520" s="2"/>
    </row>
    <row r="521" spans="1:6" x14ac:dyDescent="0.2">
      <c r="A521" s="2">
        <v>0</v>
      </c>
      <c r="B521" s="2">
        <v>2.6966173E-2</v>
      </c>
      <c r="C521" s="2">
        <v>0</v>
      </c>
      <c r="D521" s="2">
        <v>0</v>
      </c>
      <c r="E521" s="2"/>
      <c r="F521" s="2"/>
    </row>
    <row r="522" spans="1:6" x14ac:dyDescent="0.2">
      <c r="A522" s="2">
        <v>0</v>
      </c>
      <c r="B522" s="2">
        <v>0</v>
      </c>
      <c r="C522" s="2">
        <v>0</v>
      </c>
      <c r="D522" s="2">
        <v>0</v>
      </c>
      <c r="E522" s="2"/>
      <c r="F522" s="2"/>
    </row>
    <row r="523" spans="1:6" x14ac:dyDescent="0.2">
      <c r="A523" s="1" t="s">
        <v>24</v>
      </c>
    </row>
    <row r="524" spans="1:6" x14ac:dyDescent="0.2">
      <c r="A524" s="2">
        <v>322630.65999999997</v>
      </c>
      <c r="B524" s="2">
        <v>196027.63</v>
      </c>
      <c r="C524" s="2">
        <v>108785.32</v>
      </c>
      <c r="D524" s="2">
        <v>27024.811000000002</v>
      </c>
      <c r="E524" s="2"/>
      <c r="F524" s="2"/>
    </row>
    <row r="525" spans="1:6" x14ac:dyDescent="0.2">
      <c r="A525" s="2">
        <v>2.5977923E-2</v>
      </c>
      <c r="B525" s="2">
        <v>0.10985354</v>
      </c>
      <c r="C525" s="2">
        <v>0.54223924999999995</v>
      </c>
      <c r="D525" s="2">
        <v>1.0000001000000001</v>
      </c>
      <c r="E525" s="2"/>
      <c r="F525" s="2"/>
    </row>
    <row r="526" spans="1:6" x14ac:dyDescent="0.2">
      <c r="A526" s="2">
        <v>0.56418449000000004</v>
      </c>
      <c r="B526" s="2">
        <v>0.78937279999999999</v>
      </c>
      <c r="C526" s="2">
        <v>0.95422399000000002</v>
      </c>
      <c r="D526" s="2">
        <v>1.0000001000000001</v>
      </c>
      <c r="E526" s="2"/>
      <c r="F526" s="2"/>
    </row>
    <row r="527" spans="1:6" x14ac:dyDescent="0.2">
      <c r="A527" s="2">
        <v>0</v>
      </c>
      <c r="B527" s="2">
        <v>5.1309656000000002E-2</v>
      </c>
      <c r="C527" s="2">
        <v>0.16483943000000001</v>
      </c>
      <c r="D527" s="2">
        <v>0.23775467</v>
      </c>
      <c r="E527" s="2"/>
      <c r="F527" s="2"/>
    </row>
    <row r="528" spans="1:6" x14ac:dyDescent="0.2">
      <c r="A528" s="2">
        <v>0</v>
      </c>
      <c r="B528" s="2">
        <v>2.9437181E-2</v>
      </c>
      <c r="C528" s="2">
        <v>6.3320756000000006E-2</v>
      </c>
      <c r="D528" s="2">
        <v>6.3772864999999998E-2</v>
      </c>
      <c r="E528" s="2"/>
      <c r="F528" s="2"/>
    </row>
    <row r="529" spans="1:6" x14ac:dyDescent="0.2">
      <c r="A529" s="2">
        <v>0</v>
      </c>
      <c r="B529" s="2">
        <v>1.4633034E-2</v>
      </c>
      <c r="C529" s="2">
        <v>2.3394313E-2</v>
      </c>
      <c r="D529" s="2">
        <v>9.8203924000000008E-3</v>
      </c>
      <c r="E529" s="2"/>
      <c r="F529" s="2"/>
    </row>
    <row r="530" spans="1:6" x14ac:dyDescent="0.2">
      <c r="A530" s="2">
        <v>2.7950076000000002E-4</v>
      </c>
      <c r="B530" s="2">
        <v>7.4982695000000002E-2</v>
      </c>
      <c r="C530" s="2">
        <v>7.2583228E-2</v>
      </c>
      <c r="D530" s="2">
        <v>4.1846520999999998E-2</v>
      </c>
      <c r="E530" s="2"/>
      <c r="F530" s="2"/>
    </row>
    <row r="531" spans="1:6" x14ac:dyDescent="0.2">
      <c r="A531" s="2">
        <v>0</v>
      </c>
      <c r="B531" s="2">
        <v>5.9045916E-3</v>
      </c>
      <c r="C531" s="2">
        <v>1.011108E-2</v>
      </c>
      <c r="D531" s="2">
        <v>3.2994587000000001E-3</v>
      </c>
      <c r="E531" s="2"/>
      <c r="F531" s="2"/>
    </row>
    <row r="532" spans="1:6" x14ac:dyDescent="0.2">
      <c r="A532" s="2">
        <v>0</v>
      </c>
      <c r="B532" s="2">
        <v>1.3507835000000001E-3</v>
      </c>
      <c r="C532" s="2">
        <v>5.5179419E-3</v>
      </c>
      <c r="D532" s="2">
        <v>0</v>
      </c>
      <c r="E532" s="2"/>
      <c r="F532" s="2"/>
    </row>
    <row r="533" spans="1:6" x14ac:dyDescent="0.2">
      <c r="A533" s="2">
        <v>0</v>
      </c>
      <c r="B533" s="2">
        <v>3.8056318000000001E-3</v>
      </c>
      <c r="C533" s="2">
        <v>9.4096996999999997E-4</v>
      </c>
      <c r="D533" s="2">
        <v>9.8527723000000006E-4</v>
      </c>
      <c r="E533" s="2"/>
      <c r="F533" s="2"/>
    </row>
    <row r="534" spans="1:6" x14ac:dyDescent="0.2">
      <c r="A534" s="2">
        <v>1.3844917999999999E-3</v>
      </c>
      <c r="B534" s="2">
        <v>5.8635891999999998E-3</v>
      </c>
      <c r="C534" s="2">
        <v>4.7181696000000002E-2</v>
      </c>
      <c r="D534" s="2">
        <v>2.9558318000000002E-3</v>
      </c>
      <c r="E534" s="2"/>
      <c r="F534" s="2"/>
    </row>
    <row r="535" spans="1:6" x14ac:dyDescent="0.2">
      <c r="A535" s="2">
        <v>8.1193837999999994E-3</v>
      </c>
      <c r="B535" s="2">
        <v>1.0741262E-2</v>
      </c>
      <c r="C535" s="2">
        <v>7.54363E-3</v>
      </c>
      <c r="D535" s="2">
        <v>0</v>
      </c>
      <c r="E535" s="2"/>
      <c r="F535" s="2"/>
    </row>
    <row r="536" spans="1:6" x14ac:dyDescent="0.2">
      <c r="A536" s="2">
        <v>3.8007044000000002E-4</v>
      </c>
      <c r="B536" s="2">
        <v>0</v>
      </c>
      <c r="C536" s="2">
        <v>0</v>
      </c>
      <c r="D536" s="2">
        <v>0</v>
      </c>
      <c r="E536" s="2"/>
      <c r="F536" s="2"/>
    </row>
    <row r="537" spans="1:6" x14ac:dyDescent="0.2">
      <c r="A537" s="2">
        <v>3.8821480999999998E-3</v>
      </c>
      <c r="B537" s="2">
        <v>1.1615689000000001E-3</v>
      </c>
      <c r="C537" s="2">
        <v>0</v>
      </c>
      <c r="D537" s="2">
        <v>0</v>
      </c>
      <c r="E537" s="2"/>
      <c r="F537" s="2"/>
    </row>
    <row r="538" spans="1:6" x14ac:dyDescent="0.2">
      <c r="A538" s="2">
        <v>9.7460805000000001E-5</v>
      </c>
      <c r="B538" s="2">
        <v>7.3815535999999997E-5</v>
      </c>
      <c r="C538" s="2">
        <v>0</v>
      </c>
      <c r="D538" s="2">
        <v>0</v>
      </c>
      <c r="E538" s="2"/>
      <c r="F538" s="2"/>
    </row>
    <row r="539" spans="1:6" x14ac:dyDescent="0.2">
      <c r="A539" s="2">
        <v>0</v>
      </c>
      <c r="B539" s="2">
        <v>0</v>
      </c>
      <c r="C539" s="2">
        <v>1.1123971E-3</v>
      </c>
      <c r="D539" s="2">
        <v>0</v>
      </c>
      <c r="E539" s="2"/>
      <c r="F539" s="2"/>
    </row>
    <row r="540" spans="1:6" x14ac:dyDescent="0.2">
      <c r="A540" s="2">
        <v>0</v>
      </c>
      <c r="B540" s="2">
        <v>0</v>
      </c>
      <c r="C540" s="2">
        <v>4.7674157999999999E-4</v>
      </c>
      <c r="D540" s="2">
        <v>0</v>
      </c>
      <c r="E540" s="2"/>
      <c r="F540" s="2"/>
    </row>
    <row r="541" spans="1:6" x14ac:dyDescent="0.2">
      <c r="A541" s="2">
        <v>6.5649942000000003E-2</v>
      </c>
      <c r="B541" s="2">
        <v>0.34255894999999997</v>
      </c>
      <c r="C541" s="2">
        <v>0.26077765000000003</v>
      </c>
      <c r="D541" s="2">
        <v>7.3929629999999996E-2</v>
      </c>
      <c r="E541" s="2"/>
      <c r="F541" s="2"/>
    </row>
    <row r="542" spans="1:6" x14ac:dyDescent="0.2">
      <c r="A542" s="2">
        <v>8.0164394000000003E-4</v>
      </c>
      <c r="B542" s="2">
        <v>1.1083352000000001E-3</v>
      </c>
      <c r="C542" s="2">
        <v>9.0923998999999991E-3</v>
      </c>
      <c r="D542" s="2">
        <v>6.6362048E-4</v>
      </c>
      <c r="E542" s="2"/>
      <c r="F542" s="2"/>
    </row>
    <row r="543" spans="1:6" x14ac:dyDescent="0.2">
      <c r="A543" s="2">
        <v>0</v>
      </c>
      <c r="B543" s="2">
        <v>0</v>
      </c>
      <c r="C543" s="2">
        <v>0</v>
      </c>
      <c r="D543" s="2">
        <v>0</v>
      </c>
      <c r="E543" s="2"/>
      <c r="F543" s="2"/>
    </row>
    <row r="544" spans="1:6" x14ac:dyDescent="0.2">
      <c r="A544" s="2">
        <v>0</v>
      </c>
      <c r="B544" s="2">
        <v>3.3987167000000002E-3</v>
      </c>
      <c r="C544" s="2">
        <v>7.7464283000000002E-3</v>
      </c>
      <c r="D544" s="2">
        <v>4.5722052000000003E-3</v>
      </c>
      <c r="E544" s="2"/>
      <c r="F544" s="2"/>
    </row>
    <row r="545" spans="1:6" x14ac:dyDescent="0.2">
      <c r="A545" s="2">
        <v>0</v>
      </c>
      <c r="B545" s="2">
        <v>0</v>
      </c>
      <c r="C545" s="2">
        <v>2.3724772000000001E-3</v>
      </c>
      <c r="D545" s="2">
        <v>0</v>
      </c>
      <c r="E545" s="2"/>
      <c r="F545" s="2"/>
    </row>
    <row r="546" spans="1:6" x14ac:dyDescent="0.2">
      <c r="A546" s="2">
        <v>5.9924777999999997E-6</v>
      </c>
      <c r="B546" s="2">
        <v>7.2103814999999996E-4</v>
      </c>
      <c r="C546" s="2">
        <v>1.0005187E-3</v>
      </c>
      <c r="D546" s="2">
        <v>6.0058004000000003E-4</v>
      </c>
      <c r="E546" s="2"/>
      <c r="F546" s="2"/>
    </row>
    <row r="547" spans="1:6" x14ac:dyDescent="0.2">
      <c r="A547" s="2">
        <v>0</v>
      </c>
      <c r="B547" s="2">
        <v>6.4957668000000003E-3</v>
      </c>
      <c r="C547" s="2">
        <v>6.8241441999999999E-3</v>
      </c>
      <c r="D547" s="2">
        <v>5.3834240000000004E-3</v>
      </c>
      <c r="E547" s="2"/>
      <c r="F547" s="2"/>
    </row>
    <row r="548" spans="1:6" x14ac:dyDescent="0.2">
      <c r="A548" s="2">
        <v>3.6012771E-4</v>
      </c>
      <c r="B548" s="2">
        <v>5.1986649999999999E-3</v>
      </c>
      <c r="C548" s="2">
        <v>9.3805009999999999E-4</v>
      </c>
      <c r="D548" s="2">
        <v>5.8285771000000002E-3</v>
      </c>
      <c r="E548" s="2"/>
      <c r="F548" s="2"/>
    </row>
    <row r="549" spans="1:6" x14ac:dyDescent="0.2">
      <c r="A549" s="2">
        <v>1.2004257E-3</v>
      </c>
      <c r="B549" s="2">
        <v>9.5764878999999995E-4</v>
      </c>
      <c r="C549" s="2">
        <v>0</v>
      </c>
      <c r="D549" s="2">
        <v>0</v>
      </c>
      <c r="E549" s="2"/>
      <c r="F549" s="2"/>
    </row>
    <row r="550" spans="1:6" x14ac:dyDescent="0.2">
      <c r="A550" s="2">
        <v>1.8275244E-4</v>
      </c>
      <c r="B550" s="2">
        <v>3.4543896999999998E-3</v>
      </c>
      <c r="C550" s="2">
        <v>2.5934325999999999E-3</v>
      </c>
      <c r="D550" s="2">
        <v>0</v>
      </c>
      <c r="E550" s="2"/>
      <c r="F550" s="2"/>
    </row>
    <row r="551" spans="1:6" x14ac:dyDescent="0.2">
      <c r="A551" s="2">
        <v>4.4137071999999999E-2</v>
      </c>
      <c r="B551" s="2">
        <v>8.2253683000000008E-3</v>
      </c>
      <c r="C551" s="2">
        <v>2.0350986000000001E-3</v>
      </c>
      <c r="D551" s="2">
        <v>3.9411089000000003E-3</v>
      </c>
      <c r="E551" s="2"/>
      <c r="F551" s="2"/>
    </row>
    <row r="552" spans="1:6" x14ac:dyDescent="0.2">
      <c r="A552" s="1" t="s">
        <v>25</v>
      </c>
    </row>
    <row r="553" spans="1:6" x14ac:dyDescent="0.2">
      <c r="A553" s="2">
        <v>680454.5</v>
      </c>
      <c r="B553" s="2">
        <v>369879.28</v>
      </c>
      <c r="C553" s="2">
        <v>48080.023000000001</v>
      </c>
      <c r="D553" s="2">
        <v>1027.7427</v>
      </c>
      <c r="E553" s="2"/>
      <c r="F553" s="2"/>
    </row>
    <row r="554" spans="1:6" x14ac:dyDescent="0.2">
      <c r="A554" s="2">
        <v>3.0100798000000002E-2</v>
      </c>
      <c r="B554" s="2">
        <v>0.60038501</v>
      </c>
      <c r="C554" s="2">
        <v>0.95302295999999997</v>
      </c>
      <c r="D554" s="2">
        <v>1</v>
      </c>
      <c r="E554" s="2"/>
      <c r="F554" s="2"/>
    </row>
    <row r="555" spans="1:6" x14ac:dyDescent="0.2">
      <c r="A555" s="2">
        <v>0.65374851</v>
      </c>
      <c r="B555" s="2">
        <v>0.91857517</v>
      </c>
      <c r="C555" s="2">
        <v>0.99530231999999996</v>
      </c>
      <c r="D555" s="2">
        <v>1</v>
      </c>
      <c r="E555" s="2"/>
      <c r="F555" s="2"/>
    </row>
    <row r="556" spans="1:6" x14ac:dyDescent="0.2">
      <c r="A556" s="2">
        <v>0</v>
      </c>
      <c r="B556" s="2">
        <v>0</v>
      </c>
      <c r="C556" s="2">
        <v>0</v>
      </c>
      <c r="D556" s="2">
        <v>0</v>
      </c>
      <c r="E556" s="2"/>
      <c r="F556" s="2"/>
    </row>
    <row r="557" spans="1:6" x14ac:dyDescent="0.2">
      <c r="A557" s="2">
        <v>0</v>
      </c>
      <c r="B557" s="2">
        <v>3.5269343000000002E-4</v>
      </c>
      <c r="C557" s="2">
        <v>2.8534624999999999E-3</v>
      </c>
      <c r="D557" s="2">
        <v>0</v>
      </c>
      <c r="E557" s="2"/>
      <c r="F557" s="2"/>
    </row>
    <row r="558" spans="1:6" x14ac:dyDescent="0.2">
      <c r="A558" s="2">
        <v>0</v>
      </c>
      <c r="B558" s="2">
        <v>5.0573717000000004E-3</v>
      </c>
      <c r="C558" s="2">
        <v>1.2985058000000001E-2</v>
      </c>
      <c r="D558" s="2">
        <v>0</v>
      </c>
      <c r="E558" s="2"/>
      <c r="F558" s="2"/>
    </row>
    <row r="559" spans="1:6" x14ac:dyDescent="0.2">
      <c r="A559" s="2">
        <v>6.3054132999999998E-3</v>
      </c>
      <c r="B559" s="2">
        <v>0.32485797999999999</v>
      </c>
      <c r="C559" s="2">
        <v>0.27093648999999997</v>
      </c>
      <c r="D559" s="2">
        <v>0.25523280999999998</v>
      </c>
      <c r="E559" s="2"/>
      <c r="F559" s="2"/>
    </row>
    <row r="560" spans="1:6" x14ac:dyDescent="0.2">
      <c r="A560" s="2">
        <v>3.5761450000000002E-3</v>
      </c>
      <c r="B560" s="2">
        <v>0.43189307999999998</v>
      </c>
      <c r="C560" s="2">
        <v>0.10669566</v>
      </c>
      <c r="D560" s="2">
        <v>2.1689475E-2</v>
      </c>
      <c r="E560" s="2"/>
      <c r="F560" s="2"/>
    </row>
    <row r="561" spans="1:6" x14ac:dyDescent="0.2">
      <c r="A561" s="2">
        <v>3.6616768999999999E-4</v>
      </c>
      <c r="B561" s="2">
        <v>9.2159100999999999E-4</v>
      </c>
      <c r="C561" s="2">
        <v>0</v>
      </c>
      <c r="D561" s="2">
        <v>0</v>
      </c>
      <c r="E561" s="2"/>
      <c r="F561" s="2"/>
    </row>
    <row r="562" spans="1:6" x14ac:dyDescent="0.2">
      <c r="A562" s="2">
        <v>0</v>
      </c>
      <c r="B562" s="2">
        <v>0</v>
      </c>
      <c r="C562" s="2">
        <v>0</v>
      </c>
      <c r="D562" s="2">
        <v>0</v>
      </c>
      <c r="E562" s="2"/>
      <c r="F562" s="2"/>
    </row>
    <row r="563" spans="1:6" x14ac:dyDescent="0.2">
      <c r="A563" s="2">
        <v>0</v>
      </c>
      <c r="B563" s="2">
        <v>0</v>
      </c>
      <c r="C563" s="2">
        <v>0</v>
      </c>
      <c r="D563" s="2">
        <v>0</v>
      </c>
      <c r="E563" s="2"/>
      <c r="F563" s="2"/>
    </row>
    <row r="564" spans="1:6" x14ac:dyDescent="0.2">
      <c r="A564" s="2">
        <v>4.4871161999999998E-4</v>
      </c>
      <c r="B564" s="2">
        <v>1.4196935E-3</v>
      </c>
      <c r="C564" s="2">
        <v>0</v>
      </c>
      <c r="D564" s="2">
        <v>0</v>
      </c>
      <c r="E564" s="2"/>
      <c r="F564" s="2"/>
    </row>
    <row r="565" spans="1:6" x14ac:dyDescent="0.2">
      <c r="A565" s="2">
        <v>8.99697E-3</v>
      </c>
      <c r="B565" s="2">
        <v>3.0180138999999998E-3</v>
      </c>
      <c r="C565" s="2">
        <v>0</v>
      </c>
      <c r="D565" s="2">
        <v>0</v>
      </c>
      <c r="E565" s="2"/>
      <c r="F565" s="2"/>
    </row>
    <row r="566" spans="1:6" x14ac:dyDescent="0.2">
      <c r="A566" s="2">
        <v>5.3385636000000004E-3</v>
      </c>
      <c r="B566" s="2">
        <v>1.1635716E-3</v>
      </c>
      <c r="C566" s="2">
        <v>1.8058643E-3</v>
      </c>
      <c r="D566" s="2">
        <v>0</v>
      </c>
      <c r="E566" s="2"/>
      <c r="F566" s="2"/>
    </row>
    <row r="567" spans="1:6" x14ac:dyDescent="0.2">
      <c r="A567" s="2">
        <v>6.0317562999999998E-3</v>
      </c>
      <c r="B567" s="2">
        <v>5.4209321000000003E-3</v>
      </c>
      <c r="C567" s="2">
        <v>1.3724093000000001E-3</v>
      </c>
      <c r="D567" s="2">
        <v>0</v>
      </c>
      <c r="E567" s="2"/>
      <c r="F567" s="2"/>
    </row>
    <row r="568" spans="1:6" x14ac:dyDescent="0.2">
      <c r="A568" s="2">
        <v>1.9457279000000001E-3</v>
      </c>
      <c r="B568" s="2">
        <v>7.4636022000000005E-4</v>
      </c>
      <c r="C568" s="2">
        <v>1.3724093000000001E-3</v>
      </c>
      <c r="D568" s="2">
        <v>0</v>
      </c>
      <c r="E568" s="2"/>
      <c r="F568" s="2"/>
    </row>
    <row r="569" spans="1:6" x14ac:dyDescent="0.2">
      <c r="A569" s="2">
        <v>4.8643196000000002E-4</v>
      </c>
      <c r="B569" s="2">
        <v>5.8137531999999997E-3</v>
      </c>
      <c r="C569" s="2">
        <v>2.6075777000000001E-2</v>
      </c>
      <c r="D569" s="2">
        <v>0</v>
      </c>
      <c r="E569" s="2"/>
      <c r="F569" s="2"/>
    </row>
    <row r="570" spans="1:6" x14ac:dyDescent="0.2">
      <c r="A570" s="2">
        <v>0.53951864999999999</v>
      </c>
      <c r="B570" s="2">
        <v>0.67731571000000002</v>
      </c>
      <c r="C570" s="2">
        <v>0.58235901999999995</v>
      </c>
      <c r="D570" s="2">
        <v>0.39080380999999997</v>
      </c>
      <c r="E570" s="2"/>
      <c r="F570" s="2"/>
    </row>
    <row r="571" spans="1:6" x14ac:dyDescent="0.2">
      <c r="A571" s="2">
        <v>1.6004187999999999E-4</v>
      </c>
      <c r="B571" s="2">
        <v>4.7922733999999998E-4</v>
      </c>
      <c r="C571" s="2">
        <v>0</v>
      </c>
      <c r="D571" s="2">
        <v>0</v>
      </c>
      <c r="E571" s="2"/>
      <c r="F571" s="2"/>
    </row>
    <row r="572" spans="1:6" x14ac:dyDescent="0.2">
      <c r="A572" s="2">
        <v>0</v>
      </c>
      <c r="B572" s="2">
        <v>7.6423762999999997E-5</v>
      </c>
      <c r="C572" s="2">
        <v>0</v>
      </c>
      <c r="D572" s="2">
        <v>0</v>
      </c>
      <c r="E572" s="2"/>
      <c r="F572" s="2"/>
    </row>
    <row r="573" spans="1:6" x14ac:dyDescent="0.2">
      <c r="A573" s="2">
        <v>0</v>
      </c>
      <c r="B573" s="2">
        <v>0</v>
      </c>
      <c r="C573" s="2">
        <v>0</v>
      </c>
      <c r="D573" s="2">
        <v>0</v>
      </c>
      <c r="E573" s="2"/>
      <c r="F573" s="2"/>
    </row>
    <row r="574" spans="1:6" x14ac:dyDescent="0.2">
      <c r="A574" s="2">
        <v>0</v>
      </c>
      <c r="B574" s="2">
        <v>0</v>
      </c>
      <c r="C574" s="2">
        <v>0</v>
      </c>
      <c r="D574" s="2">
        <v>0</v>
      </c>
      <c r="E574" s="2"/>
      <c r="F574" s="2"/>
    </row>
    <row r="575" spans="1:6" x14ac:dyDescent="0.2">
      <c r="A575" s="2">
        <v>1.3518764000000001E-4</v>
      </c>
      <c r="B575" s="2">
        <v>3.1238541000000002E-3</v>
      </c>
      <c r="C575" s="2">
        <v>3.7347063000000001E-3</v>
      </c>
      <c r="D575" s="2">
        <v>3.6630937999999999E-3</v>
      </c>
      <c r="E575" s="2"/>
      <c r="F575" s="2"/>
    </row>
    <row r="576" spans="1:6" x14ac:dyDescent="0.2">
      <c r="A576" s="2">
        <v>5.0442993999999998E-2</v>
      </c>
      <c r="B576" s="2">
        <v>6.6190368999999999E-2</v>
      </c>
      <c r="C576" s="2">
        <v>1.8839420999999999E-2</v>
      </c>
      <c r="D576" s="2">
        <v>0</v>
      </c>
      <c r="E576" s="2"/>
      <c r="F576" s="2"/>
    </row>
    <row r="577" spans="1:6" x14ac:dyDescent="0.2">
      <c r="A577" s="2">
        <v>4.9129381999999999E-2</v>
      </c>
      <c r="B577" s="2">
        <v>1.7363758999999999E-2</v>
      </c>
      <c r="C577" s="2">
        <v>1.3812975999999999E-2</v>
      </c>
      <c r="D577" s="2">
        <v>0</v>
      </c>
      <c r="E577" s="2"/>
      <c r="F577" s="2"/>
    </row>
    <row r="578" spans="1:6" x14ac:dyDescent="0.2">
      <c r="A578" s="2">
        <v>2.3366413999999999E-2</v>
      </c>
      <c r="B578" s="2">
        <v>3.8950149999999999E-3</v>
      </c>
      <c r="C578" s="2">
        <v>0</v>
      </c>
      <c r="D578" s="2">
        <v>0</v>
      </c>
      <c r="E578" s="2"/>
      <c r="F578" s="2"/>
    </row>
    <row r="579" spans="1:6" x14ac:dyDescent="0.2">
      <c r="A579" s="2">
        <v>6.7269364000000003E-3</v>
      </c>
      <c r="B579" s="2">
        <v>8.3985477999999995E-3</v>
      </c>
      <c r="C579" s="2">
        <v>1.7329007E-2</v>
      </c>
      <c r="D579" s="2">
        <v>0</v>
      </c>
      <c r="E579" s="2"/>
      <c r="F579" s="2"/>
    </row>
    <row r="580" spans="1:6" x14ac:dyDescent="0.2">
      <c r="A580" s="2">
        <v>0</v>
      </c>
      <c r="B580" s="2">
        <v>5.3481012999999995E-4</v>
      </c>
      <c r="C580" s="2">
        <v>0</v>
      </c>
      <c r="D580" s="2">
        <v>0</v>
      </c>
      <c r="E580" s="2"/>
      <c r="F580" s="2"/>
    </row>
    <row r="581" spans="1:6" x14ac:dyDescent="0.2">
      <c r="A581" s="1" t="s">
        <v>26</v>
      </c>
    </row>
    <row r="582" spans="1:6" x14ac:dyDescent="0.2">
      <c r="A582" s="2">
        <v>351708.19</v>
      </c>
      <c r="B582" s="2">
        <v>203646.89</v>
      </c>
      <c r="C582" s="2">
        <v>42583.144999999997</v>
      </c>
      <c r="D582" s="2">
        <v>204.94766000000001</v>
      </c>
      <c r="E582" s="2"/>
      <c r="F582" s="2"/>
    </row>
    <row r="583" spans="1:6" x14ac:dyDescent="0.2">
      <c r="A583" s="2">
        <v>1.0102417000000001E-2</v>
      </c>
      <c r="B583" s="2">
        <v>0.39002724999999999</v>
      </c>
      <c r="C583" s="2">
        <v>0.98776006999999999</v>
      </c>
      <c r="D583" s="2">
        <v>1</v>
      </c>
      <c r="E583" s="2"/>
      <c r="F583" s="2"/>
    </row>
    <row r="584" spans="1:6" x14ac:dyDescent="0.2">
      <c r="A584" s="2">
        <v>0.61808335999999997</v>
      </c>
      <c r="B584" s="2">
        <v>0.87740815000000005</v>
      </c>
      <c r="C584" s="2">
        <v>0.99877601999999999</v>
      </c>
      <c r="D584" s="2">
        <v>1</v>
      </c>
      <c r="E584" s="2"/>
      <c r="F584" s="2"/>
    </row>
    <row r="585" spans="1:6" x14ac:dyDescent="0.2">
      <c r="A585" s="2">
        <v>0</v>
      </c>
      <c r="B585" s="2">
        <v>0</v>
      </c>
      <c r="C585" s="2">
        <v>0</v>
      </c>
      <c r="D585" s="2">
        <v>0</v>
      </c>
      <c r="E585" s="2"/>
      <c r="F585" s="2"/>
    </row>
    <row r="586" spans="1:6" x14ac:dyDescent="0.2">
      <c r="A586" s="2">
        <v>0</v>
      </c>
      <c r="B586" s="2">
        <v>0</v>
      </c>
      <c r="C586" s="2">
        <v>0</v>
      </c>
      <c r="D586" s="2">
        <v>0</v>
      </c>
      <c r="E586" s="2"/>
      <c r="F586" s="2"/>
    </row>
    <row r="587" spans="1:6" x14ac:dyDescent="0.2">
      <c r="A587" s="2">
        <v>0</v>
      </c>
      <c r="B587" s="2">
        <v>1.9370895000000001E-3</v>
      </c>
      <c r="C587" s="2">
        <v>9.7709461999999997E-2</v>
      </c>
      <c r="D587" s="2">
        <v>0</v>
      </c>
      <c r="E587" s="2"/>
      <c r="F587" s="2"/>
    </row>
    <row r="588" spans="1:6" x14ac:dyDescent="0.2">
      <c r="A588" s="2">
        <v>0</v>
      </c>
      <c r="B588" s="2">
        <v>0.39359077999999997</v>
      </c>
      <c r="C588" s="2">
        <v>0.30195846999999998</v>
      </c>
      <c r="D588" s="2">
        <v>0</v>
      </c>
      <c r="E588" s="2"/>
      <c r="F588" s="2"/>
    </row>
    <row r="589" spans="1:6" x14ac:dyDescent="0.2">
      <c r="A589" s="2">
        <v>0</v>
      </c>
      <c r="B589" s="2">
        <v>0.33031505</v>
      </c>
      <c r="C589" s="2">
        <v>7.3521920000000004E-2</v>
      </c>
      <c r="D589" s="2">
        <v>0</v>
      </c>
      <c r="E589" s="2"/>
      <c r="F589" s="2"/>
    </row>
    <row r="590" spans="1:6" x14ac:dyDescent="0.2">
      <c r="A590" s="2">
        <v>0</v>
      </c>
      <c r="B590" s="2">
        <v>0</v>
      </c>
      <c r="C590" s="2">
        <v>0</v>
      </c>
      <c r="D590" s="2">
        <v>0</v>
      </c>
      <c r="E590" s="2"/>
      <c r="F590" s="2"/>
    </row>
    <row r="591" spans="1:6" x14ac:dyDescent="0.2">
      <c r="A591" s="2">
        <v>0</v>
      </c>
      <c r="B591" s="2">
        <v>0</v>
      </c>
      <c r="C591" s="2">
        <v>0</v>
      </c>
      <c r="D591" s="2">
        <v>0</v>
      </c>
      <c r="E591" s="2"/>
      <c r="F591" s="2"/>
    </row>
    <row r="592" spans="1:6" x14ac:dyDescent="0.2">
      <c r="A592" s="2">
        <v>0</v>
      </c>
      <c r="B592" s="2">
        <v>0</v>
      </c>
      <c r="C592" s="2">
        <v>0</v>
      </c>
      <c r="D592" s="2">
        <v>0</v>
      </c>
      <c r="E592" s="2"/>
      <c r="F592" s="2"/>
    </row>
    <row r="593" spans="1:6" x14ac:dyDescent="0.2">
      <c r="A593" s="2">
        <v>1.6821553E-3</v>
      </c>
      <c r="B593" s="2">
        <v>0</v>
      </c>
      <c r="C593" s="2">
        <v>0</v>
      </c>
      <c r="D593" s="2">
        <v>0</v>
      </c>
      <c r="E593" s="2"/>
      <c r="F593" s="2"/>
    </row>
    <row r="594" spans="1:6" x14ac:dyDescent="0.2">
      <c r="A594" s="2">
        <v>1.3003699999999999E-3</v>
      </c>
      <c r="B594" s="2">
        <v>1.1030448E-2</v>
      </c>
      <c r="C594" s="2">
        <v>0</v>
      </c>
      <c r="D594" s="2">
        <v>0</v>
      </c>
      <c r="E594" s="2"/>
      <c r="F594" s="2"/>
    </row>
    <row r="595" spans="1:6" x14ac:dyDescent="0.2">
      <c r="A595" s="2">
        <v>9.7527751E-4</v>
      </c>
      <c r="B595" s="2">
        <v>1.2256054E-3</v>
      </c>
      <c r="C595" s="2">
        <v>0</v>
      </c>
      <c r="D595" s="2">
        <v>0</v>
      </c>
      <c r="E595" s="2"/>
      <c r="F595" s="2"/>
    </row>
    <row r="596" spans="1:6" x14ac:dyDescent="0.2">
      <c r="A596" s="2">
        <v>0</v>
      </c>
      <c r="B596" s="2">
        <v>1.3240439999999999E-3</v>
      </c>
      <c r="C596" s="2">
        <v>0</v>
      </c>
      <c r="D596" s="2">
        <v>0</v>
      </c>
      <c r="E596" s="2"/>
      <c r="F596" s="2"/>
    </row>
    <row r="597" spans="1:6" x14ac:dyDescent="0.2">
      <c r="A597" s="2">
        <v>0</v>
      </c>
      <c r="B597" s="2">
        <v>0</v>
      </c>
      <c r="C597" s="2">
        <v>0</v>
      </c>
      <c r="D597" s="2">
        <v>0</v>
      </c>
      <c r="E597" s="2"/>
      <c r="F597" s="2"/>
    </row>
    <row r="598" spans="1:6" x14ac:dyDescent="0.2">
      <c r="A598" s="2">
        <v>1.1670806E-3</v>
      </c>
      <c r="B598" s="2">
        <v>0</v>
      </c>
      <c r="C598" s="2">
        <v>0</v>
      </c>
      <c r="D598" s="2">
        <v>0</v>
      </c>
      <c r="E598" s="2"/>
      <c r="F598" s="2"/>
    </row>
    <row r="599" spans="1:6" x14ac:dyDescent="0.2">
      <c r="A599" s="2">
        <v>0.24868198</v>
      </c>
      <c r="B599" s="2">
        <v>0.41217651999999999</v>
      </c>
      <c r="C599" s="2">
        <v>0.35850155</v>
      </c>
      <c r="D599" s="2">
        <v>0</v>
      </c>
      <c r="E599" s="2"/>
      <c r="F599" s="2"/>
    </row>
    <row r="600" spans="1:6" x14ac:dyDescent="0.2">
      <c r="A600" s="2">
        <v>1.2799446000000001E-3</v>
      </c>
      <c r="B600" s="2">
        <v>4.1417556000000001E-4</v>
      </c>
      <c r="C600" s="2">
        <v>0</v>
      </c>
      <c r="D600" s="2">
        <v>0</v>
      </c>
      <c r="E600" s="2"/>
      <c r="F600" s="2"/>
    </row>
    <row r="601" spans="1:6" x14ac:dyDescent="0.2">
      <c r="A601" s="2">
        <v>0</v>
      </c>
      <c r="B601" s="2">
        <v>0</v>
      </c>
      <c r="C601" s="2">
        <v>0</v>
      </c>
      <c r="D601" s="2">
        <v>0</v>
      </c>
      <c r="E601" s="2"/>
      <c r="F601" s="2"/>
    </row>
    <row r="602" spans="1:6" x14ac:dyDescent="0.2">
      <c r="A602" s="2">
        <v>0</v>
      </c>
      <c r="B602" s="2">
        <v>0</v>
      </c>
      <c r="C602" s="2">
        <v>0</v>
      </c>
      <c r="D602" s="2">
        <v>0</v>
      </c>
      <c r="E602" s="2"/>
      <c r="F602" s="2"/>
    </row>
    <row r="603" spans="1:6" x14ac:dyDescent="0.2">
      <c r="A603" s="2">
        <v>0</v>
      </c>
      <c r="B603" s="2">
        <v>0</v>
      </c>
      <c r="C603" s="2">
        <v>0</v>
      </c>
      <c r="D603" s="2">
        <v>0</v>
      </c>
      <c r="E603" s="2"/>
      <c r="F603" s="2"/>
    </row>
    <row r="604" spans="1:6" x14ac:dyDescent="0.2">
      <c r="A604" s="2">
        <v>0</v>
      </c>
      <c r="B604" s="2">
        <v>3.7847928999999998E-3</v>
      </c>
      <c r="C604" s="2">
        <v>4.1623266999999999E-3</v>
      </c>
      <c r="D604" s="2">
        <v>0</v>
      </c>
      <c r="E604" s="2"/>
      <c r="F604" s="2"/>
    </row>
    <row r="605" spans="1:6" x14ac:dyDescent="0.2">
      <c r="A605" s="2">
        <v>1.6339129000000001E-2</v>
      </c>
      <c r="B605" s="2">
        <v>3.7955925000000001E-2</v>
      </c>
      <c r="C605" s="2">
        <v>0</v>
      </c>
      <c r="D605" s="2">
        <v>0</v>
      </c>
      <c r="E605" s="2"/>
      <c r="F605" s="2"/>
    </row>
    <row r="606" spans="1:6" x14ac:dyDescent="0.2">
      <c r="A606" s="2">
        <v>8.6249671999999999E-3</v>
      </c>
      <c r="B606" s="2">
        <v>2.4130349999999998E-2</v>
      </c>
      <c r="C606" s="2">
        <v>4.1995696999999998E-2</v>
      </c>
      <c r="D606" s="2">
        <v>0</v>
      </c>
      <c r="E606" s="2"/>
      <c r="F606" s="2"/>
    </row>
    <row r="607" spans="1:6" x14ac:dyDescent="0.2">
      <c r="A607" s="2">
        <v>4.1687340000000003E-2</v>
      </c>
      <c r="B607" s="2">
        <v>5.7258457E-3</v>
      </c>
      <c r="C607" s="2">
        <v>0</v>
      </c>
      <c r="D607" s="2">
        <v>0</v>
      </c>
      <c r="E607" s="2"/>
      <c r="F607" s="2"/>
    </row>
    <row r="608" spans="1:6" x14ac:dyDescent="0.2">
      <c r="A608" s="2">
        <v>1.9148825000000001E-3</v>
      </c>
      <c r="B608" s="2">
        <v>7.6946365000000001E-3</v>
      </c>
      <c r="C608" s="2">
        <v>3.1496773999999998E-2</v>
      </c>
      <c r="D608" s="2">
        <v>0</v>
      </c>
      <c r="E608" s="2"/>
      <c r="F608" s="2"/>
    </row>
    <row r="609" spans="1:6" x14ac:dyDescent="0.2">
      <c r="A609" s="2">
        <v>0</v>
      </c>
      <c r="B609" s="2">
        <v>1.3132980000000001E-2</v>
      </c>
      <c r="C609" s="2">
        <v>0</v>
      </c>
      <c r="D609" s="2">
        <v>0</v>
      </c>
      <c r="E609" s="2"/>
      <c r="F609" s="2"/>
    </row>
    <row r="610" spans="1:6" x14ac:dyDescent="0.2">
      <c r="A610" s="1" t="s">
        <v>27</v>
      </c>
    </row>
    <row r="611" spans="1:6" x14ac:dyDescent="0.2">
      <c r="A611" s="2">
        <v>186855.11</v>
      </c>
      <c r="B611" s="2">
        <v>109605.89</v>
      </c>
      <c r="C611" s="2">
        <v>50538.487999999998</v>
      </c>
      <c r="D611" s="2">
        <v>3634.3162000000002</v>
      </c>
      <c r="E611" s="2"/>
      <c r="F611" s="2"/>
    </row>
    <row r="612" spans="1:6" x14ac:dyDescent="0.2">
      <c r="A612" s="2">
        <v>1.6872822999999999E-2</v>
      </c>
      <c r="B612" s="2">
        <v>0.12651493999999999</v>
      </c>
      <c r="C612" s="2">
        <v>0.81595044999999999</v>
      </c>
      <c r="D612" s="2">
        <v>1.0000001000000001</v>
      </c>
      <c r="E612" s="2"/>
      <c r="F612" s="2"/>
    </row>
    <row r="613" spans="1:6" x14ac:dyDescent="0.2">
      <c r="A613" s="2">
        <v>0.57598638999999996</v>
      </c>
      <c r="B613" s="2">
        <v>0.81244183000000003</v>
      </c>
      <c r="C613" s="2">
        <v>0.98159503999999997</v>
      </c>
      <c r="D613" s="2">
        <v>1.0000001000000001</v>
      </c>
      <c r="E613" s="2"/>
      <c r="F613" s="2"/>
    </row>
    <row r="614" spans="1:6" x14ac:dyDescent="0.2">
      <c r="A614" s="2">
        <v>0</v>
      </c>
      <c r="B614" s="2">
        <v>0</v>
      </c>
      <c r="C614" s="2">
        <v>7.2163521999999994E-2</v>
      </c>
      <c r="D614" s="2">
        <v>8.0080024999999999E-2</v>
      </c>
      <c r="E614" s="2"/>
      <c r="F614" s="2"/>
    </row>
    <row r="615" spans="1:6" x14ac:dyDescent="0.2">
      <c r="A615" s="2">
        <v>0</v>
      </c>
      <c r="B615" s="2">
        <v>8.8715591000000007E-3</v>
      </c>
      <c r="C615" s="2">
        <v>2.3710189E-2</v>
      </c>
      <c r="D615" s="2">
        <v>0</v>
      </c>
      <c r="E615" s="2"/>
      <c r="F615" s="2"/>
    </row>
    <row r="616" spans="1:6" x14ac:dyDescent="0.2">
      <c r="A616" s="2">
        <v>0</v>
      </c>
      <c r="B616" s="2">
        <v>2.6020599000000002E-3</v>
      </c>
      <c r="C616" s="2">
        <v>0</v>
      </c>
      <c r="D616" s="2">
        <v>0</v>
      </c>
      <c r="E616" s="2"/>
      <c r="F616" s="2"/>
    </row>
    <row r="617" spans="1:6" x14ac:dyDescent="0.2">
      <c r="A617" s="2">
        <v>0</v>
      </c>
      <c r="B617" s="2">
        <v>0.11050081</v>
      </c>
      <c r="C617" s="2">
        <v>0.20836836</v>
      </c>
      <c r="D617" s="2">
        <v>0.38786945</v>
      </c>
      <c r="E617" s="2"/>
      <c r="F617" s="2"/>
    </row>
    <row r="618" spans="1:6" x14ac:dyDescent="0.2">
      <c r="A618" s="2">
        <v>0</v>
      </c>
      <c r="B618" s="2">
        <v>0.17661051</v>
      </c>
      <c r="C618" s="2">
        <v>0.14248334000000001</v>
      </c>
      <c r="D618" s="2">
        <v>4.2378209999999999E-2</v>
      </c>
      <c r="E618" s="2"/>
      <c r="F618" s="2"/>
    </row>
    <row r="619" spans="1:6" x14ac:dyDescent="0.2">
      <c r="A619" s="2">
        <v>0</v>
      </c>
      <c r="B619" s="2">
        <v>2.2254202000000002E-3</v>
      </c>
      <c r="C619" s="2">
        <v>0</v>
      </c>
      <c r="D619" s="2">
        <v>0</v>
      </c>
      <c r="E619" s="2"/>
      <c r="F619" s="2"/>
    </row>
    <row r="620" spans="1:6" x14ac:dyDescent="0.2">
      <c r="A620" s="2">
        <v>0</v>
      </c>
      <c r="B620" s="2">
        <v>0</v>
      </c>
      <c r="C620" s="2">
        <v>0</v>
      </c>
      <c r="D620" s="2">
        <v>0</v>
      </c>
      <c r="E620" s="2"/>
      <c r="F620" s="2"/>
    </row>
    <row r="621" spans="1:6" x14ac:dyDescent="0.2">
      <c r="A621" s="2">
        <v>0</v>
      </c>
      <c r="B621" s="2">
        <v>6.6878883999999996E-3</v>
      </c>
      <c r="C621" s="2">
        <v>1.0758703E-2</v>
      </c>
      <c r="D621" s="2">
        <v>0</v>
      </c>
      <c r="E621" s="2"/>
      <c r="F621" s="2"/>
    </row>
    <row r="622" spans="1:6" x14ac:dyDescent="0.2">
      <c r="A622" s="2">
        <v>1.3764614E-3</v>
      </c>
      <c r="B622" s="2">
        <v>2.8192578000000002E-3</v>
      </c>
      <c r="C622" s="2">
        <v>0</v>
      </c>
      <c r="D622" s="2">
        <v>0</v>
      </c>
      <c r="E622" s="2"/>
      <c r="F622" s="2"/>
    </row>
    <row r="623" spans="1:6" x14ac:dyDescent="0.2">
      <c r="A623" s="2">
        <v>0</v>
      </c>
      <c r="B623" s="2">
        <v>0</v>
      </c>
      <c r="C623" s="2">
        <v>0</v>
      </c>
      <c r="D623" s="2">
        <v>0</v>
      </c>
      <c r="E623" s="2"/>
      <c r="F623" s="2"/>
    </row>
    <row r="624" spans="1:6" x14ac:dyDescent="0.2">
      <c r="A624" s="2">
        <v>5.3202850000000001E-3</v>
      </c>
      <c r="B624" s="2">
        <v>3.8414486000000001E-3</v>
      </c>
      <c r="C624" s="2">
        <v>0</v>
      </c>
      <c r="D624" s="2">
        <v>0</v>
      </c>
      <c r="E624" s="2"/>
      <c r="F624" s="2"/>
    </row>
    <row r="625" spans="1:6" x14ac:dyDescent="0.2">
      <c r="A625" s="2">
        <v>0</v>
      </c>
      <c r="B625" s="2">
        <v>5.3356973999999996E-3</v>
      </c>
      <c r="C625" s="2">
        <v>1.6360853000000002E-2</v>
      </c>
      <c r="D625" s="2">
        <v>0</v>
      </c>
      <c r="E625" s="2"/>
      <c r="F625" s="2"/>
    </row>
    <row r="626" spans="1:6" x14ac:dyDescent="0.2">
      <c r="A626" s="2">
        <v>0</v>
      </c>
      <c r="B626" s="2">
        <v>0</v>
      </c>
      <c r="C626" s="2">
        <v>0</v>
      </c>
      <c r="D626" s="2">
        <v>0</v>
      </c>
      <c r="E626" s="2"/>
      <c r="F626" s="2"/>
    </row>
    <row r="627" spans="1:6" x14ac:dyDescent="0.2">
      <c r="A627" s="2">
        <v>0</v>
      </c>
      <c r="B627" s="2">
        <v>1.1857104999999999E-3</v>
      </c>
      <c r="C627" s="2">
        <v>0</v>
      </c>
      <c r="D627" s="2">
        <v>0</v>
      </c>
      <c r="E627" s="2"/>
      <c r="F627" s="2"/>
    </row>
    <row r="628" spans="1:6" x14ac:dyDescent="0.2">
      <c r="A628" s="2">
        <v>0.32279163999999999</v>
      </c>
      <c r="B628" s="2">
        <v>0.37631416000000001</v>
      </c>
      <c r="C628" s="2">
        <v>0.22632511999999999</v>
      </c>
      <c r="D628" s="2">
        <v>0</v>
      </c>
      <c r="E628" s="2"/>
      <c r="F628" s="2"/>
    </row>
    <row r="629" spans="1:6" x14ac:dyDescent="0.2">
      <c r="A629" s="2">
        <v>0</v>
      </c>
      <c r="B629" s="2">
        <v>1.1127101000000001E-3</v>
      </c>
      <c r="C629" s="2">
        <v>1.075978E-2</v>
      </c>
      <c r="D629" s="2">
        <v>5.3173951999999997E-2</v>
      </c>
      <c r="E629" s="2"/>
      <c r="F629" s="2"/>
    </row>
    <row r="630" spans="1:6" x14ac:dyDescent="0.2">
      <c r="A630" s="2">
        <v>0</v>
      </c>
      <c r="B630" s="2">
        <v>0</v>
      </c>
      <c r="C630" s="2">
        <v>0</v>
      </c>
      <c r="D630" s="2">
        <v>0</v>
      </c>
      <c r="E630" s="2"/>
      <c r="F630" s="2"/>
    </row>
    <row r="631" spans="1:6" x14ac:dyDescent="0.2">
      <c r="A631" s="2">
        <v>0</v>
      </c>
      <c r="B631" s="2">
        <v>0</v>
      </c>
      <c r="C631" s="2">
        <v>5.3853373999999997E-3</v>
      </c>
      <c r="D631" s="2">
        <v>0</v>
      </c>
      <c r="E631" s="2"/>
      <c r="F631" s="2"/>
    </row>
    <row r="632" spans="1:6" x14ac:dyDescent="0.2">
      <c r="A632" s="2">
        <v>0</v>
      </c>
      <c r="B632" s="2">
        <v>0</v>
      </c>
      <c r="C632" s="2">
        <v>5.2165566E-3</v>
      </c>
      <c r="D632" s="2">
        <v>0</v>
      </c>
      <c r="E632" s="2"/>
      <c r="F632" s="2"/>
    </row>
    <row r="633" spans="1:6" x14ac:dyDescent="0.2">
      <c r="A633" s="2">
        <v>0</v>
      </c>
      <c r="B633" s="2">
        <v>1.0625825E-3</v>
      </c>
      <c r="C633" s="2">
        <v>2.8722399999999999E-3</v>
      </c>
      <c r="D633" s="2">
        <v>5.5666910000000003E-3</v>
      </c>
      <c r="E633" s="2"/>
      <c r="F633" s="2"/>
    </row>
    <row r="634" spans="1:6" x14ac:dyDescent="0.2">
      <c r="A634" s="2">
        <v>0</v>
      </c>
      <c r="B634" s="2">
        <v>6.1064093999999999E-2</v>
      </c>
      <c r="C634" s="2">
        <v>8.9905776000000007E-2</v>
      </c>
      <c r="D634" s="2">
        <v>0</v>
      </c>
      <c r="E634" s="2"/>
      <c r="F634" s="2"/>
    </row>
    <row r="635" spans="1:6" x14ac:dyDescent="0.2">
      <c r="A635" s="2">
        <v>0</v>
      </c>
      <c r="B635" s="2">
        <v>1.6481639999999999E-3</v>
      </c>
      <c r="C635" s="2">
        <v>0</v>
      </c>
      <c r="D635" s="2">
        <v>0</v>
      </c>
      <c r="E635" s="2"/>
      <c r="F635" s="2"/>
    </row>
    <row r="636" spans="1:6" x14ac:dyDescent="0.2">
      <c r="A636" s="2">
        <v>0</v>
      </c>
      <c r="B636" s="2">
        <v>0</v>
      </c>
      <c r="C636" s="2">
        <v>0</v>
      </c>
      <c r="D636" s="2">
        <v>0</v>
      </c>
      <c r="E636" s="2"/>
      <c r="F636" s="2"/>
    </row>
    <row r="637" spans="1:6" x14ac:dyDescent="0.2">
      <c r="A637" s="2">
        <v>0</v>
      </c>
      <c r="B637" s="2">
        <v>0</v>
      </c>
      <c r="C637" s="2">
        <v>0</v>
      </c>
      <c r="D637" s="2">
        <v>0</v>
      </c>
      <c r="E637" s="2"/>
      <c r="F637" s="2"/>
    </row>
    <row r="638" spans="1:6" x14ac:dyDescent="0.2">
      <c r="A638" s="2">
        <v>2.5040288000000001E-2</v>
      </c>
      <c r="B638" s="2">
        <v>6.3382134000000007E-2</v>
      </c>
      <c r="C638" s="2">
        <v>1.0744716E-2</v>
      </c>
      <c r="D638" s="2">
        <v>0</v>
      </c>
      <c r="E638" s="2"/>
      <c r="F638" s="2"/>
    </row>
    <row r="639" spans="1:6" x14ac:dyDescent="0.2">
      <c r="A639" s="1" t="s">
        <v>28</v>
      </c>
    </row>
    <row r="640" spans="1:6" x14ac:dyDescent="0.2">
      <c r="A640" s="2">
        <v>117949.38</v>
      </c>
      <c r="B640" s="2">
        <v>65678.687999999995</v>
      </c>
      <c r="C640" s="2">
        <v>37485.519999999997</v>
      </c>
      <c r="D640" s="2">
        <v>7527.0492999999997</v>
      </c>
      <c r="E640" s="2"/>
      <c r="F640" s="2"/>
    </row>
    <row r="641" spans="1:6" x14ac:dyDescent="0.2">
      <c r="A641" s="2">
        <v>4.8765898000000002E-2</v>
      </c>
      <c r="B641" s="2">
        <v>0.10944584</v>
      </c>
      <c r="C641" s="2">
        <v>0.65886526999999995</v>
      </c>
      <c r="D641" s="2">
        <v>1</v>
      </c>
      <c r="E641" s="2"/>
      <c r="F641" s="2"/>
    </row>
    <row r="642" spans="1:6" x14ac:dyDescent="0.2">
      <c r="A642" s="2">
        <v>0.57984912</v>
      </c>
      <c r="B642" s="2">
        <v>0.79758525000000002</v>
      </c>
      <c r="C642" s="2">
        <v>0.96588653000000002</v>
      </c>
      <c r="D642" s="2">
        <v>1</v>
      </c>
      <c r="E642" s="2"/>
      <c r="F642" s="2"/>
    </row>
    <row r="643" spans="1:6" x14ac:dyDescent="0.2">
      <c r="A643" s="2">
        <v>0</v>
      </c>
      <c r="B643" s="2">
        <v>3.3752961999999999E-3</v>
      </c>
      <c r="C643" s="2">
        <v>7.7331371999999995E-2</v>
      </c>
      <c r="D643" s="2">
        <v>0.15037239999999999</v>
      </c>
      <c r="E643" s="2"/>
      <c r="F643" s="2"/>
    </row>
    <row r="644" spans="1:6" x14ac:dyDescent="0.2">
      <c r="A644" s="2">
        <v>0</v>
      </c>
      <c r="B644" s="2">
        <v>1.0768618000000001E-2</v>
      </c>
      <c r="C644" s="2">
        <v>3.3715296999999998E-2</v>
      </c>
      <c r="D644" s="2">
        <v>9.3633299999999996E-3</v>
      </c>
      <c r="E644" s="2"/>
      <c r="F644" s="2"/>
    </row>
    <row r="645" spans="1:6" x14ac:dyDescent="0.2">
      <c r="A645" s="2">
        <v>0</v>
      </c>
      <c r="B645" s="2">
        <v>1.1082366000000001E-3</v>
      </c>
      <c r="C645" s="2">
        <v>8.8534289999999995E-3</v>
      </c>
      <c r="D645" s="2">
        <v>3.3070757999999999E-2</v>
      </c>
      <c r="E645" s="2"/>
      <c r="F645" s="2"/>
    </row>
    <row r="646" spans="1:6" x14ac:dyDescent="0.2">
      <c r="A646" s="2">
        <v>1.1061502000000001E-2</v>
      </c>
      <c r="B646" s="2">
        <v>4.5615020999999999E-2</v>
      </c>
      <c r="C646" s="2">
        <v>8.2468309000000004E-2</v>
      </c>
      <c r="D646" s="2">
        <v>0</v>
      </c>
      <c r="E646" s="2"/>
      <c r="F646" s="2"/>
    </row>
    <row r="647" spans="1:6" x14ac:dyDescent="0.2">
      <c r="A647" s="2">
        <v>2.1812767E-3</v>
      </c>
      <c r="B647" s="2">
        <v>3.412747E-2</v>
      </c>
      <c r="C647" s="2">
        <v>2.8729020000000001E-2</v>
      </c>
      <c r="D647" s="2">
        <v>0</v>
      </c>
      <c r="E647" s="2"/>
      <c r="F647" s="2"/>
    </row>
    <row r="648" spans="1:6" x14ac:dyDescent="0.2">
      <c r="A648" s="2">
        <v>0</v>
      </c>
      <c r="B648" s="2">
        <v>3.5543363000000001E-3</v>
      </c>
      <c r="C648" s="2">
        <v>0</v>
      </c>
      <c r="D648" s="2">
        <v>9.4134677000000007E-3</v>
      </c>
      <c r="E648" s="2"/>
      <c r="F648" s="2"/>
    </row>
    <row r="649" spans="1:6" x14ac:dyDescent="0.2">
      <c r="A649" s="2">
        <v>0</v>
      </c>
      <c r="B649" s="2">
        <v>0</v>
      </c>
      <c r="C649" s="2">
        <v>2.0660693000000001E-2</v>
      </c>
      <c r="D649" s="2">
        <v>0</v>
      </c>
      <c r="E649" s="2"/>
      <c r="F649" s="2"/>
    </row>
    <row r="650" spans="1:6" x14ac:dyDescent="0.2">
      <c r="A650" s="2">
        <v>0</v>
      </c>
      <c r="B650" s="2">
        <v>1.7802631000000001E-3</v>
      </c>
      <c r="C650" s="2">
        <v>1.0868604E-2</v>
      </c>
      <c r="D650" s="2">
        <v>0</v>
      </c>
      <c r="E650" s="2"/>
      <c r="F650" s="2"/>
    </row>
    <row r="651" spans="1:6" x14ac:dyDescent="0.2">
      <c r="A651" s="2">
        <v>5.2814105999999996E-3</v>
      </c>
      <c r="B651" s="2">
        <v>1.0806685000000001E-3</v>
      </c>
      <c r="C651" s="2">
        <v>0</v>
      </c>
      <c r="D651" s="2">
        <v>0</v>
      </c>
      <c r="E651" s="2"/>
      <c r="F651" s="2"/>
    </row>
    <row r="652" spans="1:6" x14ac:dyDescent="0.2">
      <c r="A652" s="2">
        <v>0</v>
      </c>
      <c r="B652" s="2">
        <v>0</v>
      </c>
      <c r="C652" s="2">
        <v>0</v>
      </c>
      <c r="D652" s="2">
        <v>0</v>
      </c>
      <c r="E652" s="2"/>
      <c r="F652" s="2"/>
    </row>
    <row r="653" spans="1:6" x14ac:dyDescent="0.2">
      <c r="A653" s="2">
        <v>1.0744029E-3</v>
      </c>
      <c r="B653" s="2">
        <v>3.5059317000000001E-3</v>
      </c>
      <c r="C653" s="2">
        <v>6.5244292000000001E-3</v>
      </c>
      <c r="D653" s="2">
        <v>0</v>
      </c>
      <c r="E653" s="2"/>
      <c r="F653" s="2"/>
    </row>
    <row r="654" spans="1:6" x14ac:dyDescent="0.2">
      <c r="A654" s="2">
        <v>5.3035147000000003E-3</v>
      </c>
      <c r="B654" s="2">
        <v>1.8937610000000001E-3</v>
      </c>
      <c r="C654" s="2">
        <v>0</v>
      </c>
      <c r="D654" s="2">
        <v>0</v>
      </c>
      <c r="E654" s="2"/>
      <c r="F654" s="2"/>
    </row>
    <row r="655" spans="1:6" x14ac:dyDescent="0.2">
      <c r="A655" s="2">
        <v>0</v>
      </c>
      <c r="B655" s="2">
        <v>0</v>
      </c>
      <c r="C655" s="2">
        <v>0</v>
      </c>
      <c r="D655" s="2">
        <v>0</v>
      </c>
      <c r="E655" s="2"/>
      <c r="F655" s="2"/>
    </row>
    <row r="656" spans="1:6" x14ac:dyDescent="0.2">
      <c r="A656" s="2">
        <v>0</v>
      </c>
      <c r="B656" s="2">
        <v>0</v>
      </c>
      <c r="C656" s="2">
        <v>1.6527981000000001E-2</v>
      </c>
      <c r="D656" s="2">
        <v>0</v>
      </c>
      <c r="E656" s="2"/>
      <c r="F656" s="2"/>
    </row>
    <row r="657" spans="1:6" x14ac:dyDescent="0.2">
      <c r="A657" s="2">
        <v>0.11152028999999999</v>
      </c>
      <c r="B657" s="2">
        <v>0.10614253999999999</v>
      </c>
      <c r="C657" s="2">
        <v>3.8565289000000003E-2</v>
      </c>
      <c r="D657" s="2">
        <v>5.4859593999999998E-2</v>
      </c>
      <c r="E657" s="2"/>
      <c r="F657" s="2"/>
    </row>
    <row r="658" spans="1:6" x14ac:dyDescent="0.2">
      <c r="A658" s="2">
        <v>1.5862902E-3</v>
      </c>
      <c r="B658" s="2">
        <v>0</v>
      </c>
      <c r="C658" s="2">
        <v>0</v>
      </c>
      <c r="D658" s="2">
        <v>0</v>
      </c>
      <c r="E658" s="2"/>
      <c r="F658" s="2"/>
    </row>
    <row r="659" spans="1:6" x14ac:dyDescent="0.2">
      <c r="A659" s="2">
        <v>0</v>
      </c>
      <c r="B659" s="2">
        <v>0</v>
      </c>
      <c r="C659" s="2">
        <v>0</v>
      </c>
      <c r="D659" s="2">
        <v>0</v>
      </c>
      <c r="E659" s="2"/>
      <c r="F659" s="2"/>
    </row>
    <row r="660" spans="1:6" x14ac:dyDescent="0.2">
      <c r="A660" s="2">
        <v>0</v>
      </c>
      <c r="B660" s="2">
        <v>0</v>
      </c>
      <c r="C660" s="2">
        <v>3.3142016999999999E-3</v>
      </c>
      <c r="D660" s="2">
        <v>4.6991374999999997E-3</v>
      </c>
      <c r="E660" s="2"/>
      <c r="F660" s="2"/>
    </row>
    <row r="661" spans="1:6" x14ac:dyDescent="0.2">
      <c r="A661" s="2">
        <v>0</v>
      </c>
      <c r="B661" s="2">
        <v>0</v>
      </c>
      <c r="C661" s="2">
        <v>2.6752767000000001E-3</v>
      </c>
      <c r="D661" s="2">
        <v>0</v>
      </c>
      <c r="E661" s="2"/>
      <c r="F661" s="2"/>
    </row>
    <row r="662" spans="1:6" x14ac:dyDescent="0.2">
      <c r="A662" s="2">
        <v>2.3715787000000001E-4</v>
      </c>
      <c r="B662" s="2">
        <v>4.3863681999999998E-4</v>
      </c>
      <c r="C662" s="2">
        <v>1.1367790000000001E-3</v>
      </c>
      <c r="D662" s="2">
        <v>0</v>
      </c>
      <c r="E662" s="2"/>
      <c r="F662" s="2"/>
    </row>
    <row r="663" spans="1:6" x14ac:dyDescent="0.2">
      <c r="A663" s="2">
        <v>1.4464131999999999E-2</v>
      </c>
      <c r="B663" s="2">
        <v>1.4392583E-2</v>
      </c>
      <c r="C663" s="2">
        <v>2.6037225000000001E-2</v>
      </c>
      <c r="D663" s="2">
        <v>2.3408325000000001E-2</v>
      </c>
      <c r="E663" s="2"/>
      <c r="F663" s="2"/>
    </row>
    <row r="664" spans="1:6" x14ac:dyDescent="0.2">
      <c r="A664" s="2">
        <v>4.7507961000000003E-3</v>
      </c>
      <c r="B664" s="2">
        <v>3.5098262999999998E-3</v>
      </c>
      <c r="C664" s="2">
        <v>0</v>
      </c>
      <c r="D664" s="2">
        <v>0</v>
      </c>
      <c r="E664" s="2"/>
      <c r="F664" s="2"/>
    </row>
    <row r="665" spans="1:6" x14ac:dyDescent="0.2">
      <c r="A665" s="2">
        <v>1.1876991E-2</v>
      </c>
      <c r="B665" s="2">
        <v>1.7549130999999999E-3</v>
      </c>
      <c r="C665" s="2">
        <v>0</v>
      </c>
      <c r="D665" s="2">
        <v>0</v>
      </c>
      <c r="E665" s="2"/>
      <c r="F665" s="2"/>
    </row>
    <row r="666" spans="1:6" x14ac:dyDescent="0.2">
      <c r="A666" s="2">
        <v>0</v>
      </c>
      <c r="B666" s="2">
        <v>0</v>
      </c>
      <c r="C666" s="2">
        <v>0</v>
      </c>
      <c r="D666" s="2">
        <v>0</v>
      </c>
      <c r="E666" s="2"/>
      <c r="F666" s="2"/>
    </row>
    <row r="667" spans="1:6" x14ac:dyDescent="0.2">
      <c r="A667" s="2">
        <v>0.59980911000000003</v>
      </c>
      <c r="B667" s="2">
        <v>0.22637041999999999</v>
      </c>
      <c r="C667" s="2">
        <v>9.8775721999999996E-2</v>
      </c>
      <c r="D667" s="2">
        <v>0.16377233999999999</v>
      </c>
      <c r="E667" s="2"/>
      <c r="F667" s="2"/>
    </row>
    <row r="668" spans="1:6" x14ac:dyDescent="0.2">
      <c r="A668" s="1" t="s">
        <v>29</v>
      </c>
    </row>
    <row r="669" spans="1:6" x14ac:dyDescent="0.2">
      <c r="A669" s="2">
        <v>65357.512000000002</v>
      </c>
      <c r="B669" s="2">
        <v>36471.328000000001</v>
      </c>
      <c r="C669" s="2">
        <v>9672.7178000000004</v>
      </c>
      <c r="D669" s="2">
        <v>490.70812999999998</v>
      </c>
      <c r="E669" s="2"/>
      <c r="F669" s="2"/>
    </row>
    <row r="670" spans="1:6" x14ac:dyDescent="0.2">
      <c r="A670" s="2">
        <v>2.2320678000000002E-3</v>
      </c>
      <c r="B670" s="2">
        <v>0.51169485000000003</v>
      </c>
      <c r="C670" s="2">
        <v>0.93324929000000001</v>
      </c>
      <c r="D670" s="2">
        <v>1</v>
      </c>
      <c r="E670" s="2"/>
      <c r="F670" s="2"/>
    </row>
    <row r="671" spans="1:6" x14ac:dyDescent="0.2">
      <c r="A671" s="2">
        <v>0.63063824000000002</v>
      </c>
      <c r="B671" s="2">
        <v>0.89973139999999996</v>
      </c>
      <c r="C671" s="2">
        <v>0.99332494000000005</v>
      </c>
      <c r="D671" s="2">
        <v>1</v>
      </c>
      <c r="E671" s="2"/>
      <c r="F671" s="2"/>
    </row>
    <row r="672" spans="1:6" x14ac:dyDescent="0.2">
      <c r="A672" s="2">
        <v>1.6940181000000001E-3</v>
      </c>
      <c r="B672" s="2">
        <v>0.23997489</v>
      </c>
      <c r="C672" s="2">
        <v>9.0209291999999996E-3</v>
      </c>
      <c r="D672" s="2">
        <v>0</v>
      </c>
      <c r="E672" s="2"/>
      <c r="F672" s="2"/>
    </row>
    <row r="673" spans="1:6" x14ac:dyDescent="0.2">
      <c r="A673" s="2">
        <v>5.8642548000000003E-2</v>
      </c>
      <c r="B673" s="2">
        <v>0.16486613</v>
      </c>
      <c r="C673" s="2">
        <v>1.2411477000000001E-2</v>
      </c>
      <c r="D673" s="2">
        <v>0</v>
      </c>
      <c r="E673" s="2"/>
      <c r="F673" s="2"/>
    </row>
    <row r="674" spans="1:6" x14ac:dyDescent="0.2">
      <c r="A674" s="2">
        <v>3.3830014999999998E-3</v>
      </c>
      <c r="B674" s="2">
        <v>1.9925414000000002E-3</v>
      </c>
      <c r="C674" s="2">
        <v>0</v>
      </c>
      <c r="D674" s="2">
        <v>0</v>
      </c>
      <c r="E674" s="2"/>
      <c r="F674" s="2"/>
    </row>
    <row r="675" spans="1:6" x14ac:dyDescent="0.2">
      <c r="A675" s="2">
        <v>4.2186778000000001E-2</v>
      </c>
      <c r="B675" s="2">
        <v>5.2517094E-2</v>
      </c>
      <c r="C675" s="2">
        <v>8.7733221999999993E-3</v>
      </c>
      <c r="D675" s="2">
        <v>0</v>
      </c>
      <c r="E675" s="2"/>
      <c r="F675" s="2"/>
    </row>
    <row r="676" spans="1:6" x14ac:dyDescent="0.2">
      <c r="A676" s="2">
        <v>2.9932015999999998E-3</v>
      </c>
      <c r="B676" s="2">
        <v>1.2917703000000001E-2</v>
      </c>
      <c r="C676" s="2">
        <v>2.0909346999999998E-2</v>
      </c>
      <c r="D676" s="2">
        <v>0</v>
      </c>
      <c r="E676" s="2"/>
      <c r="F676" s="2"/>
    </row>
    <row r="677" spans="1:6" x14ac:dyDescent="0.2">
      <c r="A677" s="2">
        <v>0</v>
      </c>
      <c r="B677" s="2">
        <v>0</v>
      </c>
      <c r="C677" s="2">
        <v>0</v>
      </c>
      <c r="D677" s="2">
        <v>0</v>
      </c>
      <c r="E677" s="2"/>
      <c r="F677" s="2"/>
    </row>
    <row r="678" spans="1:6" x14ac:dyDescent="0.2">
      <c r="A678" s="2">
        <v>1.7155552E-3</v>
      </c>
      <c r="B678" s="2">
        <v>0</v>
      </c>
      <c r="C678" s="2">
        <v>0</v>
      </c>
      <c r="D678" s="2">
        <v>0</v>
      </c>
      <c r="E678" s="2"/>
      <c r="F678" s="2"/>
    </row>
    <row r="679" spans="1:6" x14ac:dyDescent="0.2">
      <c r="A679" s="2">
        <v>4.4975042999999999E-3</v>
      </c>
      <c r="B679" s="2">
        <v>2.0215602E-3</v>
      </c>
      <c r="C679" s="2">
        <v>0</v>
      </c>
      <c r="D679" s="2">
        <v>0</v>
      </c>
      <c r="E679" s="2"/>
      <c r="F679" s="2"/>
    </row>
    <row r="680" spans="1:6" x14ac:dyDescent="0.2">
      <c r="A680" s="2">
        <v>2.8936518E-3</v>
      </c>
      <c r="B680" s="2">
        <v>0</v>
      </c>
      <c r="C680" s="2">
        <v>0</v>
      </c>
      <c r="D680" s="2">
        <v>0</v>
      </c>
      <c r="E680" s="2"/>
      <c r="F680" s="2"/>
    </row>
    <row r="681" spans="1:6" x14ac:dyDescent="0.2">
      <c r="A681" s="2">
        <v>0</v>
      </c>
      <c r="B681" s="2">
        <v>0</v>
      </c>
      <c r="C681" s="2">
        <v>0</v>
      </c>
      <c r="D681" s="2">
        <v>0</v>
      </c>
      <c r="E681" s="2"/>
      <c r="F681" s="2"/>
    </row>
    <row r="682" spans="1:6" x14ac:dyDescent="0.2">
      <c r="A682" s="2">
        <v>5.0838692999999996E-4</v>
      </c>
      <c r="B682" s="2">
        <v>0</v>
      </c>
      <c r="C682" s="2">
        <v>0</v>
      </c>
      <c r="D682" s="2">
        <v>0</v>
      </c>
      <c r="E682" s="2"/>
      <c r="F682" s="2"/>
    </row>
    <row r="683" spans="1:6" x14ac:dyDescent="0.2">
      <c r="A683" s="2">
        <v>0</v>
      </c>
      <c r="B683" s="2">
        <v>0</v>
      </c>
      <c r="C683" s="2">
        <v>0</v>
      </c>
      <c r="D683" s="2">
        <v>0</v>
      </c>
      <c r="E683" s="2"/>
      <c r="F683" s="2"/>
    </row>
    <row r="684" spans="1:6" x14ac:dyDescent="0.2">
      <c r="A684" s="2">
        <v>0</v>
      </c>
      <c r="B684" s="2">
        <v>0</v>
      </c>
      <c r="C684" s="2">
        <v>0</v>
      </c>
      <c r="D684" s="2">
        <v>0</v>
      </c>
      <c r="E684" s="2"/>
      <c r="F684" s="2"/>
    </row>
    <row r="685" spans="1:6" x14ac:dyDescent="0.2">
      <c r="A685" s="2">
        <v>0</v>
      </c>
      <c r="B685" s="2">
        <v>0</v>
      </c>
      <c r="C685" s="2">
        <v>0</v>
      </c>
      <c r="D685" s="2">
        <v>0</v>
      </c>
      <c r="E685" s="2"/>
      <c r="F685" s="2"/>
    </row>
    <row r="686" spans="1:6" x14ac:dyDescent="0.2">
      <c r="A686" s="2">
        <v>0</v>
      </c>
      <c r="B686" s="2">
        <v>1.1798522000000001E-2</v>
      </c>
      <c r="C686" s="2">
        <v>0.17737376999999999</v>
      </c>
      <c r="D686" s="2">
        <v>3.0821877000000001E-2</v>
      </c>
      <c r="E686" s="2"/>
      <c r="F686" s="2"/>
    </row>
    <row r="687" spans="1:6" x14ac:dyDescent="0.2">
      <c r="A687" s="2">
        <v>9.0072269000000002E-4</v>
      </c>
      <c r="B687" s="2">
        <v>0</v>
      </c>
      <c r="C687" s="2">
        <v>0</v>
      </c>
      <c r="D687" s="2">
        <v>0</v>
      </c>
      <c r="E687" s="2"/>
      <c r="F687" s="2"/>
    </row>
    <row r="688" spans="1:6" x14ac:dyDescent="0.2">
      <c r="A688" s="2">
        <v>0</v>
      </c>
      <c r="B688" s="2">
        <v>0</v>
      </c>
      <c r="C688" s="2">
        <v>0</v>
      </c>
      <c r="D688" s="2">
        <v>0</v>
      </c>
      <c r="E688" s="2"/>
      <c r="F688" s="2"/>
    </row>
    <row r="689" spans="1:6" x14ac:dyDescent="0.2">
      <c r="A689" s="2">
        <v>0</v>
      </c>
      <c r="B689" s="2">
        <v>1.0433691E-2</v>
      </c>
      <c r="C689" s="2">
        <v>2.2552324000000001E-4</v>
      </c>
      <c r="D689" s="2">
        <v>0</v>
      </c>
      <c r="E689" s="2"/>
      <c r="F689" s="2"/>
    </row>
    <row r="690" spans="1:6" x14ac:dyDescent="0.2">
      <c r="A690" s="2">
        <v>0</v>
      </c>
      <c r="B690" s="2">
        <v>2.6713306E-4</v>
      </c>
      <c r="C690" s="2">
        <v>0</v>
      </c>
      <c r="D690" s="2">
        <v>0</v>
      </c>
      <c r="E690" s="2"/>
      <c r="F690" s="2"/>
    </row>
    <row r="691" spans="1:6" x14ac:dyDescent="0.2">
      <c r="A691" s="2">
        <v>9.0448172999999996E-4</v>
      </c>
      <c r="B691" s="2">
        <v>5.0500757000000002E-4</v>
      </c>
      <c r="C691" s="2">
        <v>1.2093528E-4</v>
      </c>
      <c r="D691" s="2">
        <v>0</v>
      </c>
      <c r="E691" s="2"/>
      <c r="F691" s="2"/>
    </row>
    <row r="692" spans="1:6" x14ac:dyDescent="0.2">
      <c r="A692" s="2">
        <v>1.4327090000000001E-2</v>
      </c>
      <c r="B692" s="2">
        <v>9.3185797000000005E-4</v>
      </c>
      <c r="C692" s="2">
        <v>3.5435376E-3</v>
      </c>
      <c r="D692" s="2">
        <v>0</v>
      </c>
      <c r="E692" s="2"/>
      <c r="F692" s="2"/>
    </row>
    <row r="693" spans="1:6" x14ac:dyDescent="0.2">
      <c r="A693" s="2">
        <v>3.7990968999999999E-2</v>
      </c>
      <c r="B693" s="2">
        <v>1.7934967999999999E-3</v>
      </c>
      <c r="C693" s="2">
        <v>0</v>
      </c>
      <c r="D693" s="2">
        <v>0</v>
      </c>
      <c r="E693" s="2"/>
      <c r="F693" s="2"/>
    </row>
    <row r="694" spans="1:6" x14ac:dyDescent="0.2">
      <c r="A694" s="2">
        <v>0</v>
      </c>
      <c r="B694" s="2">
        <v>0</v>
      </c>
      <c r="C694" s="2">
        <v>0</v>
      </c>
      <c r="D694" s="2">
        <v>0</v>
      </c>
      <c r="E694" s="2"/>
      <c r="F694" s="2"/>
    </row>
    <row r="695" spans="1:6" x14ac:dyDescent="0.2">
      <c r="A695" s="2">
        <v>1.5828264E-3</v>
      </c>
      <c r="B695" s="2">
        <v>2.6309934999999999E-4</v>
      </c>
      <c r="C695" s="2">
        <v>1.3108624E-3</v>
      </c>
      <c r="D695" s="2">
        <v>0</v>
      </c>
      <c r="E695" s="2"/>
      <c r="F695" s="2"/>
    </row>
    <row r="696" spans="1:6" x14ac:dyDescent="0.2">
      <c r="A696" s="2">
        <v>0.53422599999999998</v>
      </c>
      <c r="B696" s="2">
        <v>0.44441256000000001</v>
      </c>
      <c r="C696" s="2">
        <v>0.34674704000000001</v>
      </c>
      <c r="D696" s="2">
        <v>0.71309727000000001</v>
      </c>
      <c r="E696" s="2"/>
      <c r="F696" s="2"/>
    </row>
    <row r="697" spans="1:6" x14ac:dyDescent="0.2">
      <c r="A697" s="1" t="s">
        <v>30</v>
      </c>
    </row>
    <row r="698" spans="1:6" x14ac:dyDescent="0.2">
      <c r="A698" s="2">
        <v>146605.70000000001</v>
      </c>
      <c r="B698" s="2">
        <v>68886.008000000002</v>
      </c>
      <c r="C698" s="2">
        <v>11748.603999999999</v>
      </c>
      <c r="D698" s="2">
        <v>83.935860000000005</v>
      </c>
      <c r="E698" s="2"/>
      <c r="F698" s="2"/>
    </row>
    <row r="699" spans="1:6" x14ac:dyDescent="0.2">
      <c r="A699" s="2">
        <v>7.8779757000000006E-2</v>
      </c>
      <c r="B699" s="2">
        <v>0.65854734000000004</v>
      </c>
      <c r="C699" s="2">
        <v>0.99035335000000002</v>
      </c>
      <c r="D699" s="2">
        <v>1</v>
      </c>
      <c r="E699" s="2"/>
      <c r="F699" s="2"/>
    </row>
    <row r="700" spans="1:6" x14ac:dyDescent="0.2">
      <c r="A700" s="2">
        <v>0.67942661000000004</v>
      </c>
      <c r="B700" s="2">
        <v>0.93144596000000002</v>
      </c>
      <c r="C700" s="2">
        <v>0.99903536000000004</v>
      </c>
      <c r="D700" s="2">
        <v>1</v>
      </c>
      <c r="E700" s="2"/>
      <c r="F700" s="2"/>
    </row>
    <row r="701" spans="1:6" x14ac:dyDescent="0.2">
      <c r="A701" s="2">
        <v>0</v>
      </c>
      <c r="B701" s="2">
        <v>6.7760169999999995E-2</v>
      </c>
      <c r="C701" s="2">
        <v>8.2974777999999996E-3</v>
      </c>
      <c r="D701" s="2">
        <v>0</v>
      </c>
      <c r="E701" s="2"/>
      <c r="F701" s="2"/>
    </row>
    <row r="702" spans="1:6" x14ac:dyDescent="0.2">
      <c r="A702" s="2">
        <v>2.5916581999999998E-3</v>
      </c>
      <c r="B702" s="2">
        <v>4.7408666000000002E-2</v>
      </c>
      <c r="C702" s="2">
        <v>1.6605254E-2</v>
      </c>
      <c r="D702" s="2">
        <v>0</v>
      </c>
      <c r="E702" s="2"/>
      <c r="F702" s="2"/>
    </row>
    <row r="703" spans="1:6" x14ac:dyDescent="0.2">
      <c r="A703" s="2">
        <v>0</v>
      </c>
      <c r="B703" s="2">
        <v>1.7304163000000001E-2</v>
      </c>
      <c r="C703" s="2">
        <v>0</v>
      </c>
      <c r="D703" s="2">
        <v>0</v>
      </c>
      <c r="E703" s="2"/>
      <c r="F703" s="2"/>
    </row>
    <row r="704" spans="1:6" x14ac:dyDescent="0.2">
      <c r="A704" s="2">
        <v>6.040686E-2</v>
      </c>
      <c r="B704" s="2">
        <v>9.9325902999999993E-2</v>
      </c>
      <c r="C704" s="2">
        <v>3.4896120000000003E-2</v>
      </c>
      <c r="D704" s="2">
        <v>0</v>
      </c>
      <c r="E704" s="2"/>
      <c r="F704" s="2"/>
    </row>
    <row r="705" spans="1:6" x14ac:dyDescent="0.2">
      <c r="A705" s="2">
        <v>6.5159394999999995E-2</v>
      </c>
      <c r="B705" s="2">
        <v>0.24235538000000001</v>
      </c>
      <c r="C705" s="2">
        <v>2.1108819000000001E-2</v>
      </c>
      <c r="D705" s="2">
        <v>0</v>
      </c>
      <c r="E705" s="2"/>
      <c r="F705" s="2"/>
    </row>
    <row r="706" spans="1:6" x14ac:dyDescent="0.2">
      <c r="A706" s="2">
        <v>0</v>
      </c>
      <c r="B706" s="2">
        <v>0</v>
      </c>
      <c r="C706" s="2">
        <v>0</v>
      </c>
      <c r="D706" s="2">
        <v>0</v>
      </c>
      <c r="E706" s="2"/>
      <c r="F706" s="2"/>
    </row>
    <row r="707" spans="1:6" x14ac:dyDescent="0.2">
      <c r="A707" s="2">
        <v>0</v>
      </c>
      <c r="B707" s="2">
        <v>0</v>
      </c>
      <c r="C707" s="2">
        <v>0</v>
      </c>
      <c r="D707" s="2">
        <v>0</v>
      </c>
      <c r="E707" s="2"/>
      <c r="F707" s="2"/>
    </row>
    <row r="708" spans="1:6" x14ac:dyDescent="0.2">
      <c r="A708" s="2">
        <v>0</v>
      </c>
      <c r="B708" s="2">
        <v>2.3826241999999999E-3</v>
      </c>
      <c r="C708" s="2">
        <v>0</v>
      </c>
      <c r="D708" s="2">
        <v>0</v>
      </c>
      <c r="E708" s="2"/>
      <c r="F708" s="2"/>
    </row>
    <row r="709" spans="1:6" x14ac:dyDescent="0.2">
      <c r="A709" s="2">
        <v>2.8543374999999999E-3</v>
      </c>
      <c r="B709" s="2">
        <v>1.6070202000000001E-3</v>
      </c>
      <c r="C709" s="2">
        <v>0</v>
      </c>
      <c r="D709" s="2">
        <v>0</v>
      </c>
      <c r="E709" s="2"/>
      <c r="F709" s="2"/>
    </row>
    <row r="710" spans="1:6" x14ac:dyDescent="0.2">
      <c r="A710" s="2">
        <v>2.5073992E-4</v>
      </c>
      <c r="B710" s="2">
        <v>0</v>
      </c>
      <c r="C710" s="2">
        <v>0</v>
      </c>
      <c r="D710" s="2">
        <v>0</v>
      </c>
      <c r="E710" s="2"/>
      <c r="F710" s="2"/>
    </row>
    <row r="711" spans="1:6" x14ac:dyDescent="0.2">
      <c r="A711" s="2">
        <v>0</v>
      </c>
      <c r="B711" s="2">
        <v>0</v>
      </c>
      <c r="C711" s="2">
        <v>0</v>
      </c>
      <c r="D711" s="2">
        <v>0</v>
      </c>
      <c r="E711" s="2"/>
      <c r="F711" s="2"/>
    </row>
    <row r="712" spans="1:6" x14ac:dyDescent="0.2">
      <c r="A712" s="2">
        <v>0</v>
      </c>
      <c r="B712" s="2">
        <v>0</v>
      </c>
      <c r="C712" s="2">
        <v>0</v>
      </c>
      <c r="D712" s="2">
        <v>0</v>
      </c>
      <c r="E712" s="2"/>
      <c r="F712" s="2"/>
    </row>
    <row r="713" spans="1:6" x14ac:dyDescent="0.2">
      <c r="A713" s="2">
        <v>0</v>
      </c>
      <c r="B713" s="2">
        <v>0</v>
      </c>
      <c r="C713" s="2">
        <v>0</v>
      </c>
      <c r="D713" s="2">
        <v>0</v>
      </c>
      <c r="E713" s="2"/>
      <c r="F713" s="2"/>
    </row>
    <row r="714" spans="1:6" x14ac:dyDescent="0.2">
      <c r="A714" s="2">
        <v>0</v>
      </c>
      <c r="B714" s="2">
        <v>0</v>
      </c>
      <c r="C714" s="2">
        <v>0</v>
      </c>
      <c r="D714" s="2">
        <v>0</v>
      </c>
      <c r="E714" s="2"/>
      <c r="F714" s="2"/>
    </row>
    <row r="715" spans="1:6" x14ac:dyDescent="0.2">
      <c r="A715" s="2">
        <v>0</v>
      </c>
      <c r="B715" s="2">
        <v>4.5356792E-3</v>
      </c>
      <c r="C715" s="2">
        <v>2.6697317000000002E-2</v>
      </c>
      <c r="D715" s="2">
        <v>0</v>
      </c>
      <c r="E715" s="2"/>
      <c r="F715" s="2"/>
    </row>
    <row r="716" spans="1:6" x14ac:dyDescent="0.2">
      <c r="A716" s="2">
        <v>1.7276100999999999E-3</v>
      </c>
      <c r="B716" s="2">
        <v>0</v>
      </c>
      <c r="C716" s="2">
        <v>0</v>
      </c>
      <c r="D716" s="2">
        <v>0</v>
      </c>
      <c r="E716" s="2"/>
      <c r="F716" s="2"/>
    </row>
    <row r="717" spans="1:6" x14ac:dyDescent="0.2">
      <c r="A717" s="2">
        <v>0</v>
      </c>
      <c r="B717" s="2">
        <v>0</v>
      </c>
      <c r="C717" s="2">
        <v>0</v>
      </c>
      <c r="D717" s="2">
        <v>0</v>
      </c>
      <c r="E717" s="2"/>
      <c r="F717" s="2"/>
    </row>
    <row r="718" spans="1:6" x14ac:dyDescent="0.2">
      <c r="A718" s="2">
        <v>0</v>
      </c>
      <c r="B718" s="2">
        <v>2.5096359E-3</v>
      </c>
      <c r="C718" s="2">
        <v>0</v>
      </c>
      <c r="D718" s="2">
        <v>0</v>
      </c>
      <c r="E718" s="2"/>
      <c r="F718" s="2"/>
    </row>
    <row r="719" spans="1:6" x14ac:dyDescent="0.2">
      <c r="A719" s="2">
        <v>1.5396434000000001E-2</v>
      </c>
      <c r="B719" s="2">
        <v>1.5742237000000001E-3</v>
      </c>
      <c r="C719" s="2">
        <v>0</v>
      </c>
      <c r="D719" s="2">
        <v>0</v>
      </c>
      <c r="E719" s="2"/>
      <c r="F719" s="2"/>
    </row>
    <row r="720" spans="1:6" x14ac:dyDescent="0.2">
      <c r="A720" s="2">
        <v>1.2951191E-3</v>
      </c>
      <c r="B720" s="2">
        <v>9.5512392000000001E-4</v>
      </c>
      <c r="C720" s="2">
        <v>4.8102327999999998E-4</v>
      </c>
      <c r="D720" s="2">
        <v>0</v>
      </c>
      <c r="E720" s="2"/>
      <c r="F720" s="2"/>
    </row>
    <row r="721" spans="1:6" x14ac:dyDescent="0.2">
      <c r="A721" s="2">
        <v>0.17868081</v>
      </c>
      <c r="B721" s="2">
        <v>3.6328182000000001E-2</v>
      </c>
      <c r="C721" s="2">
        <v>0</v>
      </c>
      <c r="D721" s="2">
        <v>0</v>
      </c>
      <c r="E721" s="2"/>
      <c r="F721" s="2"/>
    </row>
    <row r="722" spans="1:6" x14ac:dyDescent="0.2">
      <c r="A722" s="2">
        <v>3.1044221E-2</v>
      </c>
      <c r="B722" s="2">
        <v>0</v>
      </c>
      <c r="C722" s="2">
        <v>0</v>
      </c>
      <c r="D722" s="2">
        <v>0</v>
      </c>
      <c r="E722" s="2"/>
      <c r="F722" s="2"/>
    </row>
    <row r="723" spans="1:6" x14ac:dyDescent="0.2">
      <c r="A723" s="2">
        <v>0</v>
      </c>
      <c r="B723" s="2">
        <v>0</v>
      </c>
      <c r="C723" s="2">
        <v>0</v>
      </c>
      <c r="D723" s="2">
        <v>0</v>
      </c>
      <c r="E723" s="2"/>
      <c r="F723" s="2"/>
    </row>
    <row r="724" spans="1:6" x14ac:dyDescent="0.2">
      <c r="A724" s="2">
        <v>2.9538516000000002E-3</v>
      </c>
      <c r="B724" s="2">
        <v>1.550453E-3</v>
      </c>
      <c r="C724" s="2">
        <v>0</v>
      </c>
      <c r="D724" s="2">
        <v>0</v>
      </c>
      <c r="E724" s="2"/>
      <c r="F724" s="2"/>
    </row>
    <row r="725" spans="1:6" x14ac:dyDescent="0.2">
      <c r="A725" s="2">
        <v>0.47622740000000002</v>
      </c>
      <c r="B725" s="2">
        <v>0.43919542</v>
      </c>
      <c r="C725" s="2">
        <v>0.39010962999999999</v>
      </c>
      <c r="D725" s="2">
        <v>0</v>
      </c>
      <c r="E725" s="2"/>
      <c r="F725" s="2"/>
    </row>
    <row r="726" spans="1:6" x14ac:dyDescent="0.2">
      <c r="A726" s="1" t="s">
        <v>31</v>
      </c>
    </row>
    <row r="727" spans="1:6" x14ac:dyDescent="0.2">
      <c r="A727" s="2">
        <v>165955.17000000001</v>
      </c>
      <c r="B727" s="2">
        <v>93097.695000000007</v>
      </c>
      <c r="C727" s="2">
        <v>57179.559000000001</v>
      </c>
      <c r="D727" s="2">
        <v>12833.455</v>
      </c>
      <c r="E727" s="2"/>
      <c r="F727" s="2"/>
    </row>
    <row r="728" spans="1:6" x14ac:dyDescent="0.2">
      <c r="A728" s="2">
        <v>2.6881972000000001E-2</v>
      </c>
      <c r="B728" s="2">
        <v>2.3919573E-2</v>
      </c>
      <c r="C728" s="2">
        <v>0.49654755</v>
      </c>
      <c r="D728" s="2">
        <v>1</v>
      </c>
      <c r="E728" s="2"/>
      <c r="F728" s="2"/>
    </row>
    <row r="729" spans="1:6" x14ac:dyDescent="0.2">
      <c r="A729" s="2">
        <v>0.54830760000000001</v>
      </c>
      <c r="B729" s="2">
        <v>0.76547109999999996</v>
      </c>
      <c r="C729" s="2">
        <v>0.94965469999999996</v>
      </c>
      <c r="D729" s="2">
        <v>1</v>
      </c>
      <c r="E729" s="2"/>
      <c r="F729" s="2"/>
    </row>
    <row r="730" spans="1:6" x14ac:dyDescent="0.2">
      <c r="A730" s="2">
        <v>0</v>
      </c>
      <c r="B730" s="2">
        <v>0</v>
      </c>
      <c r="C730" s="2">
        <v>0.17081205999999999</v>
      </c>
      <c r="D730" s="2">
        <v>0.1034215</v>
      </c>
      <c r="E730" s="2"/>
      <c r="F730" s="2"/>
    </row>
    <row r="731" spans="1:6" x14ac:dyDescent="0.2">
      <c r="A731" s="2">
        <v>1.7333567000000001E-2</v>
      </c>
      <c r="B731" s="2">
        <v>4.2904633999999997E-2</v>
      </c>
      <c r="C731" s="2">
        <v>1.4546218E-2</v>
      </c>
      <c r="D731" s="2">
        <v>7.0252470999999997E-2</v>
      </c>
      <c r="E731" s="2"/>
      <c r="F731" s="2"/>
    </row>
    <row r="732" spans="1:6" x14ac:dyDescent="0.2">
      <c r="A732" s="2">
        <v>0</v>
      </c>
      <c r="B732" s="2">
        <v>3.2771046999999998E-2</v>
      </c>
      <c r="C732" s="2">
        <v>5.2183322999999997E-2</v>
      </c>
      <c r="D732" s="2">
        <v>3.7809949000000002E-2</v>
      </c>
      <c r="E732" s="2"/>
      <c r="F732" s="2"/>
    </row>
    <row r="733" spans="1:6" x14ac:dyDescent="0.2">
      <c r="A733" s="2">
        <v>0</v>
      </c>
      <c r="B733" s="2">
        <v>4.4961876999999997E-2</v>
      </c>
      <c r="C733" s="2">
        <v>0.16303486</v>
      </c>
      <c r="D733" s="2">
        <v>0</v>
      </c>
      <c r="E733" s="2"/>
      <c r="F733" s="2"/>
    </row>
    <row r="734" spans="1:6" x14ac:dyDescent="0.2">
      <c r="A734" s="2">
        <v>0</v>
      </c>
      <c r="B734" s="2">
        <v>0</v>
      </c>
      <c r="C734" s="2">
        <v>1.0957834E-2</v>
      </c>
      <c r="D734" s="2">
        <v>0</v>
      </c>
      <c r="E734" s="2"/>
      <c r="F734" s="2"/>
    </row>
    <row r="735" spans="1:6" x14ac:dyDescent="0.2">
      <c r="A735" s="2">
        <v>0</v>
      </c>
      <c r="B735" s="2">
        <v>5.0449585999999998E-3</v>
      </c>
      <c r="C735" s="2">
        <v>1.4083E-2</v>
      </c>
      <c r="D735" s="2">
        <v>0</v>
      </c>
      <c r="E735" s="2"/>
      <c r="F735" s="2"/>
    </row>
    <row r="736" spans="1:6" x14ac:dyDescent="0.2">
      <c r="A736" s="2">
        <v>0</v>
      </c>
      <c r="B736" s="2">
        <v>0</v>
      </c>
      <c r="C736" s="2">
        <v>0</v>
      </c>
      <c r="D736" s="2">
        <v>0</v>
      </c>
      <c r="E736" s="2"/>
      <c r="F736" s="2"/>
    </row>
    <row r="737" spans="1:6" x14ac:dyDescent="0.2">
      <c r="A737" s="2">
        <v>0</v>
      </c>
      <c r="B737" s="2">
        <v>0</v>
      </c>
      <c r="C737" s="2">
        <v>0</v>
      </c>
      <c r="D737" s="2">
        <v>0</v>
      </c>
      <c r="E737" s="2"/>
      <c r="F737" s="2"/>
    </row>
    <row r="738" spans="1:6" x14ac:dyDescent="0.2">
      <c r="A738" s="2">
        <v>2.0692416000000002E-2</v>
      </c>
      <c r="B738" s="2">
        <v>5.1129358000000001E-3</v>
      </c>
      <c r="C738" s="2">
        <v>1.7077891000000001E-2</v>
      </c>
      <c r="D738" s="2">
        <v>0</v>
      </c>
      <c r="E738" s="2"/>
      <c r="F738" s="2"/>
    </row>
    <row r="739" spans="1:6" x14ac:dyDescent="0.2">
      <c r="A739" s="2">
        <v>3.8700060000000001E-3</v>
      </c>
      <c r="B739" s="2">
        <v>3.3175023000000001E-3</v>
      </c>
      <c r="C739" s="2">
        <v>0</v>
      </c>
      <c r="D739" s="2">
        <v>1.7871215999999999E-2</v>
      </c>
      <c r="E739" s="2"/>
      <c r="F739" s="2"/>
    </row>
    <row r="740" spans="1:6" x14ac:dyDescent="0.2">
      <c r="A740" s="2">
        <v>0</v>
      </c>
      <c r="B740" s="2">
        <v>0</v>
      </c>
      <c r="C740" s="2">
        <v>0</v>
      </c>
      <c r="D740" s="2">
        <v>0</v>
      </c>
      <c r="E740" s="2"/>
      <c r="F740" s="2"/>
    </row>
    <row r="741" spans="1:6" x14ac:dyDescent="0.2">
      <c r="A741" s="2">
        <v>0</v>
      </c>
      <c r="B741" s="2">
        <v>0</v>
      </c>
      <c r="C741" s="2">
        <v>0</v>
      </c>
      <c r="D741" s="2">
        <v>5.9462962999999999E-3</v>
      </c>
      <c r="E741" s="2"/>
      <c r="F741" s="2"/>
    </row>
    <row r="742" spans="1:6" x14ac:dyDescent="0.2">
      <c r="A742" s="2">
        <v>0</v>
      </c>
      <c r="B742" s="2">
        <v>0</v>
      </c>
      <c r="C742" s="2">
        <v>0</v>
      </c>
      <c r="D742" s="2">
        <v>0</v>
      </c>
      <c r="E742" s="2"/>
      <c r="F742" s="2"/>
    </row>
    <row r="743" spans="1:6" x14ac:dyDescent="0.2">
      <c r="A743" s="2">
        <v>0</v>
      </c>
      <c r="B743" s="2">
        <v>0</v>
      </c>
      <c r="C743" s="2">
        <v>0</v>
      </c>
      <c r="D743" s="2">
        <v>0</v>
      </c>
      <c r="E743" s="2"/>
      <c r="F743" s="2"/>
    </row>
    <row r="744" spans="1:6" x14ac:dyDescent="0.2">
      <c r="A744" s="2">
        <v>0.20982543000000001</v>
      </c>
      <c r="B744" s="2">
        <v>0.16677627</v>
      </c>
      <c r="C744" s="2">
        <v>1.2951442000000001E-2</v>
      </c>
      <c r="D744" s="2">
        <v>0</v>
      </c>
      <c r="E744" s="2"/>
      <c r="F744" s="2"/>
    </row>
    <row r="745" spans="1:6" x14ac:dyDescent="0.2">
      <c r="A745" s="2">
        <v>1.2697393999999999E-3</v>
      </c>
      <c r="B745" s="2">
        <v>0</v>
      </c>
      <c r="C745" s="2">
        <v>0</v>
      </c>
      <c r="D745" s="2">
        <v>1.7934410000000001E-2</v>
      </c>
      <c r="E745" s="2"/>
      <c r="F745" s="2"/>
    </row>
    <row r="746" spans="1:6" x14ac:dyDescent="0.2">
      <c r="A746" s="2">
        <v>0</v>
      </c>
      <c r="B746" s="2">
        <v>0</v>
      </c>
      <c r="C746" s="2">
        <v>0</v>
      </c>
      <c r="D746" s="2">
        <v>0</v>
      </c>
      <c r="E746" s="2"/>
      <c r="F746" s="2"/>
    </row>
    <row r="747" spans="1:6" x14ac:dyDescent="0.2">
      <c r="A747" s="2">
        <v>0</v>
      </c>
      <c r="B747" s="2">
        <v>0</v>
      </c>
      <c r="C747" s="2">
        <v>7.2685978000000002E-3</v>
      </c>
      <c r="D747" s="2">
        <v>0</v>
      </c>
      <c r="E747" s="2"/>
      <c r="F747" s="2"/>
    </row>
    <row r="748" spans="1:6" x14ac:dyDescent="0.2">
      <c r="A748" s="2">
        <v>0</v>
      </c>
      <c r="B748" s="2">
        <v>0</v>
      </c>
      <c r="C748" s="2">
        <v>1.7601986999999999E-2</v>
      </c>
      <c r="D748" s="2">
        <v>0</v>
      </c>
      <c r="E748" s="2"/>
      <c r="F748" s="2"/>
    </row>
    <row r="749" spans="1:6" x14ac:dyDescent="0.2">
      <c r="A749" s="2">
        <v>0</v>
      </c>
      <c r="B749" s="2">
        <v>4.3235613999999999E-4</v>
      </c>
      <c r="C749" s="2">
        <v>2.2473432999999998E-3</v>
      </c>
      <c r="D749" s="2">
        <v>0</v>
      </c>
      <c r="E749" s="2"/>
      <c r="F749" s="2"/>
    </row>
    <row r="750" spans="1:6" x14ac:dyDescent="0.2">
      <c r="A750" s="2">
        <v>0</v>
      </c>
      <c r="B750" s="2">
        <v>4.4799480000000001E-3</v>
      </c>
      <c r="C750" s="2">
        <v>1.0706996999999999E-2</v>
      </c>
      <c r="D750" s="2">
        <v>0</v>
      </c>
      <c r="E750" s="2"/>
      <c r="F750" s="2"/>
    </row>
    <row r="751" spans="1:6" x14ac:dyDescent="0.2">
      <c r="A751" s="2">
        <v>0</v>
      </c>
      <c r="B751" s="2">
        <v>0</v>
      </c>
      <c r="C751" s="2">
        <v>0</v>
      </c>
      <c r="D751" s="2">
        <v>0</v>
      </c>
      <c r="E751" s="2"/>
      <c r="F751" s="2"/>
    </row>
    <row r="752" spans="1:6" x14ac:dyDescent="0.2">
      <c r="A752" s="2">
        <v>0</v>
      </c>
      <c r="B752" s="2">
        <v>0</v>
      </c>
      <c r="C752" s="2">
        <v>0</v>
      </c>
      <c r="D752" s="2">
        <v>0</v>
      </c>
      <c r="E752" s="2"/>
      <c r="F752" s="2"/>
    </row>
    <row r="753" spans="1:6" x14ac:dyDescent="0.2">
      <c r="A753" s="2">
        <v>4.3419766999999998E-3</v>
      </c>
      <c r="B753" s="2">
        <v>6.5772803999999997E-3</v>
      </c>
      <c r="C753" s="2">
        <v>0</v>
      </c>
      <c r="D753" s="2">
        <v>0</v>
      </c>
      <c r="E753" s="2"/>
      <c r="F753" s="2"/>
    </row>
    <row r="754" spans="1:6" x14ac:dyDescent="0.2">
      <c r="A754" s="2">
        <v>0</v>
      </c>
      <c r="B754" s="2">
        <v>7.6608881000000004E-2</v>
      </c>
      <c r="C754" s="2">
        <v>8.5056433000000008E-3</v>
      </c>
      <c r="D754" s="2">
        <v>0</v>
      </c>
      <c r="E754" s="2"/>
      <c r="F754" s="2"/>
    </row>
    <row r="755" spans="1:6" x14ac:dyDescent="0.2">
      <c r="A755" s="1" t="s">
        <v>32</v>
      </c>
    </row>
    <row r="756" spans="1:6" x14ac:dyDescent="0.2">
      <c r="A756" s="2">
        <v>562170.81000000006</v>
      </c>
      <c r="B756" s="2">
        <v>267616.65999999997</v>
      </c>
      <c r="C756" s="2">
        <v>134261.45000000001</v>
      </c>
      <c r="D756" s="2">
        <v>37481.226999999999</v>
      </c>
      <c r="E756" s="2"/>
      <c r="F756" s="2"/>
    </row>
    <row r="757" spans="1:6" x14ac:dyDescent="0.2">
      <c r="A757" s="2">
        <v>0.24109596</v>
      </c>
      <c r="B757" s="2">
        <v>0.16929726</v>
      </c>
      <c r="C757" s="2">
        <v>0.48044172000000002</v>
      </c>
      <c r="D757" s="2">
        <v>1</v>
      </c>
      <c r="E757" s="2"/>
      <c r="F757" s="2"/>
    </row>
    <row r="758" spans="1:6" x14ac:dyDescent="0.2">
      <c r="A758" s="2">
        <v>0.66572714</v>
      </c>
      <c r="B758" s="2">
        <v>0.79933155</v>
      </c>
      <c r="C758" s="2">
        <v>0.94804418000000001</v>
      </c>
      <c r="D758" s="2">
        <v>1</v>
      </c>
      <c r="E758" s="2"/>
      <c r="F758" s="2"/>
    </row>
    <row r="759" spans="1:6" x14ac:dyDescent="0.2">
      <c r="A759" s="2">
        <v>0</v>
      </c>
      <c r="B759" s="2">
        <v>9.1802485000000003E-2</v>
      </c>
      <c r="C759" s="2">
        <v>0.17451631000000001</v>
      </c>
      <c r="D759" s="2">
        <v>0.28928610999999999</v>
      </c>
      <c r="E759" s="2"/>
      <c r="F759" s="2"/>
    </row>
    <row r="760" spans="1:6" x14ac:dyDescent="0.2">
      <c r="A760" s="2">
        <v>2.7879474E-3</v>
      </c>
      <c r="B760" s="2">
        <v>0.15659708999999999</v>
      </c>
      <c r="C760" s="2">
        <v>0.1151858</v>
      </c>
      <c r="D760" s="2">
        <v>0.13633192</v>
      </c>
      <c r="E760" s="2"/>
      <c r="F760" s="2"/>
    </row>
    <row r="761" spans="1:6" x14ac:dyDescent="0.2">
      <c r="A761" s="2">
        <v>0</v>
      </c>
      <c r="B761" s="2">
        <v>9.6662938999999993E-3</v>
      </c>
      <c r="C761" s="2">
        <v>5.1744807999999998E-3</v>
      </c>
      <c r="D761" s="2">
        <v>2.4136174E-3</v>
      </c>
      <c r="E761" s="2"/>
      <c r="F761" s="2"/>
    </row>
    <row r="762" spans="1:6" x14ac:dyDescent="0.2">
      <c r="A762" s="2">
        <v>2.2720981000000002E-3</v>
      </c>
      <c r="B762" s="2">
        <v>5.1031793999999998E-2</v>
      </c>
      <c r="C762" s="2">
        <v>5.7024735999999999E-2</v>
      </c>
      <c r="D762" s="2">
        <v>2.3671113000000001E-2</v>
      </c>
      <c r="E762" s="2"/>
      <c r="F762" s="2"/>
    </row>
    <row r="763" spans="1:6" x14ac:dyDescent="0.2">
      <c r="A763" s="2">
        <v>0</v>
      </c>
      <c r="B763" s="2">
        <v>1.1365847E-2</v>
      </c>
      <c r="C763" s="2">
        <v>1.6686689E-3</v>
      </c>
      <c r="D763" s="2">
        <v>1.2704539E-3</v>
      </c>
      <c r="E763" s="2"/>
      <c r="F763" s="2"/>
    </row>
    <row r="764" spans="1:6" x14ac:dyDescent="0.2">
      <c r="A764" s="2">
        <v>0</v>
      </c>
      <c r="B764" s="2">
        <v>0</v>
      </c>
      <c r="C764" s="2">
        <v>0</v>
      </c>
      <c r="D764" s="2">
        <v>0</v>
      </c>
      <c r="E764" s="2"/>
      <c r="F764" s="2"/>
    </row>
    <row r="765" spans="1:6" x14ac:dyDescent="0.2">
      <c r="A765" s="2">
        <v>0</v>
      </c>
      <c r="B765" s="2">
        <v>6.1616557999999997E-4</v>
      </c>
      <c r="C765" s="2">
        <v>1.6244485999999999E-2</v>
      </c>
      <c r="D765" s="2">
        <v>0</v>
      </c>
      <c r="E765" s="2"/>
      <c r="F765" s="2"/>
    </row>
    <row r="766" spans="1:6" x14ac:dyDescent="0.2">
      <c r="A766" s="2">
        <v>0</v>
      </c>
      <c r="B766" s="2">
        <v>0</v>
      </c>
      <c r="C766" s="2">
        <v>1.3916873E-2</v>
      </c>
      <c r="D766" s="2">
        <v>3.0562881E-2</v>
      </c>
      <c r="E766" s="2"/>
      <c r="F766" s="2"/>
    </row>
    <row r="767" spans="1:6" x14ac:dyDescent="0.2">
      <c r="A767" s="2">
        <v>3.0451454000000001E-3</v>
      </c>
      <c r="B767" s="2">
        <v>4.0541239999999999E-4</v>
      </c>
      <c r="C767" s="2">
        <v>3.4882999000000001E-3</v>
      </c>
      <c r="D767" s="2">
        <v>0</v>
      </c>
      <c r="E767" s="2"/>
      <c r="F767" s="2"/>
    </row>
    <row r="768" spans="1:6" x14ac:dyDescent="0.2">
      <c r="A768" s="2">
        <v>0</v>
      </c>
      <c r="B768" s="2">
        <v>0</v>
      </c>
      <c r="C768" s="2">
        <v>0</v>
      </c>
      <c r="D768" s="2">
        <v>0</v>
      </c>
      <c r="E768" s="2"/>
      <c r="F768" s="2"/>
    </row>
    <row r="769" spans="1:6" x14ac:dyDescent="0.2">
      <c r="A769" s="2">
        <v>0</v>
      </c>
      <c r="B769" s="2">
        <v>0</v>
      </c>
      <c r="C769" s="2">
        <v>0</v>
      </c>
      <c r="D769" s="2">
        <v>0</v>
      </c>
      <c r="E769" s="2"/>
      <c r="F769" s="2"/>
    </row>
    <row r="770" spans="1:6" x14ac:dyDescent="0.2">
      <c r="A770" s="2">
        <v>0</v>
      </c>
      <c r="B770" s="2">
        <v>0</v>
      </c>
      <c r="C770" s="2">
        <v>0</v>
      </c>
      <c r="D770" s="2">
        <v>0</v>
      </c>
      <c r="E770" s="2"/>
      <c r="F770" s="2"/>
    </row>
    <row r="771" spans="1:6" x14ac:dyDescent="0.2">
      <c r="A771" s="2">
        <v>0</v>
      </c>
      <c r="B771" s="2">
        <v>0</v>
      </c>
      <c r="C771" s="2">
        <v>0</v>
      </c>
      <c r="D771" s="2">
        <v>0</v>
      </c>
      <c r="E771" s="2"/>
      <c r="F771" s="2"/>
    </row>
    <row r="772" spans="1:6" x14ac:dyDescent="0.2">
      <c r="A772" s="2">
        <v>0</v>
      </c>
      <c r="B772" s="2">
        <v>0</v>
      </c>
      <c r="C772" s="2">
        <v>0</v>
      </c>
      <c r="D772" s="2">
        <v>0</v>
      </c>
      <c r="E772" s="2"/>
      <c r="F772" s="2"/>
    </row>
    <row r="773" spans="1:6" x14ac:dyDescent="0.2">
      <c r="A773" s="2">
        <v>0</v>
      </c>
      <c r="B773" s="2">
        <v>0</v>
      </c>
      <c r="C773" s="2">
        <v>0</v>
      </c>
      <c r="D773" s="2">
        <v>0</v>
      </c>
      <c r="E773" s="2"/>
      <c r="F773" s="2"/>
    </row>
    <row r="774" spans="1:6" x14ac:dyDescent="0.2">
      <c r="A774" s="2">
        <v>3.6203716000000001E-4</v>
      </c>
      <c r="B774" s="2">
        <v>0</v>
      </c>
      <c r="C774" s="2">
        <v>0</v>
      </c>
      <c r="D774" s="2">
        <v>0</v>
      </c>
      <c r="E774" s="2"/>
      <c r="F774" s="2"/>
    </row>
    <row r="775" spans="1:6" x14ac:dyDescent="0.2">
      <c r="A775" s="2">
        <v>0</v>
      </c>
      <c r="B775" s="2">
        <v>0</v>
      </c>
      <c r="C775" s="2">
        <v>0</v>
      </c>
      <c r="D775" s="2">
        <v>0</v>
      </c>
      <c r="E775" s="2"/>
      <c r="F775" s="2"/>
    </row>
    <row r="776" spans="1:6" x14ac:dyDescent="0.2">
      <c r="A776" s="2">
        <v>0</v>
      </c>
      <c r="B776" s="2">
        <v>0</v>
      </c>
      <c r="C776" s="2">
        <v>5.9033004000000004E-3</v>
      </c>
      <c r="D776" s="2">
        <v>1.2003572000000001E-3</v>
      </c>
      <c r="E776" s="2"/>
      <c r="F776" s="2"/>
    </row>
    <row r="777" spans="1:6" x14ac:dyDescent="0.2">
      <c r="A777" s="2">
        <v>0</v>
      </c>
      <c r="B777" s="2">
        <v>0</v>
      </c>
      <c r="C777" s="2">
        <v>0</v>
      </c>
      <c r="D777" s="2">
        <v>0</v>
      </c>
      <c r="E777" s="2"/>
      <c r="F777" s="2"/>
    </row>
    <row r="778" spans="1:6" x14ac:dyDescent="0.2">
      <c r="A778" s="2">
        <v>4.8713632999999998E-5</v>
      </c>
      <c r="B778" s="2">
        <v>4.9072483000000004E-4</v>
      </c>
      <c r="C778" s="2">
        <v>7.8605373E-4</v>
      </c>
      <c r="D778" s="2">
        <v>3.3972712000000002E-4</v>
      </c>
      <c r="E778" s="2"/>
      <c r="F778" s="2"/>
    </row>
    <row r="779" spans="1:6" x14ac:dyDescent="0.2">
      <c r="A779" s="2">
        <v>4.6215839999999998E-3</v>
      </c>
      <c r="B779" s="2">
        <v>3.1969969E-3</v>
      </c>
      <c r="C779" s="2">
        <v>6.8842126E-3</v>
      </c>
      <c r="D779" s="2">
        <v>0</v>
      </c>
      <c r="E779" s="2"/>
      <c r="F779" s="2"/>
    </row>
    <row r="780" spans="1:6" x14ac:dyDescent="0.2">
      <c r="A780" s="2">
        <v>8.6741484999999993E-3</v>
      </c>
      <c r="B780" s="2">
        <v>0</v>
      </c>
      <c r="C780" s="2">
        <v>0</v>
      </c>
      <c r="D780" s="2">
        <v>0</v>
      </c>
      <c r="E780" s="2"/>
      <c r="F780" s="2"/>
    </row>
    <row r="781" spans="1:6" x14ac:dyDescent="0.2">
      <c r="A781" s="2">
        <v>0</v>
      </c>
      <c r="B781" s="2">
        <v>0</v>
      </c>
      <c r="C781" s="2">
        <v>0</v>
      </c>
      <c r="D781" s="2">
        <v>0</v>
      </c>
      <c r="E781" s="2"/>
      <c r="F781" s="2"/>
    </row>
    <row r="782" spans="1:6" x14ac:dyDescent="0.2">
      <c r="A782" s="2">
        <v>0</v>
      </c>
      <c r="B782" s="2">
        <v>0</v>
      </c>
      <c r="C782" s="2">
        <v>0</v>
      </c>
      <c r="D782" s="2">
        <v>0</v>
      </c>
      <c r="E782" s="2"/>
      <c r="F782" s="2"/>
    </row>
    <row r="783" spans="1:6" x14ac:dyDescent="0.2">
      <c r="A783" s="2">
        <v>0.22273171999999999</v>
      </c>
      <c r="B783" s="2">
        <v>0.19779134000000001</v>
      </c>
      <c r="C783" s="2">
        <v>0.19110826</v>
      </c>
      <c r="D783" s="2">
        <v>0.19210954</v>
      </c>
      <c r="E783" s="2"/>
      <c r="F783" s="2"/>
    </row>
    <row r="784" spans="1:6" x14ac:dyDescent="0.2">
      <c r="A784" s="1" t="s">
        <v>33</v>
      </c>
    </row>
    <row r="785" spans="1:6" x14ac:dyDescent="0.2">
      <c r="A785" s="2">
        <v>250340.75</v>
      </c>
      <c r="B785" s="2">
        <v>134509.23000000001</v>
      </c>
      <c r="C785" s="2">
        <v>59990.574000000001</v>
      </c>
      <c r="D785" s="2">
        <v>15394.178</v>
      </c>
      <c r="E785" s="2"/>
      <c r="F785" s="2"/>
    </row>
    <row r="786" spans="1:6" x14ac:dyDescent="0.2">
      <c r="A786" s="2">
        <v>0.10319287000000001</v>
      </c>
      <c r="B786" s="2">
        <v>0.21332461</v>
      </c>
      <c r="C786" s="2">
        <v>0.53908020000000001</v>
      </c>
      <c r="D786" s="2">
        <v>1</v>
      </c>
      <c r="E786" s="2"/>
      <c r="F786" s="2"/>
    </row>
    <row r="787" spans="1:6" x14ac:dyDescent="0.2">
      <c r="A787" s="2">
        <v>0.61397851000000003</v>
      </c>
      <c r="B787" s="2">
        <v>0.81365739999999998</v>
      </c>
      <c r="C787" s="2">
        <v>0.95390797000000005</v>
      </c>
      <c r="D787" s="2">
        <v>1</v>
      </c>
      <c r="E787" s="2"/>
      <c r="F787" s="2"/>
    </row>
    <row r="788" spans="1:6" x14ac:dyDescent="0.2">
      <c r="A788" s="2">
        <v>0</v>
      </c>
      <c r="B788" s="2">
        <v>5.5855513000000002E-2</v>
      </c>
      <c r="C788" s="2">
        <v>0.11874263</v>
      </c>
      <c r="D788" s="2">
        <v>0.21250182000000001</v>
      </c>
      <c r="E788" s="2"/>
      <c r="F788" s="2"/>
    </row>
    <row r="789" spans="1:6" x14ac:dyDescent="0.2">
      <c r="A789" s="2">
        <v>0</v>
      </c>
      <c r="B789" s="2">
        <v>0.1028289</v>
      </c>
      <c r="C789" s="2">
        <v>8.9599200000000004E-2</v>
      </c>
      <c r="D789" s="2">
        <v>0.13371264999999999</v>
      </c>
      <c r="E789" s="2"/>
      <c r="F789" s="2"/>
    </row>
    <row r="790" spans="1:6" x14ac:dyDescent="0.2">
      <c r="A790" s="2">
        <v>0</v>
      </c>
      <c r="B790" s="2">
        <v>5.0016721E-3</v>
      </c>
      <c r="C790" s="2">
        <v>6.1100851999999997E-2</v>
      </c>
      <c r="D790" s="2">
        <v>6.7466516000000004E-3</v>
      </c>
      <c r="E790" s="2"/>
      <c r="F790" s="2"/>
    </row>
    <row r="791" spans="1:6" x14ac:dyDescent="0.2">
      <c r="A791" s="2">
        <v>0</v>
      </c>
      <c r="B791" s="2">
        <v>7.5485236999999997E-2</v>
      </c>
      <c r="C791" s="2">
        <v>4.9120087E-2</v>
      </c>
      <c r="D791" s="2">
        <v>1.3929800000000001E-2</v>
      </c>
      <c r="E791" s="2"/>
      <c r="F791" s="2"/>
    </row>
    <row r="792" spans="1:6" x14ac:dyDescent="0.2">
      <c r="A792" s="2">
        <v>0</v>
      </c>
      <c r="B792" s="2">
        <v>2.3889348000000001E-2</v>
      </c>
      <c r="C792" s="2">
        <v>0</v>
      </c>
      <c r="D792" s="2">
        <v>0</v>
      </c>
      <c r="E792" s="2"/>
      <c r="F792" s="2"/>
    </row>
    <row r="793" spans="1:6" x14ac:dyDescent="0.2">
      <c r="A793" s="2">
        <v>0</v>
      </c>
      <c r="B793" s="2">
        <v>0</v>
      </c>
      <c r="C793" s="2">
        <v>0</v>
      </c>
      <c r="D793" s="2">
        <v>0</v>
      </c>
      <c r="E793" s="2"/>
      <c r="F793" s="2"/>
    </row>
    <row r="794" spans="1:6" x14ac:dyDescent="0.2">
      <c r="A794" s="2">
        <v>7.5792367999999999E-3</v>
      </c>
      <c r="B794" s="2">
        <v>0</v>
      </c>
      <c r="C794" s="2">
        <v>2.0514742999999998E-2</v>
      </c>
      <c r="D794" s="2">
        <v>0</v>
      </c>
      <c r="E794" s="2"/>
      <c r="F794" s="2"/>
    </row>
    <row r="795" spans="1:6" x14ac:dyDescent="0.2">
      <c r="A795" s="2">
        <v>0</v>
      </c>
      <c r="B795" s="2">
        <v>3.2138600999999998E-3</v>
      </c>
      <c r="C795" s="2">
        <v>1.5378353000000001E-2</v>
      </c>
      <c r="D795" s="2">
        <v>2.1201412999999999E-2</v>
      </c>
      <c r="E795" s="2"/>
      <c r="F795" s="2"/>
    </row>
    <row r="796" spans="1:6" x14ac:dyDescent="0.2">
      <c r="A796" s="2">
        <v>2.8764019000000001E-3</v>
      </c>
      <c r="B796" s="2">
        <v>2.2760510999999999E-3</v>
      </c>
      <c r="C796" s="2">
        <v>0</v>
      </c>
      <c r="D796" s="2">
        <v>0</v>
      </c>
      <c r="E796" s="2"/>
      <c r="F796" s="2"/>
    </row>
    <row r="797" spans="1:6" x14ac:dyDescent="0.2">
      <c r="A797" s="2">
        <v>6.9486495000000001E-4</v>
      </c>
      <c r="B797" s="2">
        <v>6.9620777000000003E-3</v>
      </c>
      <c r="C797" s="2">
        <v>0</v>
      </c>
      <c r="D797" s="2">
        <v>0</v>
      </c>
      <c r="E797" s="2"/>
      <c r="F797" s="2"/>
    </row>
    <row r="798" spans="1:6" x14ac:dyDescent="0.2">
      <c r="A798" s="2">
        <v>2.3162163999999999E-4</v>
      </c>
      <c r="B798" s="2">
        <v>0</v>
      </c>
      <c r="C798" s="2">
        <v>0</v>
      </c>
      <c r="D798" s="2">
        <v>0</v>
      </c>
      <c r="E798" s="2"/>
      <c r="F798" s="2"/>
    </row>
    <row r="799" spans="1:6" x14ac:dyDescent="0.2">
      <c r="A799" s="2">
        <v>0</v>
      </c>
      <c r="B799" s="2">
        <v>6.8375078000000003E-4</v>
      </c>
      <c r="C799" s="2">
        <v>2.7716734999999999E-2</v>
      </c>
      <c r="D799" s="2">
        <v>0</v>
      </c>
      <c r="E799" s="2"/>
      <c r="F799" s="2"/>
    </row>
    <row r="800" spans="1:6" x14ac:dyDescent="0.2">
      <c r="A800" s="2">
        <v>0</v>
      </c>
      <c r="B800" s="2">
        <v>0</v>
      </c>
      <c r="C800" s="2">
        <v>0</v>
      </c>
      <c r="D800" s="2">
        <v>0</v>
      </c>
      <c r="E800" s="2"/>
      <c r="F800" s="2"/>
    </row>
    <row r="801" spans="1:6" x14ac:dyDescent="0.2">
      <c r="A801" s="2">
        <v>8.5669801000000004E-2</v>
      </c>
      <c r="B801" s="2">
        <v>0.34308502000000002</v>
      </c>
      <c r="C801" s="2">
        <v>0.64441413000000003</v>
      </c>
      <c r="D801" s="2">
        <v>0.39060652000000001</v>
      </c>
      <c r="E801" s="2"/>
      <c r="F801" s="2"/>
    </row>
    <row r="802" spans="1:6" x14ac:dyDescent="0.2">
      <c r="A802" s="2">
        <v>0</v>
      </c>
      <c r="B802" s="2">
        <v>0</v>
      </c>
      <c r="C802" s="2">
        <v>0</v>
      </c>
      <c r="D802" s="2">
        <v>0</v>
      </c>
      <c r="E802" s="2"/>
      <c r="F802" s="2"/>
    </row>
    <row r="803" spans="1:6" x14ac:dyDescent="0.2">
      <c r="A803" s="2">
        <v>9.1193388999999999E-4</v>
      </c>
      <c r="B803" s="2">
        <v>0</v>
      </c>
      <c r="C803" s="2">
        <v>0</v>
      </c>
      <c r="D803" s="2">
        <v>1.4279930999999999E-2</v>
      </c>
      <c r="E803" s="2"/>
      <c r="F803" s="2"/>
    </row>
    <row r="804" spans="1:6" x14ac:dyDescent="0.2">
      <c r="A804" s="2">
        <v>0</v>
      </c>
      <c r="B804" s="2">
        <v>0</v>
      </c>
      <c r="C804" s="2">
        <v>0</v>
      </c>
      <c r="D804" s="2">
        <v>0</v>
      </c>
      <c r="E804" s="2"/>
      <c r="F804" s="2"/>
    </row>
    <row r="805" spans="1:6" x14ac:dyDescent="0.2">
      <c r="A805" s="2">
        <v>0.14678735000000001</v>
      </c>
      <c r="B805" s="2">
        <v>5.0777736999999996E-3</v>
      </c>
      <c r="C805" s="2">
        <v>3.8932010000000002E-3</v>
      </c>
      <c r="D805" s="2">
        <v>4.4737225E-3</v>
      </c>
      <c r="E805" s="2"/>
      <c r="F805" s="2"/>
    </row>
    <row r="806" spans="1:6" x14ac:dyDescent="0.2">
      <c r="A806" s="2">
        <v>0</v>
      </c>
      <c r="B806" s="2">
        <v>0</v>
      </c>
      <c r="C806" s="2">
        <v>0</v>
      </c>
      <c r="D806" s="2">
        <v>0</v>
      </c>
      <c r="E806" s="2"/>
      <c r="F806" s="2"/>
    </row>
    <row r="807" spans="1:6" x14ac:dyDescent="0.2">
      <c r="A807" s="2">
        <v>0</v>
      </c>
      <c r="B807" s="2">
        <v>7.2587062999999996E-4</v>
      </c>
      <c r="C807" s="2">
        <v>6.7709260999999996E-4</v>
      </c>
      <c r="D807" s="2">
        <v>1.9992008E-4</v>
      </c>
      <c r="E807" s="2"/>
      <c r="F807" s="2"/>
    </row>
    <row r="808" spans="1:6" x14ac:dyDescent="0.2">
      <c r="A808" s="2">
        <v>0</v>
      </c>
      <c r="B808" s="2">
        <v>0</v>
      </c>
      <c r="C808" s="2">
        <v>3.8232491E-3</v>
      </c>
      <c r="D808" s="2">
        <v>0</v>
      </c>
      <c r="E808" s="2"/>
      <c r="F808" s="2"/>
    </row>
    <row r="809" spans="1:6" x14ac:dyDescent="0.2">
      <c r="A809" s="2">
        <v>3.0725547000000001E-3</v>
      </c>
      <c r="B809" s="2">
        <v>1.2038765E-2</v>
      </c>
      <c r="C809" s="2">
        <v>0</v>
      </c>
      <c r="D809" s="2">
        <v>0</v>
      </c>
      <c r="E809" s="2"/>
      <c r="F809" s="2"/>
    </row>
    <row r="810" spans="1:6" x14ac:dyDescent="0.2">
      <c r="A810" s="2">
        <v>0</v>
      </c>
      <c r="B810" s="2">
        <v>0</v>
      </c>
      <c r="C810" s="2">
        <v>0</v>
      </c>
      <c r="D810" s="2">
        <v>0</v>
      </c>
      <c r="E810" s="2"/>
      <c r="F810" s="2"/>
    </row>
    <row r="811" spans="1:6" x14ac:dyDescent="0.2">
      <c r="A811" s="2">
        <v>0</v>
      </c>
      <c r="B811" s="2">
        <v>2.8547144E-2</v>
      </c>
      <c r="C811" s="2">
        <v>0</v>
      </c>
      <c r="D811" s="2">
        <v>0</v>
      </c>
      <c r="E811" s="2"/>
      <c r="F811" s="2"/>
    </row>
    <row r="812" spans="1:6" x14ac:dyDescent="0.2">
      <c r="A812" s="2">
        <v>0</v>
      </c>
      <c r="B812" s="2">
        <v>0</v>
      </c>
      <c r="C812" s="2">
        <v>0</v>
      </c>
      <c r="D812" s="2">
        <v>0</v>
      </c>
      <c r="E812" s="2"/>
      <c r="F812" s="2"/>
    </row>
    <row r="813" spans="1:6" x14ac:dyDescent="0.2">
      <c r="A813" s="1" t="s">
        <v>34</v>
      </c>
    </row>
    <row r="814" spans="1:6" x14ac:dyDescent="0.2">
      <c r="A814" s="2">
        <v>11589.092000000001</v>
      </c>
      <c r="B814" s="2">
        <v>10293.303</v>
      </c>
      <c r="C814" s="2">
        <v>7116.3109999999997</v>
      </c>
      <c r="D814" s="2">
        <v>1472.5398</v>
      </c>
      <c r="E814" s="2"/>
      <c r="F814" s="2"/>
    </row>
    <row r="815" spans="1:6" x14ac:dyDescent="0.2">
      <c r="A815" s="2">
        <v>6.7284115000000005E-2</v>
      </c>
      <c r="B815" s="2">
        <v>0.20450583</v>
      </c>
      <c r="C815" s="2">
        <v>0.64996116999999998</v>
      </c>
      <c r="D815" s="2">
        <v>0.99999987999999995</v>
      </c>
      <c r="E815" s="2"/>
      <c r="F815" s="2"/>
    </row>
    <row r="816" spans="1:6" x14ac:dyDescent="0.2">
      <c r="A816" s="2">
        <v>0.60176521999999999</v>
      </c>
      <c r="B816" s="2">
        <v>0.81862484999999996</v>
      </c>
      <c r="C816" s="2">
        <v>0.96499610000000002</v>
      </c>
      <c r="D816" s="2">
        <v>0.99999987999999995</v>
      </c>
      <c r="E816" s="2"/>
      <c r="F816" s="2"/>
    </row>
    <row r="817" spans="1:6" x14ac:dyDescent="0.2">
      <c r="A817" s="2">
        <v>0</v>
      </c>
      <c r="B817" s="2">
        <v>5.6641134000000003E-3</v>
      </c>
      <c r="C817" s="2">
        <v>6.7836895999999994E-2</v>
      </c>
      <c r="D817" s="2">
        <v>9.9313200000000004E-2</v>
      </c>
      <c r="E817" s="2"/>
      <c r="F817" s="2"/>
    </row>
    <row r="818" spans="1:6" x14ac:dyDescent="0.2">
      <c r="A818" s="2">
        <v>0</v>
      </c>
      <c r="B818" s="2">
        <v>1.9973112000000001E-2</v>
      </c>
      <c r="C818" s="2">
        <v>4.2020332000000001E-2</v>
      </c>
      <c r="D818" s="2">
        <v>0.10324584000000001</v>
      </c>
      <c r="E818" s="2"/>
      <c r="F818" s="2"/>
    </row>
    <row r="819" spans="1:6" x14ac:dyDescent="0.2">
      <c r="A819" s="2">
        <v>0</v>
      </c>
      <c r="B819" s="2">
        <v>2.9011963000000002E-2</v>
      </c>
      <c r="C819" s="2">
        <v>1.2224944E-2</v>
      </c>
      <c r="D819" s="2">
        <v>0</v>
      </c>
      <c r="E819" s="2"/>
      <c r="F819" s="2"/>
    </row>
    <row r="820" spans="1:6" x14ac:dyDescent="0.2">
      <c r="A820" s="2">
        <v>0</v>
      </c>
      <c r="B820" s="2">
        <v>0.12958306</v>
      </c>
      <c r="C820" s="2">
        <v>0.26680541000000002</v>
      </c>
      <c r="D820" s="2">
        <v>0.13892980999999999</v>
      </c>
      <c r="E820" s="2"/>
      <c r="F820" s="2"/>
    </row>
    <row r="821" spans="1:6" x14ac:dyDescent="0.2">
      <c r="A821" s="2">
        <v>0</v>
      </c>
      <c r="B821" s="2">
        <v>9.9578969000000003E-2</v>
      </c>
      <c r="C821" s="2">
        <v>0.10632630999999999</v>
      </c>
      <c r="D821" s="2">
        <v>3.8846015999999997E-2</v>
      </c>
      <c r="E821" s="2"/>
      <c r="F821" s="2"/>
    </row>
    <row r="822" spans="1:6" x14ac:dyDescent="0.2">
      <c r="A822" s="2">
        <v>0</v>
      </c>
      <c r="B822" s="2">
        <v>0</v>
      </c>
      <c r="C822" s="2">
        <v>0</v>
      </c>
      <c r="D822" s="2">
        <v>0</v>
      </c>
      <c r="E822" s="2"/>
      <c r="F822" s="2"/>
    </row>
    <row r="823" spans="1:6" x14ac:dyDescent="0.2">
      <c r="A823" s="2">
        <v>2.7520901999999997E-4</v>
      </c>
      <c r="B823" s="2">
        <v>0</v>
      </c>
      <c r="C823" s="2">
        <v>0</v>
      </c>
      <c r="D823" s="2">
        <v>0</v>
      </c>
      <c r="E823" s="2"/>
      <c r="F823" s="2"/>
    </row>
    <row r="824" spans="1:6" x14ac:dyDescent="0.2">
      <c r="A824" s="2">
        <v>2.6610203000000002E-3</v>
      </c>
      <c r="B824" s="2">
        <v>5.3774547999999999E-4</v>
      </c>
      <c r="C824" s="2">
        <v>3.1164171999999999E-3</v>
      </c>
      <c r="D824" s="2">
        <v>7.5757578000000001E-3</v>
      </c>
      <c r="E824" s="2"/>
      <c r="F824" s="2"/>
    </row>
    <row r="825" spans="1:6" x14ac:dyDescent="0.2">
      <c r="A825" s="2">
        <v>4.0385313000000003E-3</v>
      </c>
      <c r="B825" s="2">
        <v>9.0673955999999998E-4</v>
      </c>
      <c r="C825" s="2">
        <v>0</v>
      </c>
      <c r="D825" s="2">
        <v>0</v>
      </c>
      <c r="E825" s="2"/>
      <c r="F825" s="2"/>
    </row>
    <row r="826" spans="1:6" x14ac:dyDescent="0.2">
      <c r="A826" s="2">
        <v>0</v>
      </c>
      <c r="B826" s="2">
        <v>0</v>
      </c>
      <c r="C826" s="2">
        <v>0</v>
      </c>
      <c r="D826" s="2">
        <v>0</v>
      </c>
      <c r="E826" s="2"/>
      <c r="F826" s="2"/>
    </row>
    <row r="827" spans="1:6" x14ac:dyDescent="0.2">
      <c r="A827" s="2">
        <v>3.6332903000000001E-3</v>
      </c>
      <c r="B827" s="2">
        <v>2.1180003000000002E-3</v>
      </c>
      <c r="C827" s="2">
        <v>2.0786520999999999E-3</v>
      </c>
      <c r="D827" s="2">
        <v>0</v>
      </c>
      <c r="E827" s="2"/>
      <c r="F827" s="2"/>
    </row>
    <row r="828" spans="1:6" x14ac:dyDescent="0.2">
      <c r="A828" s="2">
        <v>0</v>
      </c>
      <c r="B828" s="2">
        <v>5.7202857000000003E-4</v>
      </c>
      <c r="C828" s="2">
        <v>0</v>
      </c>
      <c r="D828" s="2">
        <v>0</v>
      </c>
      <c r="E828" s="2"/>
      <c r="F828" s="2"/>
    </row>
    <row r="829" spans="1:6" x14ac:dyDescent="0.2">
      <c r="A829" s="2">
        <v>0</v>
      </c>
      <c r="B829" s="2">
        <v>0</v>
      </c>
      <c r="C829" s="2">
        <v>0</v>
      </c>
      <c r="D829" s="2">
        <v>0</v>
      </c>
      <c r="E829" s="2"/>
      <c r="F829" s="2"/>
    </row>
    <row r="830" spans="1:6" x14ac:dyDescent="0.2">
      <c r="A830" s="2">
        <v>0</v>
      </c>
      <c r="B830" s="2">
        <v>0</v>
      </c>
      <c r="C830" s="2">
        <v>0</v>
      </c>
      <c r="D830" s="2">
        <v>0</v>
      </c>
      <c r="E830" s="2"/>
      <c r="F830" s="2"/>
    </row>
    <row r="831" spans="1:6" x14ac:dyDescent="0.2">
      <c r="A831" s="2">
        <v>6.6498153000000004E-2</v>
      </c>
      <c r="B831" s="2">
        <v>0.13895051</v>
      </c>
      <c r="C831" s="2">
        <v>0.35385746000000001</v>
      </c>
      <c r="D831" s="2">
        <v>0.27026367000000001</v>
      </c>
      <c r="E831" s="2"/>
      <c r="F831" s="2"/>
    </row>
    <row r="832" spans="1:6" x14ac:dyDescent="0.2">
      <c r="A832" s="2">
        <v>2.5165996000000002E-3</v>
      </c>
      <c r="B832" s="2">
        <v>5.3681061000000003E-4</v>
      </c>
      <c r="C832" s="2">
        <v>0</v>
      </c>
      <c r="D832" s="2">
        <v>0</v>
      </c>
      <c r="E832" s="2"/>
      <c r="F832" s="2"/>
    </row>
    <row r="833" spans="1:6" x14ac:dyDescent="0.2">
      <c r="A833" s="2">
        <v>0</v>
      </c>
      <c r="B833" s="2">
        <v>0</v>
      </c>
      <c r="C833" s="2">
        <v>0</v>
      </c>
      <c r="D833" s="2">
        <v>0</v>
      </c>
      <c r="E833" s="2"/>
      <c r="F833" s="2"/>
    </row>
    <row r="834" spans="1:6" x14ac:dyDescent="0.2">
      <c r="A834" s="2">
        <v>0</v>
      </c>
      <c r="B834" s="2">
        <v>3.9648796000000004E-3</v>
      </c>
      <c r="C834" s="2">
        <v>0</v>
      </c>
      <c r="D834" s="2">
        <v>1.0794913E-2</v>
      </c>
      <c r="E834" s="2"/>
      <c r="F834" s="2"/>
    </row>
    <row r="835" spans="1:6" x14ac:dyDescent="0.2">
      <c r="A835" s="2">
        <v>0</v>
      </c>
      <c r="B835" s="2">
        <v>0</v>
      </c>
      <c r="C835" s="2">
        <v>0</v>
      </c>
      <c r="D835" s="2">
        <v>0</v>
      </c>
      <c r="E835" s="2"/>
      <c r="F835" s="2"/>
    </row>
    <row r="836" spans="1:6" x14ac:dyDescent="0.2">
      <c r="A836" s="2">
        <v>0</v>
      </c>
      <c r="B836" s="2">
        <v>1.2460786000000001E-3</v>
      </c>
      <c r="C836" s="2">
        <v>3.6777617000000001E-3</v>
      </c>
      <c r="D836" s="2">
        <v>1.9939165999999999E-3</v>
      </c>
      <c r="E836" s="2"/>
      <c r="F836" s="2"/>
    </row>
    <row r="837" spans="1:6" x14ac:dyDescent="0.2">
      <c r="A837" s="2">
        <v>0</v>
      </c>
      <c r="B837" s="2">
        <v>2.8792106000000001E-2</v>
      </c>
      <c r="C837" s="2">
        <v>2.1853530999999999E-2</v>
      </c>
      <c r="D837" s="2">
        <v>6.4528650000000003E-3</v>
      </c>
      <c r="E837" s="2"/>
      <c r="F837" s="2"/>
    </row>
    <row r="838" spans="1:6" x14ac:dyDescent="0.2">
      <c r="A838" s="2">
        <v>0</v>
      </c>
      <c r="B838" s="2">
        <v>5.3008826E-4</v>
      </c>
      <c r="C838" s="2">
        <v>0</v>
      </c>
      <c r="D838" s="2">
        <v>3.6762035999999998E-2</v>
      </c>
      <c r="E838" s="2"/>
      <c r="F838" s="2"/>
    </row>
    <row r="839" spans="1:6" x14ac:dyDescent="0.2">
      <c r="A839" s="2">
        <v>0</v>
      </c>
      <c r="B839" s="2">
        <v>0</v>
      </c>
      <c r="C839" s="2">
        <v>3.4771120000000002E-4</v>
      </c>
      <c r="D839" s="2">
        <v>0</v>
      </c>
      <c r="E839" s="2"/>
      <c r="F839" s="2"/>
    </row>
    <row r="840" spans="1:6" x14ac:dyDescent="0.2">
      <c r="A840" s="2">
        <v>0</v>
      </c>
      <c r="B840" s="2">
        <v>6.9985782999999995E-4</v>
      </c>
      <c r="C840" s="2">
        <v>0</v>
      </c>
      <c r="D840" s="2">
        <v>0</v>
      </c>
      <c r="E840" s="2"/>
      <c r="F840" s="2"/>
    </row>
    <row r="841" spans="1:6" x14ac:dyDescent="0.2">
      <c r="A841" s="2">
        <v>0</v>
      </c>
      <c r="B841" s="2">
        <v>7.5727054E-3</v>
      </c>
      <c r="C841" s="2">
        <v>1.3486919E-2</v>
      </c>
      <c r="D841" s="2">
        <v>0</v>
      </c>
      <c r="E841" s="2"/>
      <c r="F841" s="2"/>
    </row>
    <row r="842" spans="1:6" x14ac:dyDescent="0.2">
      <c r="A842" s="1" t="s">
        <v>35</v>
      </c>
    </row>
    <row r="843" spans="1:6" x14ac:dyDescent="0.2">
      <c r="A843" s="2">
        <v>35310.516000000003</v>
      </c>
      <c r="B843" s="2">
        <v>20373.91</v>
      </c>
      <c r="C843" s="2">
        <v>10995.063</v>
      </c>
      <c r="D843" s="2">
        <v>2632.1511</v>
      </c>
      <c r="E843" s="2"/>
      <c r="F843" s="2"/>
    </row>
    <row r="844" spans="1:6" x14ac:dyDescent="0.2">
      <c r="A844" s="2">
        <v>2.5977923E-2</v>
      </c>
      <c r="B844" s="2">
        <v>0.10985354</v>
      </c>
      <c r="C844" s="2">
        <v>0.54223924999999995</v>
      </c>
      <c r="D844" s="2">
        <v>1.0000001000000001</v>
      </c>
      <c r="E844" s="2"/>
      <c r="F844" s="2"/>
    </row>
    <row r="845" spans="1:6" x14ac:dyDescent="0.2">
      <c r="A845" s="2">
        <v>0.56418449000000004</v>
      </c>
      <c r="B845" s="2">
        <v>0.78937279999999999</v>
      </c>
      <c r="C845" s="2">
        <v>0.95422399000000002</v>
      </c>
      <c r="D845" s="2">
        <v>1.0000001000000001</v>
      </c>
      <c r="E845" s="2"/>
      <c r="F845" s="2"/>
    </row>
    <row r="846" spans="1:6" x14ac:dyDescent="0.2">
      <c r="A846" s="2">
        <v>0</v>
      </c>
      <c r="B846" s="2">
        <v>5.1309656000000002E-2</v>
      </c>
      <c r="C846" s="2">
        <v>0.16483943000000001</v>
      </c>
      <c r="D846" s="2">
        <v>0.23775467</v>
      </c>
      <c r="E846" s="2"/>
      <c r="F846" s="2"/>
    </row>
    <row r="847" spans="1:6" x14ac:dyDescent="0.2">
      <c r="A847" s="2">
        <v>0</v>
      </c>
      <c r="B847" s="2">
        <v>2.9437181E-2</v>
      </c>
      <c r="C847" s="2">
        <v>6.3320756000000006E-2</v>
      </c>
      <c r="D847" s="2">
        <v>6.3772864999999998E-2</v>
      </c>
      <c r="E847" s="2"/>
      <c r="F847" s="2"/>
    </row>
    <row r="848" spans="1:6" x14ac:dyDescent="0.2">
      <c r="A848" s="2">
        <v>0</v>
      </c>
      <c r="B848" s="2">
        <v>1.4633034E-2</v>
      </c>
      <c r="C848" s="2">
        <v>2.3394313E-2</v>
      </c>
      <c r="D848" s="2">
        <v>9.8203924000000008E-3</v>
      </c>
      <c r="E848" s="2"/>
      <c r="F848" s="2"/>
    </row>
    <row r="849" spans="1:6" x14ac:dyDescent="0.2">
      <c r="A849" s="2">
        <v>2.7950076000000002E-4</v>
      </c>
      <c r="B849" s="2">
        <v>7.4982695000000002E-2</v>
      </c>
      <c r="C849" s="2">
        <v>7.2583228E-2</v>
      </c>
      <c r="D849" s="2">
        <v>4.1846520999999998E-2</v>
      </c>
      <c r="E849" s="2"/>
      <c r="F849" s="2"/>
    </row>
    <row r="850" spans="1:6" x14ac:dyDescent="0.2">
      <c r="A850" s="2">
        <v>0</v>
      </c>
      <c r="B850" s="2">
        <v>5.9045916E-3</v>
      </c>
      <c r="C850" s="2">
        <v>1.011108E-2</v>
      </c>
      <c r="D850" s="2">
        <v>3.2994587000000001E-3</v>
      </c>
      <c r="E850" s="2"/>
      <c r="F850" s="2"/>
    </row>
    <row r="851" spans="1:6" x14ac:dyDescent="0.2">
      <c r="A851" s="2">
        <v>0</v>
      </c>
      <c r="B851" s="2">
        <v>1.3507835000000001E-3</v>
      </c>
      <c r="C851" s="2">
        <v>5.5179419E-3</v>
      </c>
      <c r="D851" s="2">
        <v>0</v>
      </c>
      <c r="E851" s="2"/>
      <c r="F851" s="2"/>
    </row>
    <row r="852" spans="1:6" x14ac:dyDescent="0.2">
      <c r="A852" s="2">
        <v>0</v>
      </c>
      <c r="B852" s="2">
        <v>3.8056318000000001E-3</v>
      </c>
      <c r="C852" s="2">
        <v>9.4096996999999997E-4</v>
      </c>
      <c r="D852" s="2">
        <v>9.8527723000000006E-4</v>
      </c>
      <c r="E852" s="2"/>
      <c r="F852" s="2"/>
    </row>
    <row r="853" spans="1:6" x14ac:dyDescent="0.2">
      <c r="A853" s="2">
        <v>1.3844917999999999E-3</v>
      </c>
      <c r="B853" s="2">
        <v>5.8635891999999998E-3</v>
      </c>
      <c r="C853" s="2">
        <v>4.7181696000000002E-2</v>
      </c>
      <c r="D853" s="2">
        <v>2.9558318000000002E-3</v>
      </c>
      <c r="E853" s="2"/>
      <c r="F853" s="2"/>
    </row>
    <row r="854" spans="1:6" x14ac:dyDescent="0.2">
      <c r="A854" s="2">
        <v>8.1193837999999994E-3</v>
      </c>
      <c r="B854" s="2">
        <v>1.0741262E-2</v>
      </c>
      <c r="C854" s="2">
        <v>7.54363E-3</v>
      </c>
      <c r="D854" s="2">
        <v>0</v>
      </c>
      <c r="E854" s="2"/>
      <c r="F854" s="2"/>
    </row>
    <row r="855" spans="1:6" x14ac:dyDescent="0.2">
      <c r="A855" s="2">
        <v>3.8007044000000002E-4</v>
      </c>
      <c r="B855" s="2">
        <v>0</v>
      </c>
      <c r="C855" s="2">
        <v>0</v>
      </c>
      <c r="D855" s="2">
        <v>0</v>
      </c>
      <c r="E855" s="2"/>
      <c r="F855" s="2"/>
    </row>
    <row r="856" spans="1:6" x14ac:dyDescent="0.2">
      <c r="A856" s="2">
        <v>3.8821480999999998E-3</v>
      </c>
      <c r="B856" s="2">
        <v>1.1615689000000001E-3</v>
      </c>
      <c r="C856" s="2">
        <v>0</v>
      </c>
      <c r="D856" s="2">
        <v>0</v>
      </c>
      <c r="E856" s="2"/>
      <c r="F856" s="2"/>
    </row>
    <row r="857" spans="1:6" x14ac:dyDescent="0.2">
      <c r="A857" s="2">
        <v>9.7460805000000001E-5</v>
      </c>
      <c r="B857" s="2">
        <v>7.3815535999999997E-5</v>
      </c>
      <c r="C857" s="2">
        <v>0</v>
      </c>
      <c r="D857" s="2">
        <v>0</v>
      </c>
      <c r="E857" s="2"/>
      <c r="F857" s="2"/>
    </row>
    <row r="858" spans="1:6" x14ac:dyDescent="0.2">
      <c r="A858" s="2">
        <v>0</v>
      </c>
      <c r="B858" s="2">
        <v>0</v>
      </c>
      <c r="C858" s="2">
        <v>1.1123971E-3</v>
      </c>
      <c r="D858" s="2">
        <v>0</v>
      </c>
      <c r="E858" s="2"/>
      <c r="F858" s="2"/>
    </row>
    <row r="859" spans="1:6" x14ac:dyDescent="0.2">
      <c r="A859" s="2">
        <v>0</v>
      </c>
      <c r="B859" s="2">
        <v>0</v>
      </c>
      <c r="C859" s="2">
        <v>4.7674157999999999E-4</v>
      </c>
      <c r="D859" s="2">
        <v>0</v>
      </c>
      <c r="E859" s="2"/>
      <c r="F859" s="2"/>
    </row>
    <row r="860" spans="1:6" x14ac:dyDescent="0.2">
      <c r="A860" s="2">
        <v>6.5649942000000003E-2</v>
      </c>
      <c r="B860" s="2">
        <v>0.34255894999999997</v>
      </c>
      <c r="C860" s="2">
        <v>0.26077765000000003</v>
      </c>
      <c r="D860" s="2">
        <v>7.3929629999999996E-2</v>
      </c>
      <c r="E860" s="2"/>
      <c r="F860" s="2"/>
    </row>
    <row r="861" spans="1:6" x14ac:dyDescent="0.2">
      <c r="A861" s="2">
        <v>8.0164394000000003E-4</v>
      </c>
      <c r="B861" s="2">
        <v>1.1083352000000001E-3</v>
      </c>
      <c r="C861" s="2">
        <v>9.0923998999999991E-3</v>
      </c>
      <c r="D861" s="2">
        <v>6.6362048E-4</v>
      </c>
      <c r="E861" s="2"/>
      <c r="F861" s="2"/>
    </row>
    <row r="862" spans="1:6" x14ac:dyDescent="0.2">
      <c r="A862" s="2">
        <v>0</v>
      </c>
      <c r="B862" s="2">
        <v>0</v>
      </c>
      <c r="C862" s="2">
        <v>0</v>
      </c>
      <c r="D862" s="2">
        <v>0</v>
      </c>
      <c r="E862" s="2"/>
      <c r="F862" s="2"/>
    </row>
    <row r="863" spans="1:6" x14ac:dyDescent="0.2">
      <c r="A863" s="2">
        <v>0</v>
      </c>
      <c r="B863" s="2">
        <v>3.3987167000000002E-3</v>
      </c>
      <c r="C863" s="2">
        <v>7.7464283000000002E-3</v>
      </c>
      <c r="D863" s="2">
        <v>4.5722052000000003E-3</v>
      </c>
      <c r="E863" s="2"/>
      <c r="F863" s="2"/>
    </row>
    <row r="864" spans="1:6" x14ac:dyDescent="0.2">
      <c r="A864" s="2">
        <v>0</v>
      </c>
      <c r="B864" s="2">
        <v>0</v>
      </c>
      <c r="C864" s="2">
        <v>2.3724772000000001E-3</v>
      </c>
      <c r="D864" s="2">
        <v>0</v>
      </c>
      <c r="E864" s="2"/>
      <c r="F864" s="2"/>
    </row>
    <row r="865" spans="1:6" x14ac:dyDescent="0.2">
      <c r="A865" s="2">
        <v>5.9924777999999997E-6</v>
      </c>
      <c r="B865" s="2">
        <v>7.2103814999999996E-4</v>
      </c>
      <c r="C865" s="2">
        <v>1.0005187E-3</v>
      </c>
      <c r="D865" s="2">
        <v>6.0058004000000003E-4</v>
      </c>
      <c r="E865" s="2"/>
      <c r="F865" s="2"/>
    </row>
    <row r="866" spans="1:6" x14ac:dyDescent="0.2">
      <c r="A866" s="2">
        <v>0</v>
      </c>
      <c r="B866" s="2">
        <v>6.4957668000000003E-3</v>
      </c>
      <c r="C866" s="2">
        <v>6.8241441999999999E-3</v>
      </c>
      <c r="D866" s="2">
        <v>5.3834240000000004E-3</v>
      </c>
      <c r="E866" s="2"/>
      <c r="F866" s="2"/>
    </row>
    <row r="867" spans="1:6" x14ac:dyDescent="0.2">
      <c r="A867" s="2">
        <v>3.6012771E-4</v>
      </c>
      <c r="B867" s="2">
        <v>5.1986649999999999E-3</v>
      </c>
      <c r="C867" s="2">
        <v>9.3805009999999999E-4</v>
      </c>
      <c r="D867" s="2">
        <v>5.8285771000000002E-3</v>
      </c>
      <c r="E867" s="2"/>
      <c r="F867" s="2"/>
    </row>
    <row r="868" spans="1:6" x14ac:dyDescent="0.2">
      <c r="A868" s="2">
        <v>1.2004257E-3</v>
      </c>
      <c r="B868" s="2">
        <v>9.5764878999999995E-4</v>
      </c>
      <c r="C868" s="2">
        <v>0</v>
      </c>
      <c r="D868" s="2">
        <v>0</v>
      </c>
      <c r="E868" s="2"/>
      <c r="F868" s="2"/>
    </row>
    <row r="869" spans="1:6" x14ac:dyDescent="0.2">
      <c r="A869" s="2">
        <v>1.8275244E-4</v>
      </c>
      <c r="B869" s="2">
        <v>3.4543896999999998E-3</v>
      </c>
      <c r="C869" s="2">
        <v>2.5934325999999999E-3</v>
      </c>
      <c r="D869" s="2">
        <v>0</v>
      </c>
      <c r="E869" s="2"/>
      <c r="F869" s="2"/>
    </row>
    <row r="870" spans="1:6" x14ac:dyDescent="0.2">
      <c r="A870" s="2">
        <v>4.4137071999999999E-2</v>
      </c>
      <c r="B870" s="2">
        <v>8.2253683000000008E-3</v>
      </c>
      <c r="C870" s="2">
        <v>2.0350986000000001E-3</v>
      </c>
      <c r="D870" s="2">
        <v>3.9411089000000003E-3</v>
      </c>
      <c r="E870" s="2"/>
      <c r="F870" s="2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0"/>
  <sheetViews>
    <sheetView zoomScaleNormal="100" workbookViewId="0">
      <pane ySplit="1" topLeftCell="A2" activePane="bottomLeft" state="frozen"/>
      <selection pane="bottomLeft" sqref="A1:D35"/>
    </sheetView>
  </sheetViews>
  <sheetFormatPr defaultColWidth="10.6640625" defaultRowHeight="12.75" x14ac:dyDescent="0.2"/>
  <cols>
    <col min="1" max="1" width="29.6640625" style="4" bestFit="1" customWidth="1"/>
    <col min="2" max="2" width="8.83203125" style="4" customWidth="1"/>
    <col min="3" max="3" width="8.1640625" style="4" customWidth="1"/>
    <col min="4" max="4" width="9.83203125" style="4" bestFit="1" customWidth="1"/>
    <col min="5" max="5" width="9.1640625" style="4" bestFit="1" customWidth="1"/>
    <col min="6" max="6" width="11.1640625" style="4" bestFit="1" customWidth="1"/>
    <col min="7" max="7" width="9" style="4" bestFit="1" customWidth="1"/>
    <col min="8" max="8" width="11" style="4" bestFit="1" customWidth="1"/>
    <col min="9" max="9" width="6.33203125" style="4" bestFit="1" customWidth="1"/>
    <col min="10" max="16384" width="10.6640625" style="4"/>
  </cols>
  <sheetData>
    <row r="1" spans="1:9" x14ac:dyDescent="0.2">
      <c r="A1" t="s">
        <v>81</v>
      </c>
      <c r="B1" t="s">
        <v>82</v>
      </c>
      <c r="C1" t="s">
        <v>48</v>
      </c>
      <c r="D1" t="s">
        <v>46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</row>
    <row r="2" spans="1:9" x14ac:dyDescent="0.2">
      <c r="A2">
        <v>1979</v>
      </c>
      <c r="B2">
        <v>0.94781300000000002</v>
      </c>
      <c r="C2" t="s">
        <v>48</v>
      </c>
      <c r="D2">
        <v>0.94781300000000002</v>
      </c>
      <c r="E2">
        <v>1.075421</v>
      </c>
      <c r="F2">
        <v>0.51236000000000004</v>
      </c>
      <c r="G2">
        <v>0.77369200000000005</v>
      </c>
      <c r="H2">
        <v>0.37905100000000003</v>
      </c>
      <c r="I2">
        <v>0.77369200000000005</v>
      </c>
    </row>
    <row r="3" spans="1:9" x14ac:dyDescent="0.2">
      <c r="A3">
        <v>1980</v>
      </c>
      <c r="B3">
        <v>0.80586199999999997</v>
      </c>
      <c r="C3" t="s">
        <v>48</v>
      </c>
      <c r="D3">
        <v>0.80586199999999997</v>
      </c>
      <c r="E3">
        <v>0.94451600000000002</v>
      </c>
      <c r="F3">
        <v>1.455854</v>
      </c>
      <c r="G3">
        <v>1.5570310000000001</v>
      </c>
      <c r="H3">
        <v>1.8521860000000001</v>
      </c>
      <c r="I3">
        <v>1.5570310000000001</v>
      </c>
    </row>
    <row r="4" spans="1:9" x14ac:dyDescent="0.2">
      <c r="A4">
        <v>1981</v>
      </c>
      <c r="B4">
        <v>1.2647919999999999</v>
      </c>
      <c r="C4" t="s">
        <v>48</v>
      </c>
      <c r="D4">
        <v>1.2647919999999999</v>
      </c>
      <c r="E4">
        <v>1.06525</v>
      </c>
      <c r="F4">
        <v>0.91379900000000003</v>
      </c>
      <c r="G4">
        <v>1.057294</v>
      </c>
      <c r="H4">
        <v>0.86026999999999998</v>
      </c>
      <c r="I4">
        <v>1.057294</v>
      </c>
    </row>
    <row r="5" spans="1:9" x14ac:dyDescent="0.2">
      <c r="A5">
        <v>1982</v>
      </c>
      <c r="B5">
        <v>0.98153299999999999</v>
      </c>
      <c r="C5" t="s">
        <v>48</v>
      </c>
      <c r="D5">
        <v>0.98153299999999999</v>
      </c>
      <c r="E5">
        <v>0.91481299999999999</v>
      </c>
      <c r="F5">
        <v>1.1179870000000001</v>
      </c>
      <c r="G5">
        <v>0.61198300000000005</v>
      </c>
      <c r="H5">
        <v>0.90849299999999999</v>
      </c>
      <c r="I5">
        <v>0.61198300000000005</v>
      </c>
    </row>
    <row r="6" spans="1:9" x14ac:dyDescent="0.2">
      <c r="A6">
        <v>1983</v>
      </c>
      <c r="B6">
        <v>0.93659899999999996</v>
      </c>
      <c r="C6" t="s">
        <v>48</v>
      </c>
      <c r="D6">
        <v>0.93659899999999996</v>
      </c>
      <c r="E6">
        <v>0.57452700000000001</v>
      </c>
      <c r="F6">
        <v>0.66752100000000003</v>
      </c>
      <c r="G6">
        <v>1.230281</v>
      </c>
      <c r="H6">
        <v>0.80295499999999997</v>
      </c>
      <c r="I6">
        <v>1.230281</v>
      </c>
    </row>
    <row r="7" spans="1:9" x14ac:dyDescent="0.2">
      <c r="A7">
        <v>1984</v>
      </c>
      <c r="B7">
        <v>0.92793599999999998</v>
      </c>
      <c r="C7" t="s">
        <v>48</v>
      </c>
      <c r="D7">
        <v>0.92793599999999998</v>
      </c>
      <c r="E7">
        <v>0.92012099999999997</v>
      </c>
      <c r="F7">
        <v>1.142474</v>
      </c>
      <c r="G7">
        <v>0.52088999999999996</v>
      </c>
      <c r="H7">
        <v>0.27397700000000003</v>
      </c>
      <c r="I7">
        <v>0.52088999999999996</v>
      </c>
    </row>
    <row r="8" spans="1:9" x14ac:dyDescent="0.2">
      <c r="A8">
        <v>1985</v>
      </c>
      <c r="B8">
        <v>0.90386500000000003</v>
      </c>
      <c r="C8" t="s">
        <v>48</v>
      </c>
      <c r="D8">
        <v>0.90386500000000003</v>
      </c>
      <c r="E8">
        <v>0.59144200000000002</v>
      </c>
      <c r="F8">
        <v>0.88373500000000005</v>
      </c>
      <c r="G8">
        <v>0.81631900000000002</v>
      </c>
      <c r="H8">
        <v>0.70094900000000004</v>
      </c>
      <c r="I8">
        <v>0.81631900000000002</v>
      </c>
    </row>
    <row r="9" spans="1:9" x14ac:dyDescent="0.2">
      <c r="A9">
        <v>1986</v>
      </c>
      <c r="B9">
        <v>0.73087500000000005</v>
      </c>
      <c r="C9" t="s">
        <v>48</v>
      </c>
      <c r="D9">
        <v>0.73087500000000005</v>
      </c>
      <c r="E9">
        <v>0.154478</v>
      </c>
      <c r="F9">
        <v>0.423209</v>
      </c>
      <c r="G9">
        <v>1.230477</v>
      </c>
      <c r="H9">
        <v>0.52485899999999996</v>
      </c>
      <c r="I9">
        <v>1.230477</v>
      </c>
    </row>
    <row r="10" spans="1:9" x14ac:dyDescent="0.2">
      <c r="A10">
        <v>1987</v>
      </c>
      <c r="B10">
        <v>0.71733499999999994</v>
      </c>
      <c r="C10" t="s">
        <v>48</v>
      </c>
      <c r="D10">
        <v>0.71733499999999994</v>
      </c>
      <c r="E10">
        <v>0.16736699999999999</v>
      </c>
      <c r="F10">
        <v>0.59055899999999995</v>
      </c>
      <c r="G10">
        <v>0.62453599999999998</v>
      </c>
      <c r="H10">
        <v>1.2796460000000001</v>
      </c>
      <c r="I10">
        <v>0.62453599999999998</v>
      </c>
    </row>
    <row r="11" spans="1:9" x14ac:dyDescent="0.2">
      <c r="A11">
        <v>1988</v>
      </c>
      <c r="B11">
        <v>0.64558800000000005</v>
      </c>
      <c r="C11" t="s">
        <v>48</v>
      </c>
      <c r="D11">
        <v>0.64558800000000005</v>
      </c>
      <c r="E11">
        <v>1.4369999999999999E-3</v>
      </c>
      <c r="F11">
        <v>0.147481</v>
      </c>
      <c r="G11">
        <v>0.64158099999999996</v>
      </c>
      <c r="H11">
        <v>1.1410629999999999</v>
      </c>
      <c r="I11">
        <v>0.64158099999999996</v>
      </c>
    </row>
    <row r="12" spans="1:9" x14ac:dyDescent="0.2">
      <c r="A12">
        <v>1989</v>
      </c>
      <c r="B12">
        <v>0.65287700000000004</v>
      </c>
      <c r="C12" t="s">
        <v>48</v>
      </c>
      <c r="D12">
        <v>0.65287700000000004</v>
      </c>
      <c r="E12">
        <v>0.20130000000000001</v>
      </c>
      <c r="F12">
        <v>0.45808399999999999</v>
      </c>
      <c r="G12">
        <v>0.53228200000000003</v>
      </c>
      <c r="H12">
        <v>0.49379400000000001</v>
      </c>
      <c r="I12">
        <v>0.53228200000000003</v>
      </c>
    </row>
    <row r="13" spans="1:9" x14ac:dyDescent="0.2">
      <c r="A13">
        <v>1990</v>
      </c>
      <c r="B13">
        <v>0.56965100000000002</v>
      </c>
      <c r="C13" t="s">
        <v>48</v>
      </c>
      <c r="D13">
        <v>0.56965100000000002</v>
      </c>
      <c r="E13">
        <v>0.11144900000000001</v>
      </c>
      <c r="F13">
        <v>0.92508900000000005</v>
      </c>
      <c r="G13">
        <v>1.115864</v>
      </c>
      <c r="H13">
        <v>1.059569</v>
      </c>
      <c r="I13">
        <v>1.115864</v>
      </c>
    </row>
    <row r="14" spans="1:9" x14ac:dyDescent="0.2">
      <c r="A14">
        <v>1991</v>
      </c>
      <c r="B14">
        <v>0.62776900000000002</v>
      </c>
      <c r="C14" t="s">
        <v>48</v>
      </c>
      <c r="D14">
        <v>0.62776900000000002</v>
      </c>
      <c r="E14">
        <v>0.21873300000000001</v>
      </c>
      <c r="F14">
        <v>0.95169000000000004</v>
      </c>
      <c r="G14">
        <v>0.75667600000000002</v>
      </c>
      <c r="H14">
        <v>0.49101</v>
      </c>
      <c r="I14">
        <v>0.75667600000000002</v>
      </c>
    </row>
    <row r="15" spans="1:9" x14ac:dyDescent="0.2">
      <c r="A15">
        <v>1992</v>
      </c>
      <c r="B15">
        <v>0.43504100000000001</v>
      </c>
      <c r="C15" t="s">
        <v>48</v>
      </c>
      <c r="D15">
        <v>0.43504100000000001</v>
      </c>
      <c r="E15">
        <v>6.4174999999999996E-2</v>
      </c>
      <c r="F15">
        <v>0.53222499999999995</v>
      </c>
      <c r="G15">
        <v>0.38881500000000002</v>
      </c>
      <c r="H15">
        <v>0.20622699999999999</v>
      </c>
      <c r="I15">
        <v>0.38881500000000002</v>
      </c>
    </row>
    <row r="16" spans="1:9" x14ac:dyDescent="0.2">
      <c r="A16">
        <v>1993</v>
      </c>
      <c r="B16">
        <v>0.499164</v>
      </c>
      <c r="C16" t="s">
        <v>48</v>
      </c>
      <c r="D16">
        <v>0.499164</v>
      </c>
      <c r="E16">
        <v>2.0737999999999999E-2</v>
      </c>
      <c r="F16">
        <v>0.28809600000000002</v>
      </c>
      <c r="G16">
        <v>0.88732999999999995</v>
      </c>
      <c r="H16">
        <v>0.244617</v>
      </c>
      <c r="I16">
        <v>0.88732999999999995</v>
      </c>
    </row>
    <row r="17" spans="1:9" x14ac:dyDescent="0.2">
      <c r="A17">
        <v>1994</v>
      </c>
      <c r="B17">
        <v>0.59591300000000003</v>
      </c>
      <c r="C17" t="s">
        <v>48</v>
      </c>
      <c r="D17">
        <v>0.59591300000000003</v>
      </c>
      <c r="E17">
        <v>3.6247000000000001E-2</v>
      </c>
      <c r="F17">
        <v>0.12761</v>
      </c>
      <c r="G17">
        <v>0.65478700000000001</v>
      </c>
      <c r="H17">
        <v>0.153278</v>
      </c>
      <c r="I17">
        <v>0.65478700000000001</v>
      </c>
    </row>
    <row r="18" spans="1:9" x14ac:dyDescent="0.2">
      <c r="A18">
        <v>1995</v>
      </c>
      <c r="B18">
        <v>0.25400800000000001</v>
      </c>
      <c r="C18" t="s">
        <v>48</v>
      </c>
      <c r="D18">
        <v>0.25400800000000001</v>
      </c>
      <c r="E18">
        <v>4.6046999999999998E-2</v>
      </c>
      <c r="F18">
        <v>0.34127999999999997</v>
      </c>
      <c r="G18">
        <v>0.764517</v>
      </c>
      <c r="H18">
        <v>0.89184099999999999</v>
      </c>
      <c r="I18">
        <v>0.764517</v>
      </c>
    </row>
    <row r="19" spans="1:9" x14ac:dyDescent="0.2">
      <c r="A19">
        <v>1996</v>
      </c>
      <c r="B19">
        <v>0</v>
      </c>
      <c r="C19" t="s">
        <v>48</v>
      </c>
      <c r="D19">
        <v>0</v>
      </c>
      <c r="E19">
        <v>9.1086E-2</v>
      </c>
      <c r="F19">
        <v>0.61474399999999996</v>
      </c>
      <c r="G19">
        <v>0.53517199999999998</v>
      </c>
      <c r="H19">
        <v>0.46913199999999999</v>
      </c>
      <c r="I19">
        <v>0.53517199999999998</v>
      </c>
    </row>
    <row r="20" spans="1:9" x14ac:dyDescent="0.2">
      <c r="A20">
        <v>1997</v>
      </c>
      <c r="B20">
        <v>0.201487</v>
      </c>
      <c r="C20" t="s">
        <v>48</v>
      </c>
      <c r="D20">
        <v>0.201487</v>
      </c>
      <c r="E20">
        <v>0.148287</v>
      </c>
      <c r="F20">
        <v>0.60815699999999995</v>
      </c>
      <c r="G20">
        <v>1.4370670000000001</v>
      </c>
      <c r="H20">
        <v>7.9094999999999999E-2</v>
      </c>
      <c r="I20">
        <v>1.4370670000000001</v>
      </c>
    </row>
    <row r="21" spans="1:9" x14ac:dyDescent="0.2">
      <c r="A21">
        <v>1998</v>
      </c>
      <c r="B21">
        <v>0.37506400000000001</v>
      </c>
      <c r="C21" t="s">
        <v>48</v>
      </c>
      <c r="D21">
        <v>0.37506400000000001</v>
      </c>
      <c r="E21">
        <v>5.3294000000000001E-2</v>
      </c>
      <c r="F21">
        <v>0.15682099999999999</v>
      </c>
      <c r="G21">
        <v>0.91969100000000004</v>
      </c>
      <c r="H21">
        <v>0.37841000000000002</v>
      </c>
      <c r="I21">
        <v>0.91969100000000004</v>
      </c>
    </row>
    <row r="22" spans="1:9" x14ac:dyDescent="0.2">
      <c r="A22">
        <v>1999</v>
      </c>
      <c r="B22">
        <v>0.29823699999999997</v>
      </c>
      <c r="C22" t="s">
        <v>48</v>
      </c>
      <c r="D22">
        <v>0.29823699999999997</v>
      </c>
      <c r="E22">
        <v>0.109621</v>
      </c>
      <c r="F22">
        <v>0.26791700000000002</v>
      </c>
      <c r="G22">
        <v>0.956484</v>
      </c>
      <c r="H22">
        <v>0.10825600000000001</v>
      </c>
      <c r="I22">
        <v>0.956484</v>
      </c>
    </row>
    <row r="23" spans="1:9" x14ac:dyDescent="0.2">
      <c r="A23">
        <v>2000</v>
      </c>
      <c r="B23">
        <v>8.4414000000000003E-2</v>
      </c>
      <c r="C23" t="s">
        <v>48</v>
      </c>
      <c r="D23">
        <v>8.4414000000000003E-2</v>
      </c>
      <c r="E23">
        <v>8.6060999999999999E-2</v>
      </c>
      <c r="F23">
        <v>0.106308</v>
      </c>
      <c r="G23">
        <v>1.4083110000000001</v>
      </c>
      <c r="H23">
        <v>5.4128999999999997E-2</v>
      </c>
      <c r="I23">
        <v>1.4083110000000001</v>
      </c>
    </row>
    <row r="24" spans="1:9" x14ac:dyDescent="0.2">
      <c r="A24">
        <v>2001</v>
      </c>
      <c r="B24">
        <v>7.8909000000000007E-2</v>
      </c>
      <c r="C24" t="s">
        <v>48</v>
      </c>
      <c r="D24">
        <v>7.8909000000000007E-2</v>
      </c>
      <c r="E24">
        <v>7.1725999999999998E-2</v>
      </c>
      <c r="F24">
        <v>0.151363</v>
      </c>
      <c r="G24">
        <v>0.63140099999999999</v>
      </c>
      <c r="H24">
        <v>0.12492200000000001</v>
      </c>
      <c r="I24">
        <v>0.63140099999999999</v>
      </c>
    </row>
    <row r="25" spans="1:9" x14ac:dyDescent="0.2">
      <c r="A25">
        <v>2002</v>
      </c>
      <c r="B25">
        <v>0.29974699999999999</v>
      </c>
      <c r="C25" t="s">
        <v>48</v>
      </c>
      <c r="D25">
        <v>0.29974699999999999</v>
      </c>
      <c r="E25">
        <v>6.0729999999999999E-2</v>
      </c>
      <c r="F25">
        <v>0.12514600000000001</v>
      </c>
      <c r="G25">
        <v>1.1078509999999999</v>
      </c>
      <c r="H25">
        <v>0.14990300000000001</v>
      </c>
      <c r="I25">
        <v>1.1078509999999999</v>
      </c>
    </row>
    <row r="26" spans="1:9" x14ac:dyDescent="0.2">
      <c r="A26">
        <v>2003</v>
      </c>
      <c r="B26">
        <v>0.20691100000000001</v>
      </c>
      <c r="C26" t="s">
        <v>48</v>
      </c>
      <c r="D26">
        <v>0.20691100000000001</v>
      </c>
      <c r="E26">
        <v>6.1143000000000003E-2</v>
      </c>
      <c r="F26">
        <v>0.14066200000000001</v>
      </c>
      <c r="G26">
        <v>0.85247600000000001</v>
      </c>
      <c r="H26">
        <v>0.30802400000000002</v>
      </c>
      <c r="I26">
        <v>0.85247600000000001</v>
      </c>
    </row>
    <row r="27" spans="1:9" x14ac:dyDescent="0.2">
      <c r="A27">
        <v>2004</v>
      </c>
      <c r="B27">
        <v>0.269237</v>
      </c>
      <c r="C27" t="s">
        <v>48</v>
      </c>
      <c r="D27">
        <v>0.269237</v>
      </c>
      <c r="E27">
        <v>6.5856999999999999E-2</v>
      </c>
      <c r="F27">
        <v>0.17782400000000001</v>
      </c>
      <c r="G27">
        <v>0.924122</v>
      </c>
      <c r="H27">
        <v>0.28475400000000001</v>
      </c>
      <c r="I27">
        <v>0.924122</v>
      </c>
    </row>
    <row r="28" spans="1:9" x14ac:dyDescent="0.2">
      <c r="A28">
        <v>2005</v>
      </c>
      <c r="B28">
        <v>0.37848700000000002</v>
      </c>
      <c r="C28" t="s">
        <v>48</v>
      </c>
      <c r="D28">
        <v>0.37848700000000002</v>
      </c>
      <c r="E28">
        <v>0.109643</v>
      </c>
      <c r="F28">
        <v>0.23163300000000001</v>
      </c>
      <c r="G28">
        <v>1.2014359999999999</v>
      </c>
      <c r="H28">
        <v>0.40182000000000001</v>
      </c>
      <c r="I28">
        <v>1.2014359999999999</v>
      </c>
    </row>
    <row r="29" spans="1:9" x14ac:dyDescent="0.2">
      <c r="A29">
        <v>2006</v>
      </c>
      <c r="B29">
        <v>0.381023</v>
      </c>
      <c r="C29" t="s">
        <v>48</v>
      </c>
      <c r="D29">
        <v>0.381023</v>
      </c>
      <c r="E29">
        <v>0.119135</v>
      </c>
      <c r="F29">
        <v>0.72337300000000004</v>
      </c>
      <c r="G29">
        <v>1.373594</v>
      </c>
      <c r="H29">
        <v>0.110883</v>
      </c>
      <c r="I29">
        <v>1.373594</v>
      </c>
    </row>
    <row r="30" spans="1:9" x14ac:dyDescent="0.2">
      <c r="A30">
        <v>2007</v>
      </c>
      <c r="B30">
        <v>0.356512</v>
      </c>
      <c r="C30" t="s">
        <v>48</v>
      </c>
      <c r="D30">
        <v>0.356512</v>
      </c>
      <c r="E30">
        <v>0.14434</v>
      </c>
      <c r="F30">
        <v>0.94729099999999999</v>
      </c>
      <c r="G30">
        <v>1.168356</v>
      </c>
      <c r="H30">
        <v>0.176314</v>
      </c>
      <c r="I30">
        <v>1.168356</v>
      </c>
    </row>
    <row r="31" spans="1:9" x14ac:dyDescent="0.2">
      <c r="A31">
        <v>2008</v>
      </c>
      <c r="B31">
        <v>0.25494499999999998</v>
      </c>
      <c r="C31" t="s">
        <v>48</v>
      </c>
      <c r="D31">
        <v>0.25494499999999998</v>
      </c>
      <c r="E31">
        <v>7.8233999999999998E-2</v>
      </c>
      <c r="F31">
        <v>0.79416699999999996</v>
      </c>
      <c r="G31">
        <v>0.67721500000000001</v>
      </c>
      <c r="H31">
        <v>8.7006E-2</v>
      </c>
      <c r="I31">
        <v>0.67721500000000001</v>
      </c>
    </row>
    <row r="32" spans="1:9" x14ac:dyDescent="0.2">
      <c r="A32">
        <v>2009</v>
      </c>
      <c r="B32">
        <v>0.52383000000000002</v>
      </c>
      <c r="C32" t="s">
        <v>48</v>
      </c>
      <c r="D32">
        <v>0.52383000000000002</v>
      </c>
      <c r="E32">
        <v>0.147421</v>
      </c>
      <c r="F32">
        <v>0.35270000000000001</v>
      </c>
      <c r="G32">
        <v>1.059264</v>
      </c>
      <c r="H32">
        <v>0.14743200000000001</v>
      </c>
      <c r="I32">
        <v>1.059264</v>
      </c>
    </row>
    <row r="33" spans="1:9" x14ac:dyDescent="0.2">
      <c r="A33">
        <v>2010</v>
      </c>
      <c r="B33">
        <v>0.31394</v>
      </c>
      <c r="C33" t="s">
        <v>48</v>
      </c>
      <c r="D33">
        <v>0.31394</v>
      </c>
      <c r="E33">
        <v>4.3374999999999997E-2</v>
      </c>
      <c r="F33">
        <v>0.27829300000000001</v>
      </c>
      <c r="G33">
        <v>0.71734200000000004</v>
      </c>
      <c r="H33">
        <v>8.5780999999999996E-2</v>
      </c>
      <c r="I33">
        <v>0.71734200000000004</v>
      </c>
    </row>
    <row r="34" spans="1:9" x14ac:dyDescent="0.2">
      <c r="A34">
        <v>2011</v>
      </c>
      <c r="B34">
        <v>0.294348</v>
      </c>
      <c r="C34" t="s">
        <v>48</v>
      </c>
      <c r="D34">
        <v>0.294348</v>
      </c>
      <c r="E34">
        <v>4.8440999999999998E-2</v>
      </c>
      <c r="F34">
        <v>0.26268000000000002</v>
      </c>
      <c r="G34">
        <v>0.82819299999999996</v>
      </c>
      <c r="H34">
        <v>0.12692300000000001</v>
      </c>
      <c r="I34">
        <v>0.82819299999999996</v>
      </c>
    </row>
    <row r="35" spans="1:9" x14ac:dyDescent="0.2">
      <c r="A35">
        <v>2012</v>
      </c>
      <c r="B35">
        <v>0.34784100000000001</v>
      </c>
      <c r="C35" t="s">
        <v>48</v>
      </c>
      <c r="D35">
        <v>0.34784100000000001</v>
      </c>
      <c r="E35">
        <v>9.1717999999999994E-2</v>
      </c>
      <c r="F35">
        <v>0.18812000000000001</v>
      </c>
      <c r="G35">
        <v>1.0501320000000001</v>
      </c>
      <c r="H35">
        <v>9.4587000000000004E-2</v>
      </c>
      <c r="I35">
        <v>1.0501320000000001</v>
      </c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 t="s">
        <v>76</v>
      </c>
      <c r="B38" t="s">
        <v>91</v>
      </c>
      <c r="C38"/>
      <c r="D38"/>
      <c r="E38"/>
      <c r="F38"/>
      <c r="G38"/>
      <c r="H38"/>
      <c r="I38"/>
    </row>
    <row r="39" spans="1:9" x14ac:dyDescent="0.2">
      <c r="A39" t="s">
        <v>77</v>
      </c>
      <c r="B39" t="s">
        <v>92</v>
      </c>
      <c r="C39"/>
      <c r="D39"/>
      <c r="E39"/>
      <c r="F39"/>
      <c r="G39"/>
      <c r="H39"/>
      <c r="I39"/>
    </row>
    <row r="40" spans="1:9" x14ac:dyDescent="0.2">
      <c r="A40" t="s">
        <v>78</v>
      </c>
      <c r="B40" t="s">
        <v>90</v>
      </c>
      <c r="C40"/>
      <c r="D40"/>
      <c r="E40"/>
      <c r="F40"/>
      <c r="G40"/>
      <c r="H40"/>
      <c r="I40"/>
    </row>
    <row r="41" spans="1:9" x14ac:dyDescent="0.2">
      <c r="A41" t="s">
        <v>79</v>
      </c>
      <c r="B41" t="s">
        <v>88</v>
      </c>
      <c r="C41"/>
      <c r="D41"/>
      <c r="E41"/>
      <c r="F41"/>
      <c r="G41"/>
      <c r="H41"/>
      <c r="I41"/>
    </row>
    <row r="42" spans="1:9" x14ac:dyDescent="0.2">
      <c r="A42" t="s">
        <v>80</v>
      </c>
      <c r="B42" t="s">
        <v>93</v>
      </c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 t="s">
        <v>57</v>
      </c>
      <c r="B45" t="s">
        <v>58</v>
      </c>
      <c r="C45" t="s">
        <v>59</v>
      </c>
      <c r="D45" t="s">
        <v>69</v>
      </c>
      <c r="E45"/>
      <c r="F45"/>
      <c r="G45"/>
      <c r="H45"/>
      <c r="I45"/>
    </row>
    <row r="46" spans="1:9" x14ac:dyDescent="0.2">
      <c r="A46" t="s">
        <v>60</v>
      </c>
      <c r="B46" t="s">
        <v>58</v>
      </c>
      <c r="C46" t="s">
        <v>59</v>
      </c>
      <c r="D46"/>
      <c r="E46"/>
      <c r="F46"/>
      <c r="G46"/>
      <c r="H46"/>
      <c r="I46"/>
    </row>
    <row r="47" spans="1:9" x14ac:dyDescent="0.2">
      <c r="A47" t="s">
        <v>61</v>
      </c>
      <c r="B47" t="s">
        <v>62</v>
      </c>
      <c r="C47" t="s">
        <v>63</v>
      </c>
      <c r="D47" t="s">
        <v>59</v>
      </c>
      <c r="E47"/>
      <c r="F47"/>
      <c r="G47"/>
      <c r="H47"/>
      <c r="I47"/>
    </row>
    <row r="48" spans="1:9" x14ac:dyDescent="0.2">
      <c r="A48" s="47" t="s">
        <v>64</v>
      </c>
      <c r="B48" s="47" t="s">
        <v>58</v>
      </c>
      <c r="C48" s="47" t="s">
        <v>59</v>
      </c>
    </row>
    <row r="49" spans="1:3" x14ac:dyDescent="0.2">
      <c r="A49" s="47" t="s">
        <v>65</v>
      </c>
      <c r="B49" s="47" t="s">
        <v>58</v>
      </c>
      <c r="C49" s="47" t="s">
        <v>59</v>
      </c>
    </row>
    <row r="50" spans="1:3" x14ac:dyDescent="0.2">
      <c r="A50" s="4" t="s">
        <v>66</v>
      </c>
      <c r="B50" s="4" t="s">
        <v>58</v>
      </c>
      <c r="C50" s="4" t="s">
        <v>59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Q33"/>
  <sheetViews>
    <sheetView workbookViewId="0">
      <selection activeCell="B3" sqref="B3"/>
    </sheetView>
  </sheetViews>
  <sheetFormatPr defaultColWidth="9.33203125" defaultRowHeight="12.75" x14ac:dyDescent="0.2"/>
  <cols>
    <col min="1" max="16384" width="9.33203125" style="3"/>
  </cols>
  <sheetData>
    <row r="1" spans="1:121" x14ac:dyDescent="0.2">
      <c r="B1" s="3" t="s">
        <v>6</v>
      </c>
      <c r="F1" s="3" t="s">
        <v>7</v>
      </c>
      <c r="J1" s="3" t="s">
        <v>8</v>
      </c>
      <c r="N1" s="3" t="s">
        <v>9</v>
      </c>
      <c r="R1" s="3" t="s">
        <v>10</v>
      </c>
      <c r="V1" s="3" t="s">
        <v>11</v>
      </c>
      <c r="Z1" s="3" t="s">
        <v>12</v>
      </c>
      <c r="AD1" s="3" t="s">
        <v>13</v>
      </c>
      <c r="AH1" s="3" t="s">
        <v>14</v>
      </c>
      <c r="AL1" s="3" t="s">
        <v>15</v>
      </c>
      <c r="AP1" s="3" t="s">
        <v>16</v>
      </c>
      <c r="AT1" s="3" t="s">
        <v>17</v>
      </c>
      <c r="AX1" s="3" t="s">
        <v>18</v>
      </c>
      <c r="BB1" s="3" t="s">
        <v>19</v>
      </c>
      <c r="BF1" s="3" t="s">
        <v>20</v>
      </c>
      <c r="BJ1" s="3" t="s">
        <v>21</v>
      </c>
      <c r="BN1" s="3" t="s">
        <v>22</v>
      </c>
      <c r="BR1" s="3" t="s">
        <v>23</v>
      </c>
      <c r="BV1" s="3" t="s">
        <v>24</v>
      </c>
      <c r="BZ1" s="3" t="s">
        <v>25</v>
      </c>
      <c r="CD1" s="3" t="s">
        <v>26</v>
      </c>
      <c r="CH1" s="3" t="s">
        <v>27</v>
      </c>
      <c r="CL1" s="3" t="s">
        <v>28</v>
      </c>
      <c r="CP1" s="3" t="s">
        <v>29</v>
      </c>
      <c r="CT1" s="3" t="s">
        <v>30</v>
      </c>
      <c r="CX1" s="3" t="s">
        <v>31</v>
      </c>
      <c r="DB1" s="3" t="s">
        <v>32</v>
      </c>
      <c r="DF1" s="3" t="s">
        <v>33</v>
      </c>
      <c r="DJ1" s="3" t="s">
        <v>34</v>
      </c>
      <c r="DN1" s="3" t="s">
        <v>35</v>
      </c>
    </row>
    <row r="2" spans="1:121" x14ac:dyDescent="0.2">
      <c r="B2" s="3">
        <v>2</v>
      </c>
      <c r="C2" s="3">
        <v>3</v>
      </c>
      <c r="D2" s="3">
        <v>4</v>
      </c>
      <c r="E2" s="3">
        <v>5</v>
      </c>
      <c r="F2" s="3">
        <v>2</v>
      </c>
      <c r="G2" s="3">
        <v>3</v>
      </c>
      <c r="H2" s="3">
        <v>4</v>
      </c>
      <c r="I2" s="3">
        <v>5</v>
      </c>
      <c r="J2" s="3">
        <v>2</v>
      </c>
      <c r="K2" s="3">
        <v>3</v>
      </c>
      <c r="L2" s="3">
        <v>4</v>
      </c>
      <c r="M2" s="3">
        <v>5</v>
      </c>
      <c r="N2" s="3">
        <v>2</v>
      </c>
      <c r="O2" s="3">
        <v>3</v>
      </c>
      <c r="P2" s="3">
        <v>4</v>
      </c>
      <c r="Q2" s="3">
        <v>5</v>
      </c>
      <c r="R2" s="3">
        <v>2</v>
      </c>
      <c r="S2" s="3">
        <v>3</v>
      </c>
      <c r="T2" s="3">
        <v>4</v>
      </c>
      <c r="U2" s="3">
        <v>5</v>
      </c>
      <c r="V2" s="3">
        <v>2</v>
      </c>
      <c r="W2" s="3">
        <v>3</v>
      </c>
      <c r="X2" s="3">
        <v>4</v>
      </c>
      <c r="Y2" s="3">
        <v>5</v>
      </c>
      <c r="Z2" s="3">
        <v>2</v>
      </c>
      <c r="AA2" s="3">
        <v>3</v>
      </c>
      <c r="AB2" s="3">
        <v>4</v>
      </c>
      <c r="AC2" s="3">
        <v>5</v>
      </c>
      <c r="AD2" s="3">
        <v>2</v>
      </c>
      <c r="AE2" s="3">
        <v>3</v>
      </c>
      <c r="AF2" s="3">
        <v>4</v>
      </c>
      <c r="AG2" s="3">
        <v>5</v>
      </c>
      <c r="AH2" s="3">
        <v>2</v>
      </c>
      <c r="AI2" s="3">
        <v>3</v>
      </c>
      <c r="AJ2" s="3">
        <v>4</v>
      </c>
      <c r="AK2" s="3">
        <v>5</v>
      </c>
      <c r="AL2" s="3">
        <v>2</v>
      </c>
      <c r="AM2" s="3">
        <v>3</v>
      </c>
      <c r="AN2" s="3">
        <v>4</v>
      </c>
      <c r="AO2" s="3">
        <v>5</v>
      </c>
      <c r="AP2" s="3">
        <v>2</v>
      </c>
      <c r="AQ2" s="3">
        <v>3</v>
      </c>
      <c r="AR2" s="3">
        <v>4</v>
      </c>
      <c r="AS2" s="3">
        <v>5</v>
      </c>
      <c r="AT2" s="3">
        <v>2</v>
      </c>
      <c r="AU2" s="3">
        <v>3</v>
      </c>
      <c r="AV2" s="3">
        <v>4</v>
      </c>
      <c r="AW2" s="3">
        <v>5</v>
      </c>
      <c r="AX2" s="3">
        <v>2</v>
      </c>
      <c r="AY2" s="3">
        <v>3</v>
      </c>
      <c r="AZ2" s="3">
        <v>4</v>
      </c>
      <c r="BA2" s="3">
        <v>5</v>
      </c>
      <c r="BB2" s="3">
        <v>2</v>
      </c>
      <c r="BC2" s="3">
        <v>3</v>
      </c>
      <c r="BD2" s="3">
        <v>4</v>
      </c>
      <c r="BE2" s="3">
        <v>5</v>
      </c>
      <c r="BF2" s="3">
        <v>2</v>
      </c>
      <c r="BG2" s="3">
        <v>3</v>
      </c>
      <c r="BH2" s="3">
        <v>4</v>
      </c>
      <c r="BI2" s="3">
        <v>5</v>
      </c>
      <c r="BJ2" s="3">
        <v>2</v>
      </c>
      <c r="BK2" s="3">
        <v>3</v>
      </c>
      <c r="BL2" s="3">
        <v>4</v>
      </c>
      <c r="BM2" s="3">
        <v>5</v>
      </c>
      <c r="BN2" s="3">
        <v>2</v>
      </c>
      <c r="BO2" s="3">
        <v>3</v>
      </c>
      <c r="BP2" s="3">
        <v>4</v>
      </c>
      <c r="BQ2" s="3">
        <v>5</v>
      </c>
      <c r="BR2" s="3">
        <v>2</v>
      </c>
      <c r="BS2" s="3">
        <v>3</v>
      </c>
      <c r="BT2" s="3">
        <v>4</v>
      </c>
      <c r="BU2" s="3">
        <v>5</v>
      </c>
      <c r="BV2" s="3">
        <v>2</v>
      </c>
      <c r="BW2" s="3">
        <v>3</v>
      </c>
      <c r="BX2" s="3">
        <v>4</v>
      </c>
      <c r="BY2" s="3">
        <v>5</v>
      </c>
      <c r="BZ2" s="3">
        <v>2</v>
      </c>
      <c r="CA2" s="3">
        <v>3</v>
      </c>
      <c r="CB2" s="3">
        <v>4</v>
      </c>
      <c r="CC2" s="3">
        <v>5</v>
      </c>
      <c r="CD2" s="3">
        <v>2</v>
      </c>
      <c r="CE2" s="3">
        <v>3</v>
      </c>
      <c r="CF2" s="3">
        <v>4</v>
      </c>
      <c r="CG2" s="3">
        <v>5</v>
      </c>
      <c r="CH2" s="3">
        <v>2</v>
      </c>
      <c r="CI2" s="3">
        <v>3</v>
      </c>
      <c r="CJ2" s="3">
        <v>4</v>
      </c>
      <c r="CK2" s="3">
        <v>5</v>
      </c>
      <c r="CL2" s="3">
        <v>2</v>
      </c>
      <c r="CM2" s="3">
        <v>3</v>
      </c>
      <c r="CN2" s="3">
        <v>4</v>
      </c>
      <c r="CO2" s="3">
        <v>5</v>
      </c>
      <c r="CP2" s="3">
        <v>2</v>
      </c>
      <c r="CQ2" s="3">
        <v>3</v>
      </c>
      <c r="CR2" s="3">
        <v>4</v>
      </c>
      <c r="CS2" s="3">
        <v>5</v>
      </c>
      <c r="CT2" s="3">
        <v>2</v>
      </c>
      <c r="CU2" s="3">
        <v>3</v>
      </c>
      <c r="CV2" s="3">
        <v>4</v>
      </c>
      <c r="CW2" s="3">
        <v>5</v>
      </c>
      <c r="CX2" s="3">
        <v>2</v>
      </c>
      <c r="CY2" s="3">
        <v>3</v>
      </c>
      <c r="CZ2" s="3">
        <v>4</v>
      </c>
      <c r="DA2" s="3">
        <v>5</v>
      </c>
      <c r="DB2" s="3">
        <v>2</v>
      </c>
      <c r="DC2" s="3">
        <v>3</v>
      </c>
      <c r="DD2" s="3">
        <v>4</v>
      </c>
      <c r="DE2" s="3">
        <v>5</v>
      </c>
      <c r="DF2" s="3">
        <v>2</v>
      </c>
      <c r="DG2" s="3">
        <v>3</v>
      </c>
      <c r="DH2" s="3">
        <v>4</v>
      </c>
      <c r="DI2" s="3">
        <v>5</v>
      </c>
      <c r="DJ2" s="3">
        <v>2</v>
      </c>
      <c r="DK2" s="3">
        <v>3</v>
      </c>
      <c r="DL2" s="3">
        <v>4</v>
      </c>
      <c r="DM2" s="3">
        <v>5</v>
      </c>
      <c r="DN2" s="3">
        <v>2</v>
      </c>
      <c r="DO2" s="3">
        <v>3</v>
      </c>
      <c r="DP2" s="3">
        <v>4</v>
      </c>
      <c r="DQ2" s="3">
        <v>5</v>
      </c>
    </row>
    <row r="3" spans="1:121" x14ac:dyDescent="0.2">
      <c r="A3" s="3">
        <v>82</v>
      </c>
      <c r="B3" s="3">
        <f>CALCS!Q133</f>
        <v>0</v>
      </c>
      <c r="C3" s="3">
        <f>CALCS!Q164</f>
        <v>0.98153299999999999</v>
      </c>
      <c r="D3" s="3">
        <f>CALCS!Q195</f>
        <v>0.9815330000000001</v>
      </c>
      <c r="E3" s="3">
        <f>CALCS!Q226</f>
        <v>0.98153299999999988</v>
      </c>
      <c r="F3" s="3">
        <f>CALCS!Q257</f>
        <v>0.98153299999999999</v>
      </c>
      <c r="G3" s="3">
        <f>CALCS!Q288</f>
        <v>0.98153299999999988</v>
      </c>
      <c r="H3" s="3">
        <f>CALCS!Q319</f>
        <v>0.98153299999999999</v>
      </c>
      <c r="I3" s="3">
        <f>CALCS!Q350</f>
        <v>0.9815330000000001</v>
      </c>
      <c r="J3" s="3">
        <f>CALCS!Q381</f>
        <v>0.98153299999999999</v>
      </c>
      <c r="K3" s="3">
        <f>CALCS!Q412</f>
        <v>0</v>
      </c>
      <c r="L3" s="3">
        <f>CALCS!Q443</f>
        <v>0.98153299999999999</v>
      </c>
      <c r="M3" s="3">
        <f>CALCS!Q474</f>
        <v>0.98153299999999999</v>
      </c>
      <c r="N3" s="3">
        <f>CALCS!Q505</f>
        <v>0.98153299999999999</v>
      </c>
      <c r="O3" s="3">
        <f>CALCS!Q536</f>
        <v>0.98153299999999999</v>
      </c>
      <c r="P3" s="3">
        <f>CALCS!Q567</f>
        <v>0.98153299999999999</v>
      </c>
      <c r="Q3" s="3">
        <f>CALCS!Q598</f>
        <v>0.98153299999999999</v>
      </c>
      <c r="R3" s="3">
        <f>CALCS!Q629</f>
        <v>0</v>
      </c>
      <c r="S3" s="3">
        <f>CALCS!Q660</f>
        <v>0</v>
      </c>
      <c r="T3" s="3">
        <f>CALCS!Q691</f>
        <v>0</v>
      </c>
      <c r="U3" s="3">
        <f>CALCS!Q722</f>
        <v>0</v>
      </c>
      <c r="V3" s="3">
        <f>CALCS!Q753</f>
        <v>0</v>
      </c>
      <c r="W3" s="3">
        <f>CALCS!Q784</f>
        <v>0</v>
      </c>
      <c r="X3" s="3">
        <f>CALCS!Q815</f>
        <v>0</v>
      </c>
      <c r="Y3" s="3">
        <f>CALCS!Q846</f>
        <v>0</v>
      </c>
      <c r="Z3" s="3">
        <f>CALCS!Q877</f>
        <v>0</v>
      </c>
      <c r="AA3" s="3">
        <f>CALCS!Q908</f>
        <v>0</v>
      </c>
      <c r="AB3" s="3">
        <f>CALCS!Q939</f>
        <v>0</v>
      </c>
      <c r="AC3" s="3">
        <f>CALCS!Q970</f>
        <v>0</v>
      </c>
      <c r="AD3" s="3">
        <f>CALCS!Q1001</f>
        <v>0</v>
      </c>
      <c r="AE3" s="3">
        <f>CALCS!Q1032</f>
        <v>0</v>
      </c>
      <c r="AF3" s="3">
        <f>CALCS!Q1063</f>
        <v>0</v>
      </c>
      <c r="AG3" s="3">
        <f>CALCS!Q1094</f>
        <v>0</v>
      </c>
      <c r="AH3" s="3">
        <f>CALCS!Q1125</f>
        <v>0</v>
      </c>
      <c r="AI3" s="3">
        <f>CALCS!Q1156</f>
        <v>0</v>
      </c>
      <c r="AJ3" s="3">
        <f>CALCS!Q1187</f>
        <v>0</v>
      </c>
      <c r="AK3" s="3">
        <f>CALCS!Q1218</f>
        <v>0</v>
      </c>
      <c r="AL3" s="3">
        <f>CALCS!Q1249</f>
        <v>0</v>
      </c>
      <c r="AM3" s="3">
        <f>CALCS!Q1280</f>
        <v>0</v>
      </c>
      <c r="AN3" s="3">
        <f>CALCS!Q1311</f>
        <v>0</v>
      </c>
      <c r="AO3" s="3">
        <f>CALCS!Q1342</f>
        <v>0</v>
      </c>
      <c r="AP3" s="3">
        <f>CALCS!Q1373</f>
        <v>0</v>
      </c>
      <c r="AQ3" s="3">
        <f>CALCS!Q1404</f>
        <v>0</v>
      </c>
      <c r="AR3" s="3">
        <f>CALCS!Q1435</f>
        <v>0</v>
      </c>
      <c r="AS3" s="3">
        <f>CALCS!Q1466</f>
        <v>0</v>
      </c>
      <c r="AT3" s="3">
        <f>CALCS!Q1497</f>
        <v>0</v>
      </c>
      <c r="AU3" s="3">
        <f>CALCS!Q1528</f>
        <v>0</v>
      </c>
      <c r="AV3" s="3">
        <f>CALCS!Q1559</f>
        <v>0</v>
      </c>
      <c r="AW3" s="3">
        <f>CALCS!Q1590</f>
        <v>0</v>
      </c>
      <c r="AX3" s="3">
        <f>CALCS!Q1621</f>
        <v>0</v>
      </c>
      <c r="AY3" s="3">
        <f>CALCS!Q1652</f>
        <v>0</v>
      </c>
      <c r="AZ3" s="3">
        <f>CALCS!Q1683</f>
        <v>0</v>
      </c>
      <c r="BA3" s="3">
        <f>CALCS!Q1714</f>
        <v>0</v>
      </c>
      <c r="BB3" s="3">
        <f>CALCS!Q1745</f>
        <v>0</v>
      </c>
      <c r="BC3" s="3">
        <f>CALCS!Q1776</f>
        <v>0</v>
      </c>
      <c r="BD3" s="3">
        <f>CALCS!Q1807</f>
        <v>0</v>
      </c>
      <c r="BE3" s="3">
        <f>CALCS!Q1838</f>
        <v>0</v>
      </c>
      <c r="BF3" s="3">
        <f>CALCS!Q1869</f>
        <v>0</v>
      </c>
      <c r="BG3" s="3">
        <f>CALCS!Q1900</f>
        <v>0</v>
      </c>
      <c r="BH3" s="3">
        <f>CALCS!Q1931</f>
        <v>0</v>
      </c>
      <c r="BI3" s="3">
        <f>CALCS!Q1962</f>
        <v>0</v>
      </c>
      <c r="BJ3" s="3">
        <f>CALCS!Q1993</f>
        <v>0</v>
      </c>
      <c r="BK3" s="3">
        <f>CALCS!Q2024</f>
        <v>0</v>
      </c>
      <c r="BL3" s="3">
        <f>CALCS!Q2055</f>
        <v>0</v>
      </c>
      <c r="BM3" s="3">
        <f>CALCS!Q2086</f>
        <v>0</v>
      </c>
      <c r="BN3" s="3">
        <f>CALCS!Q2117</f>
        <v>0</v>
      </c>
      <c r="BO3" s="3">
        <f>CALCS!Q2148</f>
        <v>0</v>
      </c>
      <c r="BP3" s="3">
        <f>CALCS!Q2179</f>
        <v>0</v>
      </c>
      <c r="BQ3" s="3">
        <f>CALCS!Q2210</f>
        <v>0</v>
      </c>
      <c r="BR3" s="3">
        <f>CALCS!Q2241</f>
        <v>0</v>
      </c>
      <c r="BS3" s="3">
        <f>CALCS!Q2272</f>
        <v>0</v>
      </c>
      <c r="BT3" s="3">
        <f>CALCS!Q2303</f>
        <v>0</v>
      </c>
      <c r="BU3" s="3">
        <f>CALCS!Q2334</f>
        <v>0</v>
      </c>
      <c r="BV3" s="3">
        <f>CALCS!Q2365</f>
        <v>0</v>
      </c>
      <c r="BW3" s="3">
        <f>CALCS!Q2396</f>
        <v>0</v>
      </c>
      <c r="BX3" s="3">
        <f>CALCS!Q2427</f>
        <v>0</v>
      </c>
      <c r="BY3" s="3">
        <f>CALCS!Q2458</f>
        <v>0</v>
      </c>
      <c r="BZ3" s="3">
        <f>CALCS!Q2489</f>
        <v>0</v>
      </c>
      <c r="CA3" s="3">
        <f>CALCS!Q2520</f>
        <v>0</v>
      </c>
      <c r="CB3" s="3">
        <f>CALCS!Q2551</f>
        <v>0</v>
      </c>
      <c r="CC3" s="3">
        <f>CALCS!Q2582</f>
        <v>0</v>
      </c>
      <c r="CD3" s="3">
        <f>CALCS!Q2613</f>
        <v>0</v>
      </c>
      <c r="CE3" s="3">
        <f>CALCS!Q2644</f>
        <v>0</v>
      </c>
      <c r="CF3" s="3">
        <f>CALCS!Q2675</f>
        <v>0</v>
      </c>
      <c r="CG3" s="3">
        <f>CALCS!Q2706</f>
        <v>0</v>
      </c>
      <c r="CH3" s="3">
        <f>CALCS!Q2737</f>
        <v>0</v>
      </c>
      <c r="CI3" s="3">
        <f>CALCS!Q2768</f>
        <v>0</v>
      </c>
      <c r="CJ3" s="3">
        <f>CALCS!Q2799</f>
        <v>0</v>
      </c>
      <c r="CK3" s="3">
        <f>CALCS!Q2830</f>
        <v>0</v>
      </c>
      <c r="CL3" s="3">
        <f>CALCS!Q2861</f>
        <v>0</v>
      </c>
      <c r="CM3" s="3">
        <f>CALCS!Q2892</f>
        <v>0</v>
      </c>
      <c r="CN3" s="3">
        <f>CALCS!Q2923</f>
        <v>0</v>
      </c>
      <c r="CO3" s="3">
        <f>CALCS!Q2954</f>
        <v>0</v>
      </c>
      <c r="CP3" s="3">
        <f>CALCS!Q2985</f>
        <v>0</v>
      </c>
      <c r="CQ3" s="3">
        <f>CALCS!Q3016</f>
        <v>0</v>
      </c>
      <c r="CR3" s="3">
        <f>CALCS!Q3047</f>
        <v>0</v>
      </c>
      <c r="CS3" s="3">
        <f>CALCS!Q3078</f>
        <v>0</v>
      </c>
      <c r="CT3" s="3">
        <f>CALCS!Q3109</f>
        <v>0</v>
      </c>
      <c r="CU3" s="3">
        <f>CALCS!Q3140</f>
        <v>0</v>
      </c>
      <c r="CV3" s="3">
        <f>CALCS!Q3171</f>
        <v>0</v>
      </c>
      <c r="CW3" s="3">
        <f>CALCS!Q3202</f>
        <v>0</v>
      </c>
      <c r="CX3" s="3">
        <f>CALCS!Q3233</f>
        <v>0</v>
      </c>
      <c r="CY3" s="3">
        <f>CALCS!Q3264</f>
        <v>0</v>
      </c>
      <c r="CZ3" s="3">
        <f>CALCS!Q3295</f>
        <v>0</v>
      </c>
      <c r="DA3" s="3">
        <f>CALCS!Q3326</f>
        <v>0</v>
      </c>
      <c r="DB3" s="3">
        <f>CALCS!Q3357</f>
        <v>0</v>
      </c>
      <c r="DC3" s="3">
        <f>CALCS!Q3388</f>
        <v>0</v>
      </c>
      <c r="DD3" s="3">
        <f>CALCS!Q3419</f>
        <v>0</v>
      </c>
      <c r="DE3" s="3">
        <f>CALCS!Q3450</f>
        <v>0</v>
      </c>
      <c r="DF3" s="3">
        <f>CALCS!Q3481</f>
        <v>0</v>
      </c>
      <c r="DG3" s="3">
        <f>CALCS!Q3512</f>
        <v>0</v>
      </c>
      <c r="DH3" s="3">
        <f>CALCS!Q3543</f>
        <v>0</v>
      </c>
      <c r="DI3" s="3">
        <f>CALCS!Q3574</f>
        <v>0</v>
      </c>
      <c r="DJ3" s="3">
        <f>CALCS!Q3605</f>
        <v>0</v>
      </c>
      <c r="DK3" s="3">
        <f>CALCS!Q3636</f>
        <v>0</v>
      </c>
      <c r="DL3" s="3">
        <f>CALCS!Q3667</f>
        <v>0</v>
      </c>
      <c r="DM3" s="3">
        <f>CALCS!Q3698</f>
        <v>0</v>
      </c>
      <c r="DN3" s="3">
        <f>CALCS!Q3729</f>
        <v>0</v>
      </c>
      <c r="DO3" s="3">
        <f>CALCS!Q3760</f>
        <v>0</v>
      </c>
      <c r="DP3" s="3">
        <f>CALCS!Q3791</f>
        <v>0</v>
      </c>
      <c r="DQ3" s="3">
        <f>CALCS!Q3822</f>
        <v>0</v>
      </c>
    </row>
    <row r="4" spans="1:121" x14ac:dyDescent="0.2">
      <c r="A4" s="3">
        <f>A3+1</f>
        <v>83</v>
      </c>
      <c r="B4" s="3">
        <f>CALCS!Q134</f>
        <v>0</v>
      </c>
      <c r="C4" s="3">
        <f>CALCS!Q165</f>
        <v>0.93659899999999996</v>
      </c>
      <c r="D4" s="3">
        <f>CALCS!Q196</f>
        <v>0.93659899999999996</v>
      </c>
      <c r="E4" s="3">
        <f>CALCS!Q227</f>
        <v>0.93659899999999996</v>
      </c>
      <c r="F4" s="3">
        <f>CALCS!Q258</f>
        <v>0.93659900000000007</v>
      </c>
      <c r="G4" s="3">
        <f>CALCS!Q289</f>
        <v>0.93659899999999996</v>
      </c>
      <c r="H4" s="3">
        <f>CALCS!Q320</f>
        <v>0.93659899999999996</v>
      </c>
      <c r="I4" s="3">
        <f>CALCS!Q351</f>
        <v>0.93659899999999996</v>
      </c>
      <c r="J4" s="3">
        <f>CALCS!Q382</f>
        <v>0.93659899999999996</v>
      </c>
      <c r="K4" s="3">
        <f>CALCS!Q413</f>
        <v>0</v>
      </c>
      <c r="L4" s="3">
        <f>CALCS!Q444</f>
        <v>0.93659899999999996</v>
      </c>
      <c r="M4" s="3">
        <f>CALCS!Q475</f>
        <v>0.93659899999999996</v>
      </c>
      <c r="N4" s="3">
        <f>CALCS!Q506</f>
        <v>0.93659899999999985</v>
      </c>
      <c r="O4" s="3">
        <f>CALCS!Q537</f>
        <v>0.93659899999999996</v>
      </c>
      <c r="P4" s="3">
        <f>CALCS!Q568</f>
        <v>0.93659899999999996</v>
      </c>
      <c r="Q4" s="3">
        <f>CALCS!Q599</f>
        <v>0.93659899999999996</v>
      </c>
      <c r="R4" s="3">
        <f>CALCS!Q630</f>
        <v>0</v>
      </c>
      <c r="S4" s="3">
        <f>CALCS!Q661</f>
        <v>0</v>
      </c>
      <c r="T4" s="3">
        <f>CALCS!Q692</f>
        <v>0</v>
      </c>
      <c r="U4" s="3">
        <f>CALCS!Q723</f>
        <v>0</v>
      </c>
      <c r="V4" s="3">
        <f>CALCS!Q754</f>
        <v>0</v>
      </c>
      <c r="W4" s="3">
        <f>CALCS!Q785</f>
        <v>0</v>
      </c>
      <c r="X4" s="3">
        <f>CALCS!Q816</f>
        <v>0</v>
      </c>
      <c r="Y4" s="3">
        <f>CALCS!Q847</f>
        <v>0</v>
      </c>
      <c r="Z4" s="3">
        <f>CALCS!Q878</f>
        <v>0</v>
      </c>
      <c r="AA4" s="3">
        <f>CALCS!Q909</f>
        <v>0</v>
      </c>
      <c r="AB4" s="3">
        <f>CALCS!Q940</f>
        <v>0</v>
      </c>
      <c r="AC4" s="3">
        <f>CALCS!Q971</f>
        <v>0</v>
      </c>
      <c r="AD4" s="3">
        <f>CALCS!Q1002</f>
        <v>0</v>
      </c>
      <c r="AE4" s="3">
        <f>CALCS!Q1033</f>
        <v>0</v>
      </c>
      <c r="AF4" s="3">
        <f>CALCS!Q1064</f>
        <v>0</v>
      </c>
      <c r="AG4" s="3">
        <f>CALCS!Q1095</f>
        <v>0</v>
      </c>
      <c r="AH4" s="3">
        <f>CALCS!Q1126</f>
        <v>0</v>
      </c>
      <c r="AI4" s="3">
        <f>CALCS!Q1157</f>
        <v>0</v>
      </c>
      <c r="AJ4" s="3">
        <f>CALCS!Q1188</f>
        <v>0</v>
      </c>
      <c r="AK4" s="3">
        <f>CALCS!Q1219</f>
        <v>0</v>
      </c>
      <c r="AL4" s="3">
        <f>CALCS!Q1250</f>
        <v>0</v>
      </c>
      <c r="AM4" s="3">
        <f>CALCS!Q1281</f>
        <v>0</v>
      </c>
      <c r="AN4" s="3">
        <f>CALCS!Q1312</f>
        <v>0</v>
      </c>
      <c r="AO4" s="3">
        <f>CALCS!Q1343</f>
        <v>0</v>
      </c>
      <c r="AP4" s="3">
        <f>CALCS!Q1374</f>
        <v>0</v>
      </c>
      <c r="AQ4" s="3">
        <f>CALCS!Q1405</f>
        <v>0</v>
      </c>
      <c r="AR4" s="3">
        <f>CALCS!Q1436</f>
        <v>0</v>
      </c>
      <c r="AS4" s="3">
        <f>CALCS!Q1467</f>
        <v>0</v>
      </c>
      <c r="AT4" s="3">
        <f>CALCS!Q1498</f>
        <v>0</v>
      </c>
      <c r="AU4" s="3">
        <f>CALCS!Q1529</f>
        <v>0</v>
      </c>
      <c r="AV4" s="3">
        <f>CALCS!Q1560</f>
        <v>0</v>
      </c>
      <c r="AW4" s="3">
        <f>CALCS!Q1591</f>
        <v>0</v>
      </c>
      <c r="AX4" s="3">
        <f>CALCS!Q1622</f>
        <v>0</v>
      </c>
      <c r="AY4" s="3">
        <f>CALCS!Q1653</f>
        <v>0</v>
      </c>
      <c r="AZ4" s="3">
        <f>CALCS!Q1684</f>
        <v>0</v>
      </c>
      <c r="BA4" s="3">
        <f>CALCS!Q1715</f>
        <v>0</v>
      </c>
      <c r="BB4" s="3">
        <f>CALCS!Q1746</f>
        <v>0</v>
      </c>
      <c r="BC4" s="3">
        <f>CALCS!Q1777</f>
        <v>0</v>
      </c>
      <c r="BD4" s="3">
        <f>CALCS!Q1808</f>
        <v>0</v>
      </c>
      <c r="BE4" s="3">
        <f>CALCS!Q1839</f>
        <v>0</v>
      </c>
      <c r="BF4" s="3">
        <f>CALCS!Q1870</f>
        <v>0</v>
      </c>
      <c r="BG4" s="3">
        <f>CALCS!Q1901</f>
        <v>0</v>
      </c>
      <c r="BH4" s="3">
        <f>CALCS!Q1932</f>
        <v>0</v>
      </c>
      <c r="BI4" s="3">
        <f>CALCS!Q1963</f>
        <v>0</v>
      </c>
      <c r="BJ4" s="3">
        <f>CALCS!Q1994</f>
        <v>0</v>
      </c>
      <c r="BK4" s="3">
        <f>CALCS!Q2025</f>
        <v>0</v>
      </c>
      <c r="BL4" s="3">
        <f>CALCS!Q2056</f>
        <v>0</v>
      </c>
      <c r="BM4" s="3">
        <f>CALCS!Q2087</f>
        <v>0</v>
      </c>
      <c r="BN4" s="3">
        <f>CALCS!Q2118</f>
        <v>0</v>
      </c>
      <c r="BO4" s="3">
        <f>CALCS!Q2149</f>
        <v>0</v>
      </c>
      <c r="BP4" s="3">
        <f>CALCS!Q2180</f>
        <v>0</v>
      </c>
      <c r="BQ4" s="3">
        <f>CALCS!Q2211</f>
        <v>0</v>
      </c>
      <c r="BR4" s="3">
        <f>CALCS!Q2242</f>
        <v>0</v>
      </c>
      <c r="BS4" s="3">
        <f>CALCS!Q2273</f>
        <v>0</v>
      </c>
      <c r="BT4" s="3">
        <f>CALCS!Q2304</f>
        <v>0</v>
      </c>
      <c r="BU4" s="3">
        <f>CALCS!Q2335</f>
        <v>0</v>
      </c>
      <c r="BV4" s="3">
        <f>CALCS!Q2366</f>
        <v>0</v>
      </c>
      <c r="BW4" s="3">
        <f>CALCS!Q2397</f>
        <v>0</v>
      </c>
      <c r="BX4" s="3">
        <f>CALCS!Q2428</f>
        <v>0</v>
      </c>
      <c r="BY4" s="3">
        <f>CALCS!Q2459</f>
        <v>0</v>
      </c>
      <c r="BZ4" s="3">
        <f>CALCS!Q2490</f>
        <v>0</v>
      </c>
      <c r="CA4" s="3">
        <f>CALCS!Q2521</f>
        <v>0</v>
      </c>
      <c r="CB4" s="3">
        <f>CALCS!Q2552</f>
        <v>0</v>
      </c>
      <c r="CC4" s="3">
        <f>CALCS!Q2583</f>
        <v>0</v>
      </c>
      <c r="CD4" s="3">
        <f>CALCS!Q2614</f>
        <v>0</v>
      </c>
      <c r="CE4" s="3">
        <f>CALCS!Q2645</f>
        <v>0</v>
      </c>
      <c r="CF4" s="3">
        <f>CALCS!Q2676</f>
        <v>0</v>
      </c>
      <c r="CG4" s="3">
        <f>CALCS!Q2707</f>
        <v>0</v>
      </c>
      <c r="CH4" s="3">
        <f>CALCS!Q2738</f>
        <v>0</v>
      </c>
      <c r="CI4" s="3">
        <f>CALCS!Q2769</f>
        <v>0</v>
      </c>
      <c r="CJ4" s="3">
        <f>CALCS!Q2800</f>
        <v>0</v>
      </c>
      <c r="CK4" s="3">
        <f>CALCS!Q2831</f>
        <v>0</v>
      </c>
      <c r="CL4" s="3">
        <f>CALCS!Q2862</f>
        <v>0</v>
      </c>
      <c r="CM4" s="3">
        <f>CALCS!Q2893</f>
        <v>0</v>
      </c>
      <c r="CN4" s="3">
        <f>CALCS!Q2924</f>
        <v>0</v>
      </c>
      <c r="CO4" s="3">
        <f>CALCS!Q2955</f>
        <v>0</v>
      </c>
      <c r="CP4" s="3">
        <f>CALCS!Q2986</f>
        <v>0</v>
      </c>
      <c r="CQ4" s="3">
        <f>CALCS!Q3017</f>
        <v>0</v>
      </c>
      <c r="CR4" s="3">
        <f>CALCS!Q3048</f>
        <v>0</v>
      </c>
      <c r="CS4" s="3">
        <f>CALCS!Q3079</f>
        <v>0</v>
      </c>
      <c r="CT4" s="3">
        <f>CALCS!Q3110</f>
        <v>0</v>
      </c>
      <c r="CU4" s="3">
        <f>CALCS!Q3141</f>
        <v>0</v>
      </c>
      <c r="CV4" s="3">
        <f>CALCS!Q3172</f>
        <v>0</v>
      </c>
      <c r="CW4" s="3">
        <f>CALCS!Q3203</f>
        <v>0</v>
      </c>
      <c r="CX4" s="3">
        <f>CALCS!Q3234</f>
        <v>0</v>
      </c>
      <c r="CY4" s="3">
        <f>CALCS!Q3265</f>
        <v>0</v>
      </c>
      <c r="CZ4" s="3">
        <f>CALCS!Q3296</f>
        <v>0</v>
      </c>
      <c r="DA4" s="3">
        <f>CALCS!Q3327</f>
        <v>0</v>
      </c>
      <c r="DB4" s="3">
        <f>CALCS!Q3358</f>
        <v>0</v>
      </c>
      <c r="DC4" s="3">
        <f>CALCS!Q3389</f>
        <v>0</v>
      </c>
      <c r="DD4" s="3">
        <f>CALCS!Q3420</f>
        <v>0</v>
      </c>
      <c r="DE4" s="3">
        <f>CALCS!Q3451</f>
        <v>0</v>
      </c>
      <c r="DF4" s="3">
        <f>CALCS!Q3482</f>
        <v>0</v>
      </c>
      <c r="DG4" s="3">
        <f>CALCS!Q3513</f>
        <v>0</v>
      </c>
      <c r="DH4" s="3">
        <f>CALCS!Q3544</f>
        <v>0</v>
      </c>
      <c r="DI4" s="3">
        <f>CALCS!Q3575</f>
        <v>0</v>
      </c>
      <c r="DJ4" s="3">
        <f>CALCS!Q3606</f>
        <v>0</v>
      </c>
      <c r="DK4" s="3">
        <f>CALCS!Q3637</f>
        <v>0</v>
      </c>
      <c r="DL4" s="3">
        <f>CALCS!Q3668</f>
        <v>0</v>
      </c>
      <c r="DM4" s="3">
        <f>CALCS!Q3699</f>
        <v>0</v>
      </c>
      <c r="DN4" s="3">
        <f>CALCS!Q3730</f>
        <v>0</v>
      </c>
      <c r="DO4" s="3">
        <f>CALCS!Q3761</f>
        <v>0</v>
      </c>
      <c r="DP4" s="3">
        <f>CALCS!Q3792</f>
        <v>0</v>
      </c>
      <c r="DQ4" s="3">
        <f>CALCS!Q3823</f>
        <v>0</v>
      </c>
    </row>
    <row r="5" spans="1:121" x14ac:dyDescent="0.2">
      <c r="A5" s="3">
        <f t="shared" ref="A5:A16" si="0">A4+1</f>
        <v>84</v>
      </c>
      <c r="B5" s="3">
        <f>CALCS!Q135</f>
        <v>0</v>
      </c>
      <c r="C5" s="3">
        <f>CALCS!Q166</f>
        <v>0.92793599999999987</v>
      </c>
      <c r="D5" s="3">
        <f>CALCS!Q197</f>
        <v>0.92793600000000009</v>
      </c>
      <c r="E5" s="3">
        <f>CALCS!Q228</f>
        <v>0.92793599999999998</v>
      </c>
      <c r="F5" s="3">
        <f>CALCS!Q259</f>
        <v>0.92793599999999998</v>
      </c>
      <c r="G5" s="3">
        <f>CALCS!Q290</f>
        <v>0.92793600000000009</v>
      </c>
      <c r="H5" s="3">
        <f>CALCS!Q321</f>
        <v>0.92793599999999998</v>
      </c>
      <c r="I5" s="3">
        <f>CALCS!Q352</f>
        <v>0.92793599999999998</v>
      </c>
      <c r="J5" s="3">
        <f>CALCS!Q383</f>
        <v>0.92793600000000009</v>
      </c>
      <c r="K5" s="3">
        <f>CALCS!Q414</f>
        <v>0</v>
      </c>
      <c r="L5" s="3">
        <f>CALCS!Q445</f>
        <v>0.92793599999999998</v>
      </c>
      <c r="M5" s="3">
        <f>CALCS!Q476</f>
        <v>0.92793599999999998</v>
      </c>
      <c r="N5" s="3">
        <f>CALCS!Q507</f>
        <v>0.92793599999999998</v>
      </c>
      <c r="O5" s="3">
        <f>CALCS!Q538</f>
        <v>0.92793599999999998</v>
      </c>
      <c r="P5" s="3">
        <f>CALCS!Q569</f>
        <v>0.92793599999999998</v>
      </c>
      <c r="Q5" s="3">
        <f>CALCS!Q600</f>
        <v>0.92793599999999998</v>
      </c>
      <c r="R5" s="3">
        <f>CALCS!Q631</f>
        <v>0</v>
      </c>
      <c r="S5" s="3">
        <f>CALCS!Q662</f>
        <v>0</v>
      </c>
      <c r="T5" s="3">
        <f>CALCS!Q693</f>
        <v>0</v>
      </c>
      <c r="U5" s="3">
        <f>CALCS!Q724</f>
        <v>0</v>
      </c>
      <c r="V5" s="3">
        <f>CALCS!Q755</f>
        <v>0</v>
      </c>
      <c r="W5" s="3">
        <f>CALCS!Q786</f>
        <v>0</v>
      </c>
      <c r="X5" s="3">
        <f>CALCS!Q817</f>
        <v>0</v>
      </c>
      <c r="Y5" s="3">
        <f>CALCS!Q848</f>
        <v>0</v>
      </c>
      <c r="Z5" s="3">
        <f>CALCS!Q879</f>
        <v>0</v>
      </c>
      <c r="AA5" s="3">
        <f>CALCS!Q910</f>
        <v>0</v>
      </c>
      <c r="AB5" s="3">
        <f>CALCS!Q941</f>
        <v>0</v>
      </c>
      <c r="AC5" s="3">
        <f>CALCS!Q972</f>
        <v>0</v>
      </c>
      <c r="AD5" s="3">
        <f>CALCS!Q1003</f>
        <v>0</v>
      </c>
      <c r="AE5" s="3">
        <f>CALCS!Q1034</f>
        <v>0</v>
      </c>
      <c r="AF5" s="3">
        <f>CALCS!Q1065</f>
        <v>0</v>
      </c>
      <c r="AG5" s="3">
        <f>CALCS!Q1096</f>
        <v>0</v>
      </c>
      <c r="AH5" s="3">
        <f>CALCS!Q1127</f>
        <v>0</v>
      </c>
      <c r="AI5" s="3">
        <f>CALCS!Q1158</f>
        <v>0</v>
      </c>
      <c r="AJ5" s="3">
        <f>CALCS!Q1189</f>
        <v>0</v>
      </c>
      <c r="AK5" s="3">
        <f>CALCS!Q1220</f>
        <v>0</v>
      </c>
      <c r="AL5" s="3">
        <f>CALCS!Q1251</f>
        <v>0</v>
      </c>
      <c r="AM5" s="3">
        <f>CALCS!Q1282</f>
        <v>0</v>
      </c>
      <c r="AN5" s="3">
        <f>CALCS!Q1313</f>
        <v>0</v>
      </c>
      <c r="AO5" s="3">
        <f>CALCS!Q1344</f>
        <v>0</v>
      </c>
      <c r="AP5" s="3">
        <f>CALCS!Q1375</f>
        <v>0</v>
      </c>
      <c r="AQ5" s="3">
        <f>CALCS!Q1406</f>
        <v>0</v>
      </c>
      <c r="AR5" s="3">
        <f>CALCS!Q1437</f>
        <v>0</v>
      </c>
      <c r="AS5" s="3">
        <f>CALCS!Q1468</f>
        <v>0</v>
      </c>
      <c r="AT5" s="3">
        <f>CALCS!Q1499</f>
        <v>0</v>
      </c>
      <c r="AU5" s="3">
        <f>CALCS!Q1530</f>
        <v>0</v>
      </c>
      <c r="AV5" s="3">
        <f>CALCS!Q1561</f>
        <v>0</v>
      </c>
      <c r="AW5" s="3">
        <f>CALCS!Q1592</f>
        <v>0</v>
      </c>
      <c r="AX5" s="3">
        <f>CALCS!Q1623</f>
        <v>0</v>
      </c>
      <c r="AY5" s="3">
        <f>CALCS!Q1654</f>
        <v>0</v>
      </c>
      <c r="AZ5" s="3">
        <f>CALCS!Q1685</f>
        <v>0</v>
      </c>
      <c r="BA5" s="3">
        <f>CALCS!Q1716</f>
        <v>0</v>
      </c>
      <c r="BB5" s="3">
        <f>CALCS!Q1747</f>
        <v>0</v>
      </c>
      <c r="BC5" s="3">
        <f>CALCS!Q1778</f>
        <v>0</v>
      </c>
      <c r="BD5" s="3">
        <f>CALCS!Q1809</f>
        <v>0</v>
      </c>
      <c r="BE5" s="3">
        <f>CALCS!Q1840</f>
        <v>0</v>
      </c>
      <c r="BF5" s="3">
        <f>CALCS!Q1871</f>
        <v>0</v>
      </c>
      <c r="BG5" s="3">
        <f>CALCS!Q1902</f>
        <v>0</v>
      </c>
      <c r="BH5" s="3">
        <f>CALCS!Q1933</f>
        <v>0</v>
      </c>
      <c r="BI5" s="3">
        <f>CALCS!Q1964</f>
        <v>0</v>
      </c>
      <c r="BJ5" s="3">
        <f>CALCS!Q1995</f>
        <v>0</v>
      </c>
      <c r="BK5" s="3">
        <f>CALCS!Q2026</f>
        <v>0</v>
      </c>
      <c r="BL5" s="3">
        <f>CALCS!Q2057</f>
        <v>0</v>
      </c>
      <c r="BM5" s="3">
        <f>CALCS!Q2088</f>
        <v>0</v>
      </c>
      <c r="BN5" s="3">
        <f>CALCS!Q2119</f>
        <v>0</v>
      </c>
      <c r="BO5" s="3">
        <f>CALCS!Q2150</f>
        <v>0</v>
      </c>
      <c r="BP5" s="3">
        <f>CALCS!Q2181</f>
        <v>0</v>
      </c>
      <c r="BQ5" s="3">
        <f>CALCS!Q2212</f>
        <v>0</v>
      </c>
      <c r="BR5" s="3">
        <f>CALCS!Q2243</f>
        <v>0</v>
      </c>
      <c r="BS5" s="3">
        <f>CALCS!Q2274</f>
        <v>0</v>
      </c>
      <c r="BT5" s="3">
        <f>CALCS!Q2305</f>
        <v>0</v>
      </c>
      <c r="BU5" s="3">
        <f>CALCS!Q2336</f>
        <v>0</v>
      </c>
      <c r="BV5" s="3">
        <f>CALCS!Q2367</f>
        <v>0</v>
      </c>
      <c r="BW5" s="3">
        <f>CALCS!Q2398</f>
        <v>0</v>
      </c>
      <c r="BX5" s="3">
        <f>CALCS!Q2429</f>
        <v>0</v>
      </c>
      <c r="BY5" s="3">
        <f>CALCS!Q2460</f>
        <v>0</v>
      </c>
      <c r="BZ5" s="3">
        <f>CALCS!Q2491</f>
        <v>0</v>
      </c>
      <c r="CA5" s="3">
        <f>CALCS!Q2522</f>
        <v>0</v>
      </c>
      <c r="CB5" s="3">
        <f>CALCS!Q2553</f>
        <v>0</v>
      </c>
      <c r="CC5" s="3">
        <f>CALCS!Q2584</f>
        <v>0</v>
      </c>
      <c r="CD5" s="3">
        <f>CALCS!Q2615</f>
        <v>0</v>
      </c>
      <c r="CE5" s="3">
        <f>CALCS!Q2646</f>
        <v>0</v>
      </c>
      <c r="CF5" s="3">
        <f>CALCS!Q2677</f>
        <v>0</v>
      </c>
      <c r="CG5" s="3">
        <f>CALCS!Q2708</f>
        <v>0</v>
      </c>
      <c r="CH5" s="3">
        <f>CALCS!Q2739</f>
        <v>0</v>
      </c>
      <c r="CI5" s="3">
        <f>CALCS!Q2770</f>
        <v>0</v>
      </c>
      <c r="CJ5" s="3">
        <f>CALCS!Q2801</f>
        <v>0</v>
      </c>
      <c r="CK5" s="3">
        <f>CALCS!Q2832</f>
        <v>0</v>
      </c>
      <c r="CL5" s="3">
        <f>CALCS!Q2863</f>
        <v>0</v>
      </c>
      <c r="CM5" s="3">
        <f>CALCS!Q2894</f>
        <v>0</v>
      </c>
      <c r="CN5" s="3">
        <f>CALCS!Q2925</f>
        <v>0</v>
      </c>
      <c r="CO5" s="3">
        <f>CALCS!Q2956</f>
        <v>0</v>
      </c>
      <c r="CP5" s="3">
        <f>CALCS!Q2987</f>
        <v>0</v>
      </c>
      <c r="CQ5" s="3">
        <f>CALCS!Q3018</f>
        <v>0</v>
      </c>
      <c r="CR5" s="3">
        <f>CALCS!Q3049</f>
        <v>0</v>
      </c>
      <c r="CS5" s="3">
        <f>CALCS!Q3080</f>
        <v>0</v>
      </c>
      <c r="CT5" s="3">
        <f>CALCS!Q3111</f>
        <v>0</v>
      </c>
      <c r="CU5" s="3">
        <f>CALCS!Q3142</f>
        <v>0</v>
      </c>
      <c r="CV5" s="3">
        <f>CALCS!Q3173</f>
        <v>0</v>
      </c>
      <c r="CW5" s="3">
        <f>CALCS!Q3204</f>
        <v>0</v>
      </c>
      <c r="CX5" s="3">
        <f>CALCS!Q3235</f>
        <v>0</v>
      </c>
      <c r="CY5" s="3">
        <f>CALCS!Q3266</f>
        <v>0</v>
      </c>
      <c r="CZ5" s="3">
        <f>CALCS!Q3297</f>
        <v>0</v>
      </c>
      <c r="DA5" s="3">
        <f>CALCS!Q3328</f>
        <v>0</v>
      </c>
      <c r="DB5" s="3">
        <f>CALCS!Q3359</f>
        <v>0</v>
      </c>
      <c r="DC5" s="3">
        <f>CALCS!Q3390</f>
        <v>0</v>
      </c>
      <c r="DD5" s="3">
        <f>CALCS!Q3421</f>
        <v>0</v>
      </c>
      <c r="DE5" s="3">
        <f>CALCS!Q3452</f>
        <v>0</v>
      </c>
      <c r="DF5" s="3">
        <f>CALCS!Q3483</f>
        <v>0</v>
      </c>
      <c r="DG5" s="3">
        <f>CALCS!Q3514</f>
        <v>0</v>
      </c>
      <c r="DH5" s="3">
        <f>CALCS!Q3545</f>
        <v>0</v>
      </c>
      <c r="DI5" s="3">
        <f>CALCS!Q3576</f>
        <v>0</v>
      </c>
      <c r="DJ5" s="3">
        <f>CALCS!Q3607</f>
        <v>0</v>
      </c>
      <c r="DK5" s="3">
        <f>CALCS!Q3638</f>
        <v>0</v>
      </c>
      <c r="DL5" s="3">
        <f>CALCS!Q3669</f>
        <v>0</v>
      </c>
      <c r="DM5" s="3">
        <f>CALCS!Q3700</f>
        <v>0</v>
      </c>
      <c r="DN5" s="3">
        <f>CALCS!Q3731</f>
        <v>0</v>
      </c>
      <c r="DO5" s="3">
        <f>CALCS!Q3762</f>
        <v>0</v>
      </c>
      <c r="DP5" s="3">
        <f>CALCS!Q3793</f>
        <v>0</v>
      </c>
      <c r="DQ5" s="3">
        <f>CALCS!Q3824</f>
        <v>0</v>
      </c>
    </row>
    <row r="6" spans="1:121" x14ac:dyDescent="0.2">
      <c r="A6" s="3">
        <f t="shared" si="0"/>
        <v>85</v>
      </c>
      <c r="B6" s="3">
        <f>CALCS!Q136</f>
        <v>0</v>
      </c>
      <c r="C6" s="3">
        <f>CALCS!Q167</f>
        <v>0.90386500000000014</v>
      </c>
      <c r="D6" s="3">
        <f>CALCS!Q198</f>
        <v>0.90386500000000003</v>
      </c>
      <c r="E6" s="3">
        <f>CALCS!Q229</f>
        <v>0.90386500000000003</v>
      </c>
      <c r="F6" s="3">
        <f>CALCS!Q260</f>
        <v>0.90386500000000003</v>
      </c>
      <c r="G6" s="3">
        <f>CALCS!Q291</f>
        <v>0.90386499999999992</v>
      </c>
      <c r="H6" s="3">
        <f>CALCS!Q322</f>
        <v>0.90386500000000003</v>
      </c>
      <c r="I6" s="3">
        <f>CALCS!Q353</f>
        <v>0.90386500000000003</v>
      </c>
      <c r="J6" s="3">
        <f>CALCS!Q384</f>
        <v>0.90386500000000003</v>
      </c>
      <c r="K6" s="3">
        <f>CALCS!Q415</f>
        <v>0</v>
      </c>
      <c r="L6" s="3">
        <f>CALCS!Q446</f>
        <v>0.90386500000000003</v>
      </c>
      <c r="M6" s="3">
        <f>CALCS!Q477</f>
        <v>0.90386500000000003</v>
      </c>
      <c r="N6" s="3">
        <f>CALCS!Q508</f>
        <v>0.90386500000000014</v>
      </c>
      <c r="O6" s="3">
        <f>CALCS!Q539</f>
        <v>0.90386499999999992</v>
      </c>
      <c r="P6" s="3">
        <f>CALCS!Q570</f>
        <v>0.90386500000000003</v>
      </c>
      <c r="Q6" s="3">
        <f>CALCS!Q601</f>
        <v>0.90386500000000014</v>
      </c>
      <c r="R6" s="3">
        <f>CALCS!Q632</f>
        <v>0</v>
      </c>
      <c r="S6" s="3">
        <f>CALCS!Q663</f>
        <v>0</v>
      </c>
      <c r="T6" s="3">
        <f>CALCS!Q694</f>
        <v>0</v>
      </c>
      <c r="U6" s="3">
        <f>CALCS!Q725</f>
        <v>0</v>
      </c>
      <c r="V6" s="3">
        <f>CALCS!Q756</f>
        <v>0</v>
      </c>
      <c r="W6" s="3">
        <f>CALCS!Q787</f>
        <v>0</v>
      </c>
      <c r="X6" s="3">
        <f>CALCS!Q818</f>
        <v>0</v>
      </c>
      <c r="Y6" s="3">
        <f>CALCS!Q849</f>
        <v>0</v>
      </c>
      <c r="Z6" s="3">
        <f>CALCS!Q880</f>
        <v>0</v>
      </c>
      <c r="AA6" s="3">
        <f>CALCS!Q911</f>
        <v>0</v>
      </c>
      <c r="AB6" s="3">
        <f>CALCS!Q942</f>
        <v>0</v>
      </c>
      <c r="AC6" s="3">
        <f>CALCS!Q973</f>
        <v>0</v>
      </c>
      <c r="AD6" s="3">
        <f>CALCS!Q1004</f>
        <v>0</v>
      </c>
      <c r="AE6" s="3">
        <f>CALCS!Q1035</f>
        <v>0</v>
      </c>
      <c r="AF6" s="3">
        <f>CALCS!Q1066</f>
        <v>0</v>
      </c>
      <c r="AG6" s="3">
        <f>CALCS!Q1097</f>
        <v>0</v>
      </c>
      <c r="AH6" s="3">
        <f>CALCS!Q1128</f>
        <v>0</v>
      </c>
      <c r="AI6" s="3">
        <f>CALCS!Q1159</f>
        <v>0</v>
      </c>
      <c r="AJ6" s="3">
        <f>CALCS!Q1190</f>
        <v>0</v>
      </c>
      <c r="AK6" s="3">
        <f>CALCS!Q1221</f>
        <v>0</v>
      </c>
      <c r="AL6" s="3">
        <f>CALCS!Q1252</f>
        <v>0</v>
      </c>
      <c r="AM6" s="3">
        <f>CALCS!Q1283</f>
        <v>0</v>
      </c>
      <c r="AN6" s="3">
        <f>CALCS!Q1314</f>
        <v>0</v>
      </c>
      <c r="AO6" s="3">
        <f>CALCS!Q1345</f>
        <v>0</v>
      </c>
      <c r="AP6" s="3">
        <f>CALCS!Q1376</f>
        <v>0</v>
      </c>
      <c r="AQ6" s="3">
        <f>CALCS!Q1407</f>
        <v>0</v>
      </c>
      <c r="AR6" s="3">
        <f>CALCS!Q1438</f>
        <v>0</v>
      </c>
      <c r="AS6" s="3">
        <f>CALCS!Q1469</f>
        <v>0</v>
      </c>
      <c r="AT6" s="3">
        <f>CALCS!Q1500</f>
        <v>0</v>
      </c>
      <c r="AU6" s="3">
        <f>CALCS!Q1531</f>
        <v>0</v>
      </c>
      <c r="AV6" s="3">
        <f>CALCS!Q1562</f>
        <v>0</v>
      </c>
      <c r="AW6" s="3">
        <f>CALCS!Q1593</f>
        <v>0</v>
      </c>
      <c r="AX6" s="3">
        <f>CALCS!Q1624</f>
        <v>0</v>
      </c>
      <c r="AY6" s="3">
        <f>CALCS!Q1655</f>
        <v>0</v>
      </c>
      <c r="AZ6" s="3">
        <f>CALCS!Q1686</f>
        <v>0</v>
      </c>
      <c r="BA6" s="3">
        <f>CALCS!Q1717</f>
        <v>0</v>
      </c>
      <c r="BB6" s="3">
        <f>CALCS!Q1748</f>
        <v>0</v>
      </c>
      <c r="BC6" s="3">
        <f>CALCS!Q1779</f>
        <v>0</v>
      </c>
      <c r="BD6" s="3">
        <f>CALCS!Q1810</f>
        <v>0</v>
      </c>
      <c r="BE6" s="3">
        <f>CALCS!Q1841</f>
        <v>0</v>
      </c>
      <c r="BF6" s="3">
        <f>CALCS!Q1872</f>
        <v>0</v>
      </c>
      <c r="BG6" s="3">
        <f>CALCS!Q1903</f>
        <v>0</v>
      </c>
      <c r="BH6" s="3">
        <f>CALCS!Q1934</f>
        <v>0</v>
      </c>
      <c r="BI6" s="3">
        <f>CALCS!Q1965</f>
        <v>0</v>
      </c>
      <c r="BJ6" s="3">
        <f>CALCS!Q1996</f>
        <v>0</v>
      </c>
      <c r="BK6" s="3">
        <f>CALCS!Q2027</f>
        <v>0</v>
      </c>
      <c r="BL6" s="3">
        <f>CALCS!Q2058</f>
        <v>0</v>
      </c>
      <c r="BM6" s="3">
        <f>CALCS!Q2089</f>
        <v>0</v>
      </c>
      <c r="BN6" s="3">
        <f>CALCS!Q2120</f>
        <v>0</v>
      </c>
      <c r="BO6" s="3">
        <f>CALCS!Q2151</f>
        <v>0</v>
      </c>
      <c r="BP6" s="3">
        <f>CALCS!Q2182</f>
        <v>0</v>
      </c>
      <c r="BQ6" s="3">
        <f>CALCS!Q2213</f>
        <v>0</v>
      </c>
      <c r="BR6" s="3">
        <f>CALCS!Q2244</f>
        <v>0</v>
      </c>
      <c r="BS6" s="3">
        <f>CALCS!Q2275</f>
        <v>0</v>
      </c>
      <c r="BT6" s="3">
        <f>CALCS!Q2306</f>
        <v>0</v>
      </c>
      <c r="BU6" s="3">
        <f>CALCS!Q2337</f>
        <v>0</v>
      </c>
      <c r="BV6" s="3">
        <f>CALCS!Q2368</f>
        <v>0</v>
      </c>
      <c r="BW6" s="3">
        <f>CALCS!Q2399</f>
        <v>0</v>
      </c>
      <c r="BX6" s="3">
        <f>CALCS!Q2430</f>
        <v>0</v>
      </c>
      <c r="BY6" s="3">
        <f>CALCS!Q2461</f>
        <v>0</v>
      </c>
      <c r="BZ6" s="3">
        <f>CALCS!Q2492</f>
        <v>0</v>
      </c>
      <c r="CA6" s="3">
        <f>CALCS!Q2523</f>
        <v>0</v>
      </c>
      <c r="CB6" s="3">
        <f>CALCS!Q2554</f>
        <v>0</v>
      </c>
      <c r="CC6" s="3">
        <f>CALCS!Q2585</f>
        <v>0</v>
      </c>
      <c r="CD6" s="3">
        <f>CALCS!Q2616</f>
        <v>0</v>
      </c>
      <c r="CE6" s="3">
        <f>CALCS!Q2647</f>
        <v>0</v>
      </c>
      <c r="CF6" s="3">
        <f>CALCS!Q2678</f>
        <v>0</v>
      </c>
      <c r="CG6" s="3">
        <f>CALCS!Q2709</f>
        <v>0</v>
      </c>
      <c r="CH6" s="3">
        <f>CALCS!Q2740</f>
        <v>0</v>
      </c>
      <c r="CI6" s="3">
        <f>CALCS!Q2771</f>
        <v>0</v>
      </c>
      <c r="CJ6" s="3">
        <f>CALCS!Q2802</f>
        <v>0</v>
      </c>
      <c r="CK6" s="3">
        <f>CALCS!Q2833</f>
        <v>0</v>
      </c>
      <c r="CL6" s="3">
        <f>CALCS!Q2864</f>
        <v>0</v>
      </c>
      <c r="CM6" s="3">
        <f>CALCS!Q2895</f>
        <v>0</v>
      </c>
      <c r="CN6" s="3">
        <f>CALCS!Q2926</f>
        <v>0</v>
      </c>
      <c r="CO6" s="3">
        <f>CALCS!Q2957</f>
        <v>0</v>
      </c>
      <c r="CP6" s="3">
        <f>CALCS!Q2988</f>
        <v>0</v>
      </c>
      <c r="CQ6" s="3">
        <f>CALCS!Q3019</f>
        <v>0</v>
      </c>
      <c r="CR6" s="3">
        <f>CALCS!Q3050</f>
        <v>0</v>
      </c>
      <c r="CS6" s="3">
        <f>CALCS!Q3081</f>
        <v>0</v>
      </c>
      <c r="CT6" s="3">
        <f>CALCS!Q3112</f>
        <v>0</v>
      </c>
      <c r="CU6" s="3">
        <f>CALCS!Q3143</f>
        <v>0</v>
      </c>
      <c r="CV6" s="3">
        <f>CALCS!Q3174</f>
        <v>0</v>
      </c>
      <c r="CW6" s="3">
        <f>CALCS!Q3205</f>
        <v>0</v>
      </c>
      <c r="CX6" s="3">
        <f>CALCS!Q3236</f>
        <v>0</v>
      </c>
      <c r="CY6" s="3">
        <f>CALCS!Q3267</f>
        <v>0</v>
      </c>
      <c r="CZ6" s="3">
        <f>CALCS!Q3298</f>
        <v>0</v>
      </c>
      <c r="DA6" s="3">
        <f>CALCS!Q3329</f>
        <v>0</v>
      </c>
      <c r="DB6" s="3">
        <f>CALCS!Q3360</f>
        <v>0</v>
      </c>
      <c r="DC6" s="3">
        <f>CALCS!Q3391</f>
        <v>0</v>
      </c>
      <c r="DD6" s="3">
        <f>CALCS!Q3422</f>
        <v>0</v>
      </c>
      <c r="DE6" s="3">
        <f>CALCS!Q3453</f>
        <v>0</v>
      </c>
      <c r="DF6" s="3">
        <f>CALCS!Q3484</f>
        <v>0</v>
      </c>
      <c r="DG6" s="3">
        <f>CALCS!Q3515</f>
        <v>0</v>
      </c>
      <c r="DH6" s="3">
        <f>CALCS!Q3546</f>
        <v>0</v>
      </c>
      <c r="DI6" s="3">
        <f>CALCS!Q3577</f>
        <v>0</v>
      </c>
      <c r="DJ6" s="3">
        <f>CALCS!Q3608</f>
        <v>0</v>
      </c>
      <c r="DK6" s="3">
        <f>CALCS!Q3639</f>
        <v>0</v>
      </c>
      <c r="DL6" s="3">
        <f>CALCS!Q3670</f>
        <v>0</v>
      </c>
      <c r="DM6" s="3">
        <f>CALCS!Q3701</f>
        <v>0</v>
      </c>
      <c r="DN6" s="3">
        <f>CALCS!Q3732</f>
        <v>0</v>
      </c>
      <c r="DO6" s="3">
        <f>CALCS!Q3763</f>
        <v>0</v>
      </c>
      <c r="DP6" s="3">
        <f>CALCS!Q3794</f>
        <v>0</v>
      </c>
      <c r="DQ6" s="3">
        <f>CALCS!Q3825</f>
        <v>0</v>
      </c>
    </row>
    <row r="7" spans="1:121" x14ac:dyDescent="0.2">
      <c r="A7" s="3">
        <f t="shared" si="0"/>
        <v>86</v>
      </c>
      <c r="B7" s="3">
        <f>CALCS!Q137</f>
        <v>0</v>
      </c>
      <c r="C7" s="3">
        <f>CALCS!Q168</f>
        <v>0.73087500000000005</v>
      </c>
      <c r="D7" s="3">
        <f>CALCS!Q199</f>
        <v>0.73087500000000005</v>
      </c>
      <c r="E7" s="3">
        <f>CALCS!Q230</f>
        <v>0.73087500000000005</v>
      </c>
      <c r="F7" s="3">
        <f>CALCS!Q261</f>
        <v>0.73087500000000016</v>
      </c>
      <c r="G7" s="3">
        <f>CALCS!Q292</f>
        <v>0.73087500000000005</v>
      </c>
      <c r="H7" s="3">
        <f>CALCS!Q323</f>
        <v>0.73087500000000005</v>
      </c>
      <c r="I7" s="3">
        <f>CALCS!Q354</f>
        <v>0.73087500000000016</v>
      </c>
      <c r="J7" s="3">
        <f>CALCS!Q385</f>
        <v>0.73087500000000005</v>
      </c>
      <c r="K7" s="3">
        <f>CALCS!Q416</f>
        <v>0</v>
      </c>
      <c r="L7" s="3">
        <f>CALCS!Q447</f>
        <v>0.73087500000000005</v>
      </c>
      <c r="M7" s="3">
        <f>CALCS!Q478</f>
        <v>0.73087500000000005</v>
      </c>
      <c r="N7" s="3">
        <f>CALCS!Q509</f>
        <v>0.73087500000000005</v>
      </c>
      <c r="O7" s="3">
        <f>CALCS!Q540</f>
        <v>0.73087500000000005</v>
      </c>
      <c r="P7" s="3">
        <f>CALCS!Q571</f>
        <v>0.73087500000000005</v>
      </c>
      <c r="Q7" s="3">
        <f>CALCS!Q602</f>
        <v>0.73087500000000005</v>
      </c>
      <c r="R7" s="3">
        <f>CALCS!Q633</f>
        <v>0</v>
      </c>
      <c r="S7" s="3">
        <f>CALCS!Q664</f>
        <v>0</v>
      </c>
      <c r="T7" s="3">
        <f>CALCS!Q695</f>
        <v>0</v>
      </c>
      <c r="U7" s="3">
        <f>CALCS!Q726</f>
        <v>0</v>
      </c>
      <c r="V7" s="3">
        <f>CALCS!Q757</f>
        <v>0</v>
      </c>
      <c r="W7" s="3">
        <f>CALCS!Q788</f>
        <v>0</v>
      </c>
      <c r="X7" s="3">
        <f>CALCS!Q819</f>
        <v>0</v>
      </c>
      <c r="Y7" s="3">
        <f>CALCS!Q850</f>
        <v>0</v>
      </c>
      <c r="Z7" s="3">
        <f>CALCS!Q881</f>
        <v>0</v>
      </c>
      <c r="AA7" s="3">
        <f>CALCS!Q912</f>
        <v>0</v>
      </c>
      <c r="AB7" s="3">
        <f>CALCS!Q943</f>
        <v>0</v>
      </c>
      <c r="AC7" s="3">
        <f>CALCS!Q974</f>
        <v>0</v>
      </c>
      <c r="AD7" s="3">
        <f>CALCS!Q1005</f>
        <v>0</v>
      </c>
      <c r="AE7" s="3">
        <f>CALCS!Q1036</f>
        <v>0</v>
      </c>
      <c r="AF7" s="3">
        <f>CALCS!Q1067</f>
        <v>0</v>
      </c>
      <c r="AG7" s="3">
        <f>CALCS!Q1098</f>
        <v>0</v>
      </c>
      <c r="AH7" s="3">
        <f>CALCS!Q1129</f>
        <v>0</v>
      </c>
      <c r="AI7" s="3">
        <f>CALCS!Q1160</f>
        <v>0</v>
      </c>
      <c r="AJ7" s="3">
        <f>CALCS!Q1191</f>
        <v>0</v>
      </c>
      <c r="AK7" s="3">
        <f>CALCS!Q1222</f>
        <v>0</v>
      </c>
      <c r="AL7" s="3">
        <f>CALCS!Q1253</f>
        <v>0</v>
      </c>
      <c r="AM7" s="3">
        <f>CALCS!Q1284</f>
        <v>0</v>
      </c>
      <c r="AN7" s="3">
        <f>CALCS!Q1315</f>
        <v>0</v>
      </c>
      <c r="AO7" s="3">
        <f>CALCS!Q1346</f>
        <v>0</v>
      </c>
      <c r="AP7" s="3">
        <f>CALCS!Q1377</f>
        <v>0</v>
      </c>
      <c r="AQ7" s="3">
        <f>CALCS!Q1408</f>
        <v>0</v>
      </c>
      <c r="AR7" s="3">
        <f>CALCS!Q1439</f>
        <v>0</v>
      </c>
      <c r="AS7" s="3">
        <f>CALCS!Q1470</f>
        <v>0</v>
      </c>
      <c r="AT7" s="3">
        <f>CALCS!Q1501</f>
        <v>0</v>
      </c>
      <c r="AU7" s="3">
        <f>CALCS!Q1532</f>
        <v>0</v>
      </c>
      <c r="AV7" s="3">
        <f>CALCS!Q1563</f>
        <v>0</v>
      </c>
      <c r="AW7" s="3">
        <f>CALCS!Q1594</f>
        <v>0</v>
      </c>
      <c r="AX7" s="3">
        <f>CALCS!Q1625</f>
        <v>0</v>
      </c>
      <c r="AY7" s="3">
        <f>CALCS!Q1656</f>
        <v>0</v>
      </c>
      <c r="AZ7" s="3">
        <f>CALCS!Q1687</f>
        <v>0</v>
      </c>
      <c r="BA7" s="3">
        <f>CALCS!Q1718</f>
        <v>0</v>
      </c>
      <c r="BB7" s="3">
        <f>CALCS!Q1749</f>
        <v>0</v>
      </c>
      <c r="BC7" s="3">
        <f>CALCS!Q1780</f>
        <v>0</v>
      </c>
      <c r="BD7" s="3">
        <f>CALCS!Q1811</f>
        <v>0</v>
      </c>
      <c r="BE7" s="3">
        <f>CALCS!Q1842</f>
        <v>0</v>
      </c>
      <c r="BF7" s="3">
        <f>CALCS!Q1873</f>
        <v>0</v>
      </c>
      <c r="BG7" s="3">
        <f>CALCS!Q1904</f>
        <v>0</v>
      </c>
      <c r="BH7" s="3">
        <f>CALCS!Q1935</f>
        <v>0</v>
      </c>
      <c r="BI7" s="3">
        <f>CALCS!Q1966</f>
        <v>0</v>
      </c>
      <c r="BJ7" s="3">
        <f>CALCS!Q1997</f>
        <v>0</v>
      </c>
      <c r="BK7" s="3">
        <f>CALCS!Q2028</f>
        <v>0</v>
      </c>
      <c r="BL7" s="3">
        <f>CALCS!Q2059</f>
        <v>0</v>
      </c>
      <c r="BM7" s="3">
        <f>CALCS!Q2090</f>
        <v>0</v>
      </c>
      <c r="BN7" s="3">
        <f>CALCS!Q2121</f>
        <v>0</v>
      </c>
      <c r="BO7" s="3">
        <f>CALCS!Q2152</f>
        <v>0</v>
      </c>
      <c r="BP7" s="3">
        <f>CALCS!Q2183</f>
        <v>0</v>
      </c>
      <c r="BQ7" s="3">
        <f>CALCS!Q2214</f>
        <v>0</v>
      </c>
      <c r="BR7" s="3">
        <f>CALCS!Q2245</f>
        <v>0</v>
      </c>
      <c r="BS7" s="3">
        <f>CALCS!Q2276</f>
        <v>0</v>
      </c>
      <c r="BT7" s="3">
        <f>CALCS!Q2307</f>
        <v>0</v>
      </c>
      <c r="BU7" s="3">
        <f>CALCS!Q2338</f>
        <v>0</v>
      </c>
      <c r="BV7" s="3">
        <f>CALCS!Q2369</f>
        <v>0</v>
      </c>
      <c r="BW7" s="3">
        <f>CALCS!Q2400</f>
        <v>0</v>
      </c>
      <c r="BX7" s="3">
        <f>CALCS!Q2431</f>
        <v>0</v>
      </c>
      <c r="BY7" s="3">
        <f>CALCS!Q2462</f>
        <v>0</v>
      </c>
      <c r="BZ7" s="3">
        <f>CALCS!Q2493</f>
        <v>0</v>
      </c>
      <c r="CA7" s="3">
        <f>CALCS!Q2524</f>
        <v>0</v>
      </c>
      <c r="CB7" s="3">
        <f>CALCS!Q2555</f>
        <v>0</v>
      </c>
      <c r="CC7" s="3">
        <f>CALCS!Q2586</f>
        <v>0</v>
      </c>
      <c r="CD7" s="3">
        <f>CALCS!Q2617</f>
        <v>0</v>
      </c>
      <c r="CE7" s="3">
        <f>CALCS!Q2648</f>
        <v>0</v>
      </c>
      <c r="CF7" s="3">
        <f>CALCS!Q2679</f>
        <v>0</v>
      </c>
      <c r="CG7" s="3">
        <f>CALCS!Q2710</f>
        <v>0</v>
      </c>
      <c r="CH7" s="3">
        <f>CALCS!Q2741</f>
        <v>0</v>
      </c>
      <c r="CI7" s="3">
        <f>CALCS!Q2772</f>
        <v>0</v>
      </c>
      <c r="CJ7" s="3">
        <f>CALCS!Q2803</f>
        <v>0</v>
      </c>
      <c r="CK7" s="3">
        <f>CALCS!Q2834</f>
        <v>0</v>
      </c>
      <c r="CL7" s="3">
        <f>CALCS!Q2865</f>
        <v>0</v>
      </c>
      <c r="CM7" s="3">
        <f>CALCS!Q2896</f>
        <v>0</v>
      </c>
      <c r="CN7" s="3">
        <f>CALCS!Q2927</f>
        <v>0</v>
      </c>
      <c r="CO7" s="3">
        <f>CALCS!Q2958</f>
        <v>0</v>
      </c>
      <c r="CP7" s="3">
        <f>CALCS!Q2989</f>
        <v>0</v>
      </c>
      <c r="CQ7" s="3">
        <f>CALCS!Q3020</f>
        <v>0</v>
      </c>
      <c r="CR7" s="3">
        <f>CALCS!Q3051</f>
        <v>0</v>
      </c>
      <c r="CS7" s="3">
        <f>CALCS!Q3082</f>
        <v>0</v>
      </c>
      <c r="CT7" s="3">
        <f>CALCS!Q3113</f>
        <v>0</v>
      </c>
      <c r="CU7" s="3">
        <f>CALCS!Q3144</f>
        <v>0</v>
      </c>
      <c r="CV7" s="3">
        <f>CALCS!Q3175</f>
        <v>0</v>
      </c>
      <c r="CW7" s="3">
        <f>CALCS!Q3206</f>
        <v>0</v>
      </c>
      <c r="CX7" s="3">
        <f>CALCS!Q3237</f>
        <v>0</v>
      </c>
      <c r="CY7" s="3">
        <f>CALCS!Q3268</f>
        <v>0</v>
      </c>
      <c r="CZ7" s="3">
        <f>CALCS!Q3299</f>
        <v>0</v>
      </c>
      <c r="DA7" s="3">
        <f>CALCS!Q3330</f>
        <v>0</v>
      </c>
      <c r="DB7" s="3">
        <f>CALCS!Q3361</f>
        <v>0</v>
      </c>
      <c r="DC7" s="3">
        <f>CALCS!Q3392</f>
        <v>0</v>
      </c>
      <c r="DD7" s="3">
        <f>CALCS!Q3423</f>
        <v>0</v>
      </c>
      <c r="DE7" s="3">
        <f>CALCS!Q3454</f>
        <v>0</v>
      </c>
      <c r="DF7" s="3">
        <f>CALCS!Q3485</f>
        <v>0</v>
      </c>
      <c r="DG7" s="3">
        <f>CALCS!Q3516</f>
        <v>0</v>
      </c>
      <c r="DH7" s="3">
        <f>CALCS!Q3547</f>
        <v>0</v>
      </c>
      <c r="DI7" s="3">
        <f>CALCS!Q3578</f>
        <v>0</v>
      </c>
      <c r="DJ7" s="3">
        <f>CALCS!Q3609</f>
        <v>0</v>
      </c>
      <c r="DK7" s="3">
        <f>CALCS!Q3640</f>
        <v>0</v>
      </c>
      <c r="DL7" s="3">
        <f>CALCS!Q3671</f>
        <v>0</v>
      </c>
      <c r="DM7" s="3">
        <f>CALCS!Q3702</f>
        <v>0</v>
      </c>
      <c r="DN7" s="3">
        <f>CALCS!Q3733</f>
        <v>0</v>
      </c>
      <c r="DO7" s="3">
        <f>CALCS!Q3764</f>
        <v>0</v>
      </c>
      <c r="DP7" s="3">
        <f>CALCS!Q3795</f>
        <v>0</v>
      </c>
      <c r="DQ7" s="3">
        <f>CALCS!Q3826</f>
        <v>0</v>
      </c>
    </row>
    <row r="8" spans="1:121" x14ac:dyDescent="0.2">
      <c r="A8" s="3">
        <f t="shared" si="0"/>
        <v>87</v>
      </c>
      <c r="B8" s="3">
        <f>CALCS!Q138</f>
        <v>0</v>
      </c>
      <c r="C8" s="3">
        <f>CALCS!Q169</f>
        <v>0.71733499999999994</v>
      </c>
      <c r="D8" s="3">
        <f>CALCS!Q200</f>
        <v>0.71733500000000006</v>
      </c>
      <c r="E8" s="3">
        <f>CALCS!Q231</f>
        <v>0.71733499999999994</v>
      </c>
      <c r="F8" s="3">
        <f>CALCS!Q262</f>
        <v>0.71733499999999994</v>
      </c>
      <c r="G8" s="3">
        <f>CALCS!Q293</f>
        <v>0.71733499999999994</v>
      </c>
      <c r="H8" s="3">
        <f>CALCS!Q324</f>
        <v>0.71733499999999994</v>
      </c>
      <c r="I8" s="3">
        <f>CALCS!Q355</f>
        <v>0.71733499999999994</v>
      </c>
      <c r="J8" s="3">
        <f>CALCS!Q386</f>
        <v>0.71733499999999994</v>
      </c>
      <c r="K8" s="3">
        <f>CALCS!Q417</f>
        <v>0</v>
      </c>
      <c r="L8" s="3">
        <f>CALCS!Q448</f>
        <v>0.71733499999999994</v>
      </c>
      <c r="M8" s="3">
        <f>CALCS!Q479</f>
        <v>0.71733499999999994</v>
      </c>
      <c r="N8" s="3">
        <f>CALCS!Q510</f>
        <v>0.71733499999999983</v>
      </c>
      <c r="O8" s="3">
        <f>CALCS!Q541</f>
        <v>0.71733499999999994</v>
      </c>
      <c r="P8" s="3">
        <f>CALCS!Q572</f>
        <v>0.71733499999999994</v>
      </c>
      <c r="Q8" s="3">
        <f>CALCS!Q603</f>
        <v>0.71733499999999994</v>
      </c>
      <c r="R8" s="3">
        <f>CALCS!Q634</f>
        <v>0</v>
      </c>
      <c r="S8" s="3">
        <f>CALCS!Q665</f>
        <v>0</v>
      </c>
      <c r="T8" s="3">
        <f>CALCS!Q696</f>
        <v>0</v>
      </c>
      <c r="U8" s="3">
        <f>CALCS!Q727</f>
        <v>0</v>
      </c>
      <c r="V8" s="3">
        <f>CALCS!Q758</f>
        <v>0</v>
      </c>
      <c r="W8" s="3">
        <f>CALCS!Q789</f>
        <v>0</v>
      </c>
      <c r="X8" s="3">
        <f>CALCS!Q820</f>
        <v>0</v>
      </c>
      <c r="Y8" s="3">
        <f>CALCS!Q851</f>
        <v>0</v>
      </c>
      <c r="Z8" s="3">
        <f>CALCS!Q882</f>
        <v>0</v>
      </c>
      <c r="AA8" s="3">
        <f>CALCS!Q913</f>
        <v>0</v>
      </c>
      <c r="AB8" s="3">
        <f>CALCS!Q944</f>
        <v>0</v>
      </c>
      <c r="AC8" s="3">
        <f>CALCS!Q975</f>
        <v>0</v>
      </c>
      <c r="AD8" s="3">
        <f>CALCS!Q1006</f>
        <v>0</v>
      </c>
      <c r="AE8" s="3">
        <f>CALCS!Q1037</f>
        <v>0</v>
      </c>
      <c r="AF8" s="3">
        <f>CALCS!Q1068</f>
        <v>0</v>
      </c>
      <c r="AG8" s="3">
        <f>CALCS!Q1099</f>
        <v>0</v>
      </c>
      <c r="AH8" s="3">
        <f>CALCS!Q1130</f>
        <v>0</v>
      </c>
      <c r="AI8" s="3">
        <f>CALCS!Q1161</f>
        <v>0</v>
      </c>
      <c r="AJ8" s="3">
        <f>CALCS!Q1192</f>
        <v>0</v>
      </c>
      <c r="AK8" s="3">
        <f>CALCS!Q1223</f>
        <v>0</v>
      </c>
      <c r="AL8" s="3">
        <f>CALCS!Q1254</f>
        <v>0</v>
      </c>
      <c r="AM8" s="3">
        <f>CALCS!Q1285</f>
        <v>0</v>
      </c>
      <c r="AN8" s="3">
        <f>CALCS!Q1316</f>
        <v>0</v>
      </c>
      <c r="AO8" s="3">
        <f>CALCS!Q1347</f>
        <v>0</v>
      </c>
      <c r="AP8" s="3">
        <f>CALCS!Q1378</f>
        <v>0</v>
      </c>
      <c r="AQ8" s="3">
        <f>CALCS!Q1409</f>
        <v>0</v>
      </c>
      <c r="AR8" s="3">
        <f>CALCS!Q1440</f>
        <v>0</v>
      </c>
      <c r="AS8" s="3">
        <f>CALCS!Q1471</f>
        <v>0</v>
      </c>
      <c r="AT8" s="3">
        <f>CALCS!Q1502</f>
        <v>0</v>
      </c>
      <c r="AU8" s="3">
        <f>CALCS!Q1533</f>
        <v>0</v>
      </c>
      <c r="AV8" s="3">
        <f>CALCS!Q1564</f>
        <v>0</v>
      </c>
      <c r="AW8" s="3">
        <f>CALCS!Q1595</f>
        <v>0</v>
      </c>
      <c r="AX8" s="3">
        <f>CALCS!Q1626</f>
        <v>0</v>
      </c>
      <c r="AY8" s="3">
        <f>CALCS!Q1657</f>
        <v>0</v>
      </c>
      <c r="AZ8" s="3">
        <f>CALCS!Q1688</f>
        <v>0</v>
      </c>
      <c r="BA8" s="3">
        <f>CALCS!Q1719</f>
        <v>0</v>
      </c>
      <c r="BB8" s="3">
        <f>CALCS!Q1750</f>
        <v>0</v>
      </c>
      <c r="BC8" s="3">
        <f>CALCS!Q1781</f>
        <v>0</v>
      </c>
      <c r="BD8" s="3">
        <f>CALCS!Q1812</f>
        <v>0</v>
      </c>
      <c r="BE8" s="3">
        <f>CALCS!Q1843</f>
        <v>0</v>
      </c>
      <c r="BF8" s="3">
        <f>CALCS!Q1874</f>
        <v>0</v>
      </c>
      <c r="BG8" s="3">
        <f>CALCS!Q1905</f>
        <v>0</v>
      </c>
      <c r="BH8" s="3">
        <f>CALCS!Q1936</f>
        <v>0</v>
      </c>
      <c r="BI8" s="3">
        <f>CALCS!Q1967</f>
        <v>0</v>
      </c>
      <c r="BJ8" s="3">
        <f>CALCS!Q1998</f>
        <v>0</v>
      </c>
      <c r="BK8" s="3">
        <f>CALCS!Q2029</f>
        <v>0</v>
      </c>
      <c r="BL8" s="3">
        <f>CALCS!Q2060</f>
        <v>0</v>
      </c>
      <c r="BM8" s="3">
        <f>CALCS!Q2091</f>
        <v>0</v>
      </c>
      <c r="BN8" s="3">
        <f>CALCS!Q2122</f>
        <v>0</v>
      </c>
      <c r="BO8" s="3">
        <f>CALCS!Q2153</f>
        <v>0</v>
      </c>
      <c r="BP8" s="3">
        <f>CALCS!Q2184</f>
        <v>0</v>
      </c>
      <c r="BQ8" s="3">
        <f>CALCS!Q2215</f>
        <v>0</v>
      </c>
      <c r="BR8" s="3">
        <f>CALCS!Q2246</f>
        <v>0</v>
      </c>
      <c r="BS8" s="3">
        <f>CALCS!Q2277</f>
        <v>0</v>
      </c>
      <c r="BT8" s="3">
        <f>CALCS!Q2308</f>
        <v>0</v>
      </c>
      <c r="BU8" s="3">
        <f>CALCS!Q2339</f>
        <v>0</v>
      </c>
      <c r="BV8" s="3">
        <f>CALCS!Q2370</f>
        <v>0</v>
      </c>
      <c r="BW8" s="3">
        <f>CALCS!Q2401</f>
        <v>0</v>
      </c>
      <c r="BX8" s="3">
        <f>CALCS!Q2432</f>
        <v>0</v>
      </c>
      <c r="BY8" s="3">
        <f>CALCS!Q2463</f>
        <v>0</v>
      </c>
      <c r="BZ8" s="3">
        <f>CALCS!Q2494</f>
        <v>0</v>
      </c>
      <c r="CA8" s="3">
        <f>CALCS!Q2525</f>
        <v>0</v>
      </c>
      <c r="CB8" s="3">
        <f>CALCS!Q2556</f>
        <v>0</v>
      </c>
      <c r="CC8" s="3">
        <f>CALCS!Q2587</f>
        <v>0</v>
      </c>
      <c r="CD8" s="3">
        <f>CALCS!Q2618</f>
        <v>0</v>
      </c>
      <c r="CE8" s="3">
        <f>CALCS!Q2649</f>
        <v>0</v>
      </c>
      <c r="CF8" s="3">
        <f>CALCS!Q2680</f>
        <v>0</v>
      </c>
      <c r="CG8" s="3">
        <f>CALCS!Q2711</f>
        <v>0</v>
      </c>
      <c r="CH8" s="3">
        <f>CALCS!Q2742</f>
        <v>0</v>
      </c>
      <c r="CI8" s="3">
        <f>CALCS!Q2773</f>
        <v>0</v>
      </c>
      <c r="CJ8" s="3">
        <f>CALCS!Q2804</f>
        <v>0</v>
      </c>
      <c r="CK8" s="3">
        <f>CALCS!Q2835</f>
        <v>0</v>
      </c>
      <c r="CL8" s="3">
        <f>CALCS!Q2866</f>
        <v>0</v>
      </c>
      <c r="CM8" s="3">
        <f>CALCS!Q2897</f>
        <v>0</v>
      </c>
      <c r="CN8" s="3">
        <f>CALCS!Q2928</f>
        <v>0</v>
      </c>
      <c r="CO8" s="3">
        <f>CALCS!Q2959</f>
        <v>0</v>
      </c>
      <c r="CP8" s="3">
        <f>CALCS!Q2990</f>
        <v>0</v>
      </c>
      <c r="CQ8" s="3">
        <f>CALCS!Q3021</f>
        <v>0</v>
      </c>
      <c r="CR8" s="3">
        <f>CALCS!Q3052</f>
        <v>0</v>
      </c>
      <c r="CS8" s="3">
        <f>CALCS!Q3083</f>
        <v>0</v>
      </c>
      <c r="CT8" s="3">
        <f>CALCS!Q3114</f>
        <v>0</v>
      </c>
      <c r="CU8" s="3">
        <f>CALCS!Q3145</f>
        <v>0</v>
      </c>
      <c r="CV8" s="3">
        <f>CALCS!Q3176</f>
        <v>0</v>
      </c>
      <c r="CW8" s="3">
        <f>CALCS!Q3207</f>
        <v>0</v>
      </c>
      <c r="CX8" s="3">
        <f>CALCS!Q3238</f>
        <v>0</v>
      </c>
      <c r="CY8" s="3">
        <f>CALCS!Q3269</f>
        <v>0</v>
      </c>
      <c r="CZ8" s="3">
        <f>CALCS!Q3300</f>
        <v>0</v>
      </c>
      <c r="DA8" s="3">
        <f>CALCS!Q3331</f>
        <v>0</v>
      </c>
      <c r="DB8" s="3">
        <f>CALCS!Q3362</f>
        <v>0</v>
      </c>
      <c r="DC8" s="3">
        <f>CALCS!Q3393</f>
        <v>0</v>
      </c>
      <c r="DD8" s="3">
        <f>CALCS!Q3424</f>
        <v>0</v>
      </c>
      <c r="DE8" s="3">
        <f>CALCS!Q3455</f>
        <v>0</v>
      </c>
      <c r="DF8" s="3">
        <f>CALCS!Q3486</f>
        <v>0</v>
      </c>
      <c r="DG8" s="3">
        <f>CALCS!Q3517</f>
        <v>0</v>
      </c>
      <c r="DH8" s="3">
        <f>CALCS!Q3548</f>
        <v>0</v>
      </c>
      <c r="DI8" s="3">
        <f>CALCS!Q3579</f>
        <v>0</v>
      </c>
      <c r="DJ8" s="3">
        <f>CALCS!Q3610</f>
        <v>0</v>
      </c>
      <c r="DK8" s="3">
        <f>CALCS!Q3641</f>
        <v>0</v>
      </c>
      <c r="DL8" s="3">
        <f>CALCS!Q3672</f>
        <v>0</v>
      </c>
      <c r="DM8" s="3">
        <f>CALCS!Q3703</f>
        <v>0</v>
      </c>
      <c r="DN8" s="3">
        <f>CALCS!Q3734</f>
        <v>0</v>
      </c>
      <c r="DO8" s="3">
        <f>CALCS!Q3765</f>
        <v>0</v>
      </c>
      <c r="DP8" s="3">
        <f>CALCS!Q3796</f>
        <v>0</v>
      </c>
      <c r="DQ8" s="3">
        <f>CALCS!Q3827</f>
        <v>0</v>
      </c>
    </row>
    <row r="9" spans="1:121" x14ac:dyDescent="0.2">
      <c r="A9" s="3">
        <f t="shared" si="0"/>
        <v>88</v>
      </c>
      <c r="B9" s="3">
        <f>CALCS!Q139</f>
        <v>0</v>
      </c>
      <c r="C9" s="3">
        <f>CALCS!Q170</f>
        <v>0.64558800000000005</v>
      </c>
      <c r="D9" s="3">
        <f>CALCS!Q201</f>
        <v>0.64558800000000005</v>
      </c>
      <c r="E9" s="3">
        <f>CALCS!Q232</f>
        <v>0.64558800000000005</v>
      </c>
      <c r="F9" s="3">
        <f>CALCS!Q263</f>
        <v>0.64558800000000005</v>
      </c>
      <c r="G9" s="3">
        <f>CALCS!Q294</f>
        <v>0.64558800000000005</v>
      </c>
      <c r="H9" s="3">
        <f>CALCS!Q325</f>
        <v>0.64558800000000005</v>
      </c>
      <c r="I9" s="3">
        <f>CALCS!Q356</f>
        <v>0.64558800000000005</v>
      </c>
      <c r="J9" s="3">
        <f>CALCS!Q387</f>
        <v>0.64558800000000005</v>
      </c>
      <c r="K9" s="3">
        <f>CALCS!Q418</f>
        <v>0</v>
      </c>
      <c r="L9" s="3">
        <f>CALCS!Q449</f>
        <v>0.64558800000000005</v>
      </c>
      <c r="M9" s="3">
        <f>CALCS!Q480</f>
        <v>0.64558800000000005</v>
      </c>
      <c r="N9" s="3">
        <f>CALCS!Q511</f>
        <v>0.64558800000000005</v>
      </c>
      <c r="O9" s="3">
        <f>CALCS!Q542</f>
        <v>0.64558800000000005</v>
      </c>
      <c r="P9" s="3">
        <f>CALCS!Q573</f>
        <v>0.64558800000000005</v>
      </c>
      <c r="Q9" s="3">
        <f>CALCS!Q604</f>
        <v>0.64558800000000005</v>
      </c>
      <c r="R9" s="3">
        <f>CALCS!Q635</f>
        <v>0</v>
      </c>
      <c r="S9" s="3">
        <f>CALCS!Q666</f>
        <v>0</v>
      </c>
      <c r="T9" s="3">
        <f>CALCS!Q697</f>
        <v>0</v>
      </c>
      <c r="U9" s="3">
        <f>CALCS!Q728</f>
        <v>0</v>
      </c>
      <c r="V9" s="3">
        <f>CALCS!Q759</f>
        <v>0</v>
      </c>
      <c r="W9" s="3">
        <f>CALCS!Q790</f>
        <v>0</v>
      </c>
      <c r="X9" s="3">
        <f>CALCS!Q821</f>
        <v>0</v>
      </c>
      <c r="Y9" s="3">
        <f>CALCS!Q852</f>
        <v>0</v>
      </c>
      <c r="Z9" s="3">
        <f>CALCS!Q883</f>
        <v>0</v>
      </c>
      <c r="AA9" s="3">
        <f>CALCS!Q914</f>
        <v>0</v>
      </c>
      <c r="AB9" s="3">
        <f>CALCS!Q945</f>
        <v>0</v>
      </c>
      <c r="AC9" s="3">
        <f>CALCS!Q976</f>
        <v>0</v>
      </c>
      <c r="AD9" s="3">
        <f>CALCS!Q1007</f>
        <v>0</v>
      </c>
      <c r="AE9" s="3">
        <f>CALCS!Q1038</f>
        <v>0</v>
      </c>
      <c r="AF9" s="3">
        <f>CALCS!Q1069</f>
        <v>0</v>
      </c>
      <c r="AG9" s="3">
        <f>CALCS!Q1100</f>
        <v>0</v>
      </c>
      <c r="AH9" s="3">
        <f>CALCS!Q1131</f>
        <v>0</v>
      </c>
      <c r="AI9" s="3">
        <f>CALCS!Q1162</f>
        <v>0</v>
      </c>
      <c r="AJ9" s="3">
        <f>CALCS!Q1193</f>
        <v>0</v>
      </c>
      <c r="AK9" s="3">
        <f>CALCS!Q1224</f>
        <v>0</v>
      </c>
      <c r="AL9" s="3">
        <f>CALCS!Q1255</f>
        <v>0</v>
      </c>
      <c r="AM9" s="3">
        <f>CALCS!Q1286</f>
        <v>0</v>
      </c>
      <c r="AN9" s="3">
        <f>CALCS!Q1317</f>
        <v>0</v>
      </c>
      <c r="AO9" s="3">
        <f>CALCS!Q1348</f>
        <v>0</v>
      </c>
      <c r="AP9" s="3">
        <f>CALCS!Q1379</f>
        <v>0</v>
      </c>
      <c r="AQ9" s="3">
        <f>CALCS!Q1410</f>
        <v>0</v>
      </c>
      <c r="AR9" s="3">
        <f>CALCS!Q1441</f>
        <v>0</v>
      </c>
      <c r="AS9" s="3">
        <f>CALCS!Q1472</f>
        <v>0</v>
      </c>
      <c r="AT9" s="3">
        <f>CALCS!Q1503</f>
        <v>0</v>
      </c>
      <c r="AU9" s="3">
        <f>CALCS!Q1534</f>
        <v>0</v>
      </c>
      <c r="AV9" s="3">
        <f>CALCS!Q1565</f>
        <v>0</v>
      </c>
      <c r="AW9" s="3">
        <f>CALCS!Q1596</f>
        <v>0</v>
      </c>
      <c r="AX9" s="3">
        <f>CALCS!Q1627</f>
        <v>0</v>
      </c>
      <c r="AY9" s="3">
        <f>CALCS!Q1658</f>
        <v>0</v>
      </c>
      <c r="AZ9" s="3">
        <f>CALCS!Q1689</f>
        <v>0</v>
      </c>
      <c r="BA9" s="3">
        <f>CALCS!Q1720</f>
        <v>0</v>
      </c>
      <c r="BB9" s="3">
        <f>CALCS!Q1751</f>
        <v>0</v>
      </c>
      <c r="BC9" s="3">
        <f>CALCS!Q1782</f>
        <v>0</v>
      </c>
      <c r="BD9" s="3">
        <f>CALCS!Q1813</f>
        <v>0</v>
      </c>
      <c r="BE9" s="3">
        <f>CALCS!Q1844</f>
        <v>0</v>
      </c>
      <c r="BF9" s="3">
        <f>CALCS!Q1875</f>
        <v>0</v>
      </c>
      <c r="BG9" s="3">
        <f>CALCS!Q1906</f>
        <v>0</v>
      </c>
      <c r="BH9" s="3">
        <f>CALCS!Q1937</f>
        <v>0</v>
      </c>
      <c r="BI9" s="3">
        <f>CALCS!Q1968</f>
        <v>0</v>
      </c>
      <c r="BJ9" s="3">
        <f>CALCS!Q1999</f>
        <v>0</v>
      </c>
      <c r="BK9" s="3">
        <f>CALCS!Q2030</f>
        <v>0</v>
      </c>
      <c r="BL9" s="3">
        <f>CALCS!Q2061</f>
        <v>0</v>
      </c>
      <c r="BM9" s="3">
        <f>CALCS!Q2092</f>
        <v>0</v>
      </c>
      <c r="BN9" s="3">
        <f>CALCS!Q2123</f>
        <v>0</v>
      </c>
      <c r="BO9" s="3">
        <f>CALCS!Q2154</f>
        <v>0</v>
      </c>
      <c r="BP9" s="3">
        <f>CALCS!Q2185</f>
        <v>0</v>
      </c>
      <c r="BQ9" s="3">
        <f>CALCS!Q2216</f>
        <v>0</v>
      </c>
      <c r="BR9" s="3">
        <f>CALCS!Q2247</f>
        <v>0</v>
      </c>
      <c r="BS9" s="3">
        <f>CALCS!Q2278</f>
        <v>0</v>
      </c>
      <c r="BT9" s="3">
        <f>CALCS!Q2309</f>
        <v>0</v>
      </c>
      <c r="BU9" s="3">
        <f>CALCS!Q2340</f>
        <v>0</v>
      </c>
      <c r="BV9" s="3">
        <f>CALCS!Q2371</f>
        <v>0</v>
      </c>
      <c r="BW9" s="3">
        <f>CALCS!Q2402</f>
        <v>0</v>
      </c>
      <c r="BX9" s="3">
        <f>CALCS!Q2433</f>
        <v>0</v>
      </c>
      <c r="BY9" s="3">
        <f>CALCS!Q2464</f>
        <v>0</v>
      </c>
      <c r="BZ9" s="3">
        <f>CALCS!Q2495</f>
        <v>0</v>
      </c>
      <c r="CA9" s="3">
        <f>CALCS!Q2526</f>
        <v>0</v>
      </c>
      <c r="CB9" s="3">
        <f>CALCS!Q2557</f>
        <v>0</v>
      </c>
      <c r="CC9" s="3">
        <f>CALCS!Q2588</f>
        <v>0</v>
      </c>
      <c r="CD9" s="3">
        <f>CALCS!Q2619</f>
        <v>0</v>
      </c>
      <c r="CE9" s="3">
        <f>CALCS!Q2650</f>
        <v>0</v>
      </c>
      <c r="CF9" s="3">
        <f>CALCS!Q2681</f>
        <v>0</v>
      </c>
      <c r="CG9" s="3">
        <f>CALCS!Q2712</f>
        <v>0</v>
      </c>
      <c r="CH9" s="3">
        <f>CALCS!Q2743</f>
        <v>0</v>
      </c>
      <c r="CI9" s="3">
        <f>CALCS!Q2774</f>
        <v>0</v>
      </c>
      <c r="CJ9" s="3">
        <f>CALCS!Q2805</f>
        <v>0</v>
      </c>
      <c r="CK9" s="3">
        <f>CALCS!Q2836</f>
        <v>0</v>
      </c>
      <c r="CL9" s="3">
        <f>CALCS!Q2867</f>
        <v>0</v>
      </c>
      <c r="CM9" s="3">
        <f>CALCS!Q2898</f>
        <v>0</v>
      </c>
      <c r="CN9" s="3">
        <f>CALCS!Q2929</f>
        <v>0</v>
      </c>
      <c r="CO9" s="3">
        <f>CALCS!Q2960</f>
        <v>0</v>
      </c>
      <c r="CP9" s="3">
        <f>CALCS!Q2991</f>
        <v>0</v>
      </c>
      <c r="CQ9" s="3">
        <f>CALCS!Q3022</f>
        <v>0</v>
      </c>
      <c r="CR9" s="3">
        <f>CALCS!Q3053</f>
        <v>0</v>
      </c>
      <c r="CS9" s="3">
        <f>CALCS!Q3084</f>
        <v>0</v>
      </c>
      <c r="CT9" s="3">
        <f>CALCS!Q3115</f>
        <v>0</v>
      </c>
      <c r="CU9" s="3">
        <f>CALCS!Q3146</f>
        <v>0</v>
      </c>
      <c r="CV9" s="3">
        <f>CALCS!Q3177</f>
        <v>0</v>
      </c>
      <c r="CW9" s="3">
        <f>CALCS!Q3208</f>
        <v>0</v>
      </c>
      <c r="CX9" s="3">
        <f>CALCS!Q3239</f>
        <v>0</v>
      </c>
      <c r="CY9" s="3">
        <f>CALCS!Q3270</f>
        <v>0</v>
      </c>
      <c r="CZ9" s="3">
        <f>CALCS!Q3301</f>
        <v>0</v>
      </c>
      <c r="DA9" s="3">
        <f>CALCS!Q3332</f>
        <v>0</v>
      </c>
      <c r="DB9" s="3">
        <f>CALCS!Q3363</f>
        <v>0</v>
      </c>
      <c r="DC9" s="3">
        <f>CALCS!Q3394</f>
        <v>0</v>
      </c>
      <c r="DD9" s="3">
        <f>CALCS!Q3425</f>
        <v>0</v>
      </c>
      <c r="DE9" s="3">
        <f>CALCS!Q3456</f>
        <v>0</v>
      </c>
      <c r="DF9" s="3">
        <f>CALCS!Q3487</f>
        <v>0</v>
      </c>
      <c r="DG9" s="3">
        <f>CALCS!Q3518</f>
        <v>0</v>
      </c>
      <c r="DH9" s="3">
        <f>CALCS!Q3549</f>
        <v>0</v>
      </c>
      <c r="DI9" s="3">
        <f>CALCS!Q3580</f>
        <v>0</v>
      </c>
      <c r="DJ9" s="3">
        <f>CALCS!Q3611</f>
        <v>0</v>
      </c>
      <c r="DK9" s="3">
        <f>CALCS!Q3642</f>
        <v>0</v>
      </c>
      <c r="DL9" s="3">
        <f>CALCS!Q3673</f>
        <v>0</v>
      </c>
      <c r="DM9" s="3">
        <f>CALCS!Q3704</f>
        <v>0</v>
      </c>
      <c r="DN9" s="3">
        <f>CALCS!Q3735</f>
        <v>0</v>
      </c>
      <c r="DO9" s="3">
        <f>CALCS!Q3766</f>
        <v>0</v>
      </c>
      <c r="DP9" s="3">
        <f>CALCS!Q3797</f>
        <v>0</v>
      </c>
      <c r="DQ9" s="3">
        <f>CALCS!Q3828</f>
        <v>0</v>
      </c>
    </row>
    <row r="10" spans="1:121" x14ac:dyDescent="0.2">
      <c r="A10" s="3">
        <f t="shared" si="0"/>
        <v>89</v>
      </c>
      <c r="B10" s="3">
        <f>CALCS!Q140</f>
        <v>0</v>
      </c>
      <c r="C10" s="3">
        <f>CALCS!Q171</f>
        <v>0.65287700000000004</v>
      </c>
      <c r="D10" s="3">
        <f>CALCS!Q202</f>
        <v>0.65287700000000004</v>
      </c>
      <c r="E10" s="3">
        <f>CALCS!Q233</f>
        <v>0.65287699999999993</v>
      </c>
      <c r="F10" s="3">
        <f>CALCS!Q264</f>
        <v>0.65287700000000004</v>
      </c>
      <c r="G10" s="3">
        <f>CALCS!Q295</f>
        <v>0.65287700000000004</v>
      </c>
      <c r="H10" s="3">
        <f>CALCS!Q326</f>
        <v>0.65287700000000004</v>
      </c>
      <c r="I10" s="3">
        <f>CALCS!Q357</f>
        <v>0.65287700000000004</v>
      </c>
      <c r="J10" s="3">
        <f>CALCS!Q388</f>
        <v>0.65287700000000004</v>
      </c>
      <c r="K10" s="3">
        <f>CALCS!Q419</f>
        <v>0</v>
      </c>
      <c r="L10" s="3">
        <f>CALCS!Q450</f>
        <v>0.65287700000000004</v>
      </c>
      <c r="M10" s="3">
        <f>CALCS!Q481</f>
        <v>0.65287700000000004</v>
      </c>
      <c r="N10" s="3">
        <f>CALCS!Q512</f>
        <v>0.65287700000000004</v>
      </c>
      <c r="O10" s="3">
        <f>CALCS!Q543</f>
        <v>0.65287700000000004</v>
      </c>
      <c r="P10" s="3">
        <f>CALCS!Q574</f>
        <v>0.65287700000000004</v>
      </c>
      <c r="Q10" s="3">
        <f>CALCS!Q605</f>
        <v>0.65287700000000004</v>
      </c>
      <c r="R10" s="3">
        <f>CALCS!Q636</f>
        <v>0</v>
      </c>
      <c r="S10" s="3">
        <f>CALCS!Q667</f>
        <v>0</v>
      </c>
      <c r="T10" s="3">
        <f>CALCS!Q698</f>
        <v>0</v>
      </c>
      <c r="U10" s="3">
        <f>CALCS!Q729</f>
        <v>0</v>
      </c>
      <c r="V10" s="3">
        <f>CALCS!Q760</f>
        <v>0</v>
      </c>
      <c r="W10" s="3">
        <f>CALCS!Q791</f>
        <v>0</v>
      </c>
      <c r="X10" s="3">
        <f>CALCS!Q822</f>
        <v>0</v>
      </c>
      <c r="Y10" s="3">
        <f>CALCS!Q853</f>
        <v>0</v>
      </c>
      <c r="Z10" s="3">
        <f>CALCS!Q884</f>
        <v>0</v>
      </c>
      <c r="AA10" s="3">
        <f>CALCS!Q915</f>
        <v>0</v>
      </c>
      <c r="AB10" s="3">
        <f>CALCS!Q946</f>
        <v>0</v>
      </c>
      <c r="AC10" s="3">
        <f>CALCS!Q977</f>
        <v>0</v>
      </c>
      <c r="AD10" s="3">
        <f>CALCS!Q1008</f>
        <v>0</v>
      </c>
      <c r="AE10" s="3">
        <f>CALCS!Q1039</f>
        <v>0</v>
      </c>
      <c r="AF10" s="3">
        <f>CALCS!Q1070</f>
        <v>0</v>
      </c>
      <c r="AG10" s="3">
        <f>CALCS!Q1101</f>
        <v>0</v>
      </c>
      <c r="AH10" s="3">
        <f>CALCS!Q1132</f>
        <v>0</v>
      </c>
      <c r="AI10" s="3">
        <f>CALCS!Q1163</f>
        <v>0</v>
      </c>
      <c r="AJ10" s="3">
        <f>CALCS!Q1194</f>
        <v>0</v>
      </c>
      <c r="AK10" s="3">
        <f>CALCS!Q1225</f>
        <v>0</v>
      </c>
      <c r="AL10" s="3">
        <f>CALCS!Q1256</f>
        <v>0</v>
      </c>
      <c r="AM10" s="3">
        <f>CALCS!Q1287</f>
        <v>0</v>
      </c>
      <c r="AN10" s="3">
        <f>CALCS!Q1318</f>
        <v>0</v>
      </c>
      <c r="AO10" s="3">
        <f>CALCS!Q1349</f>
        <v>0</v>
      </c>
      <c r="AP10" s="3">
        <f>CALCS!Q1380</f>
        <v>0</v>
      </c>
      <c r="AQ10" s="3">
        <f>CALCS!Q1411</f>
        <v>0</v>
      </c>
      <c r="AR10" s="3">
        <f>CALCS!Q1442</f>
        <v>0</v>
      </c>
      <c r="AS10" s="3">
        <f>CALCS!Q1473</f>
        <v>0</v>
      </c>
      <c r="AT10" s="3">
        <f>CALCS!Q1504</f>
        <v>0</v>
      </c>
      <c r="AU10" s="3">
        <f>CALCS!Q1535</f>
        <v>0</v>
      </c>
      <c r="AV10" s="3">
        <f>CALCS!Q1566</f>
        <v>0</v>
      </c>
      <c r="AW10" s="3">
        <f>CALCS!Q1597</f>
        <v>0</v>
      </c>
      <c r="AX10" s="3">
        <f>CALCS!Q1628</f>
        <v>0</v>
      </c>
      <c r="AY10" s="3">
        <f>CALCS!Q1659</f>
        <v>0</v>
      </c>
      <c r="AZ10" s="3">
        <f>CALCS!Q1690</f>
        <v>0</v>
      </c>
      <c r="BA10" s="3">
        <f>CALCS!Q1721</f>
        <v>0</v>
      </c>
      <c r="BB10" s="3">
        <f>CALCS!Q1752</f>
        <v>0</v>
      </c>
      <c r="BC10" s="3">
        <f>CALCS!Q1783</f>
        <v>0</v>
      </c>
      <c r="BD10" s="3">
        <f>CALCS!Q1814</f>
        <v>0</v>
      </c>
      <c r="BE10" s="3">
        <f>CALCS!Q1845</f>
        <v>0</v>
      </c>
      <c r="BF10" s="3">
        <f>CALCS!Q1876</f>
        <v>0</v>
      </c>
      <c r="BG10" s="3">
        <f>CALCS!Q1907</f>
        <v>0</v>
      </c>
      <c r="BH10" s="3">
        <f>CALCS!Q1938</f>
        <v>0</v>
      </c>
      <c r="BI10" s="3">
        <f>CALCS!Q1969</f>
        <v>0</v>
      </c>
      <c r="BJ10" s="3">
        <f>CALCS!Q2000</f>
        <v>0</v>
      </c>
      <c r="BK10" s="3">
        <f>CALCS!Q2031</f>
        <v>0</v>
      </c>
      <c r="BL10" s="3">
        <f>CALCS!Q2062</f>
        <v>0</v>
      </c>
      <c r="BM10" s="3">
        <f>CALCS!Q2093</f>
        <v>0</v>
      </c>
      <c r="BN10" s="3">
        <f>CALCS!Q2124</f>
        <v>0</v>
      </c>
      <c r="BO10" s="3">
        <f>CALCS!Q2155</f>
        <v>0</v>
      </c>
      <c r="BP10" s="3">
        <f>CALCS!Q2186</f>
        <v>0</v>
      </c>
      <c r="BQ10" s="3">
        <f>CALCS!Q2217</f>
        <v>0</v>
      </c>
      <c r="BR10" s="3">
        <f>CALCS!Q2248</f>
        <v>0</v>
      </c>
      <c r="BS10" s="3">
        <f>CALCS!Q2279</f>
        <v>0</v>
      </c>
      <c r="BT10" s="3">
        <f>CALCS!Q2310</f>
        <v>0</v>
      </c>
      <c r="BU10" s="3">
        <f>CALCS!Q2341</f>
        <v>0</v>
      </c>
      <c r="BV10" s="3">
        <f>CALCS!Q2372</f>
        <v>0</v>
      </c>
      <c r="BW10" s="3">
        <f>CALCS!Q2403</f>
        <v>0</v>
      </c>
      <c r="BX10" s="3">
        <f>CALCS!Q2434</f>
        <v>0</v>
      </c>
      <c r="BY10" s="3">
        <f>CALCS!Q2465</f>
        <v>0</v>
      </c>
      <c r="BZ10" s="3">
        <f>CALCS!Q2496</f>
        <v>0</v>
      </c>
      <c r="CA10" s="3">
        <f>CALCS!Q2527</f>
        <v>0</v>
      </c>
      <c r="CB10" s="3">
        <f>CALCS!Q2558</f>
        <v>0</v>
      </c>
      <c r="CC10" s="3">
        <f>CALCS!Q2589</f>
        <v>0</v>
      </c>
      <c r="CD10" s="3">
        <f>CALCS!Q2620</f>
        <v>0</v>
      </c>
      <c r="CE10" s="3">
        <f>CALCS!Q2651</f>
        <v>0</v>
      </c>
      <c r="CF10" s="3">
        <f>CALCS!Q2682</f>
        <v>0</v>
      </c>
      <c r="CG10" s="3">
        <f>CALCS!Q2713</f>
        <v>0</v>
      </c>
      <c r="CH10" s="3">
        <f>CALCS!Q2744</f>
        <v>0</v>
      </c>
      <c r="CI10" s="3">
        <f>CALCS!Q2775</f>
        <v>0</v>
      </c>
      <c r="CJ10" s="3">
        <f>CALCS!Q2806</f>
        <v>0</v>
      </c>
      <c r="CK10" s="3">
        <f>CALCS!Q2837</f>
        <v>0</v>
      </c>
      <c r="CL10" s="3">
        <f>CALCS!Q2868</f>
        <v>0</v>
      </c>
      <c r="CM10" s="3">
        <f>CALCS!Q2899</f>
        <v>0</v>
      </c>
      <c r="CN10" s="3">
        <f>CALCS!Q2930</f>
        <v>0</v>
      </c>
      <c r="CO10" s="3">
        <f>CALCS!Q2961</f>
        <v>0</v>
      </c>
      <c r="CP10" s="3">
        <f>CALCS!Q2992</f>
        <v>0</v>
      </c>
      <c r="CQ10" s="3">
        <f>CALCS!Q3023</f>
        <v>0</v>
      </c>
      <c r="CR10" s="3">
        <f>CALCS!Q3054</f>
        <v>0</v>
      </c>
      <c r="CS10" s="3">
        <f>CALCS!Q3085</f>
        <v>0</v>
      </c>
      <c r="CT10" s="3">
        <f>CALCS!Q3116</f>
        <v>0</v>
      </c>
      <c r="CU10" s="3">
        <f>CALCS!Q3147</f>
        <v>0</v>
      </c>
      <c r="CV10" s="3">
        <f>CALCS!Q3178</f>
        <v>0</v>
      </c>
      <c r="CW10" s="3">
        <f>CALCS!Q3209</f>
        <v>0</v>
      </c>
      <c r="CX10" s="3">
        <f>CALCS!Q3240</f>
        <v>0</v>
      </c>
      <c r="CY10" s="3">
        <f>CALCS!Q3271</f>
        <v>0</v>
      </c>
      <c r="CZ10" s="3">
        <f>CALCS!Q3302</f>
        <v>0</v>
      </c>
      <c r="DA10" s="3">
        <f>CALCS!Q3333</f>
        <v>0</v>
      </c>
      <c r="DB10" s="3">
        <f>CALCS!Q3364</f>
        <v>0</v>
      </c>
      <c r="DC10" s="3">
        <f>CALCS!Q3395</f>
        <v>0</v>
      </c>
      <c r="DD10" s="3">
        <f>CALCS!Q3426</f>
        <v>0</v>
      </c>
      <c r="DE10" s="3">
        <f>CALCS!Q3457</f>
        <v>0</v>
      </c>
      <c r="DF10" s="3">
        <f>CALCS!Q3488</f>
        <v>0</v>
      </c>
      <c r="DG10" s="3">
        <f>CALCS!Q3519</f>
        <v>0</v>
      </c>
      <c r="DH10" s="3">
        <f>CALCS!Q3550</f>
        <v>0</v>
      </c>
      <c r="DI10" s="3">
        <f>CALCS!Q3581</f>
        <v>0</v>
      </c>
      <c r="DJ10" s="3">
        <f>CALCS!Q3612</f>
        <v>0</v>
      </c>
      <c r="DK10" s="3">
        <f>CALCS!Q3643</f>
        <v>0</v>
      </c>
      <c r="DL10" s="3">
        <f>CALCS!Q3674</f>
        <v>0</v>
      </c>
      <c r="DM10" s="3">
        <f>CALCS!Q3705</f>
        <v>0</v>
      </c>
      <c r="DN10" s="3">
        <f>CALCS!Q3736</f>
        <v>0</v>
      </c>
      <c r="DO10" s="3">
        <f>CALCS!Q3767</f>
        <v>0</v>
      </c>
      <c r="DP10" s="3">
        <f>CALCS!Q3798</f>
        <v>0</v>
      </c>
      <c r="DQ10" s="3">
        <f>CALCS!Q3829</f>
        <v>0</v>
      </c>
    </row>
    <row r="11" spans="1:121" x14ac:dyDescent="0.2">
      <c r="A11" s="3">
        <f t="shared" si="0"/>
        <v>90</v>
      </c>
      <c r="B11" s="3">
        <f>CALCS!Q141</f>
        <v>0</v>
      </c>
      <c r="C11" s="3">
        <f>CALCS!Q172</f>
        <v>0.56965100000000002</v>
      </c>
      <c r="D11" s="3">
        <f>CALCS!Q203</f>
        <v>0.56965100000000002</v>
      </c>
      <c r="E11" s="3">
        <f>CALCS!Q234</f>
        <v>0.56965100000000002</v>
      </c>
      <c r="F11" s="3">
        <f>CALCS!Q265</f>
        <v>0.56965100000000002</v>
      </c>
      <c r="G11" s="3">
        <f>CALCS!Q296</f>
        <v>0.56965100000000002</v>
      </c>
      <c r="H11" s="3">
        <f>CALCS!Q327</f>
        <v>0.56965100000000002</v>
      </c>
      <c r="I11" s="3">
        <f>CALCS!Q358</f>
        <v>0.56965100000000002</v>
      </c>
      <c r="J11" s="3">
        <f>CALCS!Q389</f>
        <v>0.56965100000000002</v>
      </c>
      <c r="K11" s="3">
        <f>CALCS!Q420</f>
        <v>0</v>
      </c>
      <c r="L11" s="3">
        <f>CALCS!Q451</f>
        <v>0.56965100000000002</v>
      </c>
      <c r="M11" s="3">
        <f>CALCS!Q482</f>
        <v>0.56965100000000002</v>
      </c>
      <c r="N11" s="3">
        <f>CALCS!Q513</f>
        <v>0.56965100000000002</v>
      </c>
      <c r="O11" s="3">
        <f>CALCS!Q544</f>
        <v>0.56965100000000002</v>
      </c>
      <c r="P11" s="3">
        <f>CALCS!Q575</f>
        <v>0.56965100000000002</v>
      </c>
      <c r="Q11" s="3">
        <f>CALCS!Q606</f>
        <v>0.56965100000000002</v>
      </c>
      <c r="R11" s="3">
        <f>CALCS!Q637</f>
        <v>0</v>
      </c>
      <c r="S11" s="3">
        <f>CALCS!Q668</f>
        <v>0</v>
      </c>
      <c r="T11" s="3">
        <f>CALCS!Q699</f>
        <v>0</v>
      </c>
      <c r="U11" s="3">
        <f>CALCS!Q730</f>
        <v>0</v>
      </c>
      <c r="V11" s="3">
        <f>CALCS!Q761</f>
        <v>0</v>
      </c>
      <c r="W11" s="3">
        <f>CALCS!Q792</f>
        <v>0</v>
      </c>
      <c r="X11" s="3">
        <f>CALCS!Q823</f>
        <v>0</v>
      </c>
      <c r="Y11" s="3">
        <f>CALCS!Q854</f>
        <v>0</v>
      </c>
      <c r="Z11" s="3">
        <f>CALCS!Q885</f>
        <v>0</v>
      </c>
      <c r="AA11" s="3">
        <f>CALCS!Q916</f>
        <v>0</v>
      </c>
      <c r="AB11" s="3">
        <f>CALCS!Q947</f>
        <v>0</v>
      </c>
      <c r="AC11" s="3">
        <f>CALCS!Q978</f>
        <v>0</v>
      </c>
      <c r="AD11" s="3">
        <f>CALCS!Q1009</f>
        <v>0</v>
      </c>
      <c r="AE11" s="3">
        <f>CALCS!Q1040</f>
        <v>0</v>
      </c>
      <c r="AF11" s="3">
        <f>CALCS!Q1071</f>
        <v>0</v>
      </c>
      <c r="AG11" s="3">
        <f>CALCS!Q1102</f>
        <v>0</v>
      </c>
      <c r="AH11" s="3">
        <f>CALCS!Q1133</f>
        <v>0</v>
      </c>
      <c r="AI11" s="3">
        <f>CALCS!Q1164</f>
        <v>0</v>
      </c>
      <c r="AJ11" s="3">
        <f>CALCS!Q1195</f>
        <v>0</v>
      </c>
      <c r="AK11" s="3">
        <f>CALCS!Q1226</f>
        <v>0</v>
      </c>
      <c r="AL11" s="3">
        <f>CALCS!Q1257</f>
        <v>0</v>
      </c>
      <c r="AM11" s="3">
        <f>CALCS!Q1288</f>
        <v>0</v>
      </c>
      <c r="AN11" s="3">
        <f>CALCS!Q1319</f>
        <v>0</v>
      </c>
      <c r="AO11" s="3">
        <f>CALCS!Q1350</f>
        <v>0</v>
      </c>
      <c r="AP11" s="3">
        <f>CALCS!Q1381</f>
        <v>0</v>
      </c>
      <c r="AQ11" s="3">
        <f>CALCS!Q1412</f>
        <v>0</v>
      </c>
      <c r="AR11" s="3">
        <f>CALCS!Q1443</f>
        <v>0</v>
      </c>
      <c r="AS11" s="3">
        <f>CALCS!Q1474</f>
        <v>0</v>
      </c>
      <c r="AT11" s="3">
        <f>CALCS!Q1505</f>
        <v>0</v>
      </c>
      <c r="AU11" s="3">
        <f>CALCS!Q1536</f>
        <v>0</v>
      </c>
      <c r="AV11" s="3">
        <f>CALCS!Q1567</f>
        <v>0</v>
      </c>
      <c r="AW11" s="3">
        <f>CALCS!Q1598</f>
        <v>0</v>
      </c>
      <c r="AX11" s="3">
        <f>CALCS!Q1629</f>
        <v>0</v>
      </c>
      <c r="AY11" s="3">
        <f>CALCS!Q1660</f>
        <v>0</v>
      </c>
      <c r="AZ11" s="3">
        <f>CALCS!Q1691</f>
        <v>0</v>
      </c>
      <c r="BA11" s="3">
        <f>CALCS!Q1722</f>
        <v>0</v>
      </c>
      <c r="BB11" s="3">
        <f>CALCS!Q1753</f>
        <v>0</v>
      </c>
      <c r="BC11" s="3">
        <f>CALCS!Q1784</f>
        <v>0</v>
      </c>
      <c r="BD11" s="3">
        <f>CALCS!Q1815</f>
        <v>0</v>
      </c>
      <c r="BE11" s="3">
        <f>CALCS!Q1846</f>
        <v>0</v>
      </c>
      <c r="BF11" s="3">
        <f>CALCS!Q1877</f>
        <v>0</v>
      </c>
      <c r="BG11" s="3">
        <f>CALCS!Q1908</f>
        <v>0</v>
      </c>
      <c r="BH11" s="3">
        <f>CALCS!Q1939</f>
        <v>0</v>
      </c>
      <c r="BI11" s="3">
        <f>CALCS!Q1970</f>
        <v>0</v>
      </c>
      <c r="BJ11" s="3">
        <f>CALCS!Q2001</f>
        <v>0</v>
      </c>
      <c r="BK11" s="3">
        <f>CALCS!Q2032</f>
        <v>0</v>
      </c>
      <c r="BL11" s="3">
        <f>CALCS!Q2063</f>
        <v>0</v>
      </c>
      <c r="BM11" s="3">
        <f>CALCS!Q2094</f>
        <v>0</v>
      </c>
      <c r="BN11" s="3">
        <f>CALCS!Q2125</f>
        <v>0</v>
      </c>
      <c r="BO11" s="3">
        <f>CALCS!Q2156</f>
        <v>0</v>
      </c>
      <c r="BP11" s="3">
        <f>CALCS!Q2187</f>
        <v>0</v>
      </c>
      <c r="BQ11" s="3">
        <f>CALCS!Q2218</f>
        <v>0</v>
      </c>
      <c r="BR11" s="3">
        <f>CALCS!Q2249</f>
        <v>0</v>
      </c>
      <c r="BS11" s="3">
        <f>CALCS!Q2280</f>
        <v>0</v>
      </c>
      <c r="BT11" s="3">
        <f>CALCS!Q2311</f>
        <v>0</v>
      </c>
      <c r="BU11" s="3">
        <f>CALCS!Q2342</f>
        <v>0</v>
      </c>
      <c r="BV11" s="3">
        <f>CALCS!Q2373</f>
        <v>0</v>
      </c>
      <c r="BW11" s="3">
        <f>CALCS!Q2404</f>
        <v>0</v>
      </c>
      <c r="BX11" s="3">
        <f>CALCS!Q2435</f>
        <v>0</v>
      </c>
      <c r="BY11" s="3">
        <f>CALCS!Q2466</f>
        <v>0</v>
      </c>
      <c r="BZ11" s="3">
        <f>CALCS!Q2497</f>
        <v>0</v>
      </c>
      <c r="CA11" s="3">
        <f>CALCS!Q2528</f>
        <v>0</v>
      </c>
      <c r="CB11" s="3">
        <f>CALCS!Q2559</f>
        <v>0</v>
      </c>
      <c r="CC11" s="3">
        <f>CALCS!Q2590</f>
        <v>0</v>
      </c>
      <c r="CD11" s="3">
        <f>CALCS!Q2621</f>
        <v>0</v>
      </c>
      <c r="CE11" s="3">
        <f>CALCS!Q2652</f>
        <v>0</v>
      </c>
      <c r="CF11" s="3">
        <f>CALCS!Q2683</f>
        <v>0</v>
      </c>
      <c r="CG11" s="3">
        <f>CALCS!Q2714</f>
        <v>0</v>
      </c>
      <c r="CH11" s="3">
        <f>CALCS!Q2745</f>
        <v>0</v>
      </c>
      <c r="CI11" s="3">
        <f>CALCS!Q2776</f>
        <v>0</v>
      </c>
      <c r="CJ11" s="3">
        <f>CALCS!Q2807</f>
        <v>0</v>
      </c>
      <c r="CK11" s="3">
        <f>CALCS!Q2838</f>
        <v>0</v>
      </c>
      <c r="CL11" s="3">
        <f>CALCS!Q2869</f>
        <v>0</v>
      </c>
      <c r="CM11" s="3">
        <f>CALCS!Q2900</f>
        <v>0</v>
      </c>
      <c r="CN11" s="3">
        <f>CALCS!Q2931</f>
        <v>0</v>
      </c>
      <c r="CO11" s="3">
        <f>CALCS!Q2962</f>
        <v>0</v>
      </c>
      <c r="CP11" s="3">
        <f>CALCS!Q2993</f>
        <v>0</v>
      </c>
      <c r="CQ11" s="3">
        <f>CALCS!Q3024</f>
        <v>0</v>
      </c>
      <c r="CR11" s="3">
        <f>CALCS!Q3055</f>
        <v>0</v>
      </c>
      <c r="CS11" s="3">
        <f>CALCS!Q3086</f>
        <v>0</v>
      </c>
      <c r="CT11" s="3">
        <f>CALCS!Q3117</f>
        <v>0</v>
      </c>
      <c r="CU11" s="3">
        <f>CALCS!Q3148</f>
        <v>0</v>
      </c>
      <c r="CV11" s="3">
        <f>CALCS!Q3179</f>
        <v>0</v>
      </c>
      <c r="CW11" s="3">
        <f>CALCS!Q3210</f>
        <v>0</v>
      </c>
      <c r="CX11" s="3">
        <f>CALCS!Q3241</f>
        <v>0</v>
      </c>
      <c r="CY11" s="3">
        <f>CALCS!Q3272</f>
        <v>0</v>
      </c>
      <c r="CZ11" s="3">
        <f>CALCS!Q3303</f>
        <v>0</v>
      </c>
      <c r="DA11" s="3">
        <f>CALCS!Q3334</f>
        <v>0</v>
      </c>
      <c r="DB11" s="3">
        <f>CALCS!Q3365</f>
        <v>0</v>
      </c>
      <c r="DC11" s="3">
        <f>CALCS!Q3396</f>
        <v>0</v>
      </c>
      <c r="DD11" s="3">
        <f>CALCS!Q3427</f>
        <v>0</v>
      </c>
      <c r="DE11" s="3">
        <f>CALCS!Q3458</f>
        <v>0</v>
      </c>
      <c r="DF11" s="3">
        <f>CALCS!Q3489</f>
        <v>0</v>
      </c>
      <c r="DG11" s="3">
        <f>CALCS!Q3520</f>
        <v>0</v>
      </c>
      <c r="DH11" s="3">
        <f>CALCS!Q3551</f>
        <v>0</v>
      </c>
      <c r="DI11" s="3">
        <f>CALCS!Q3582</f>
        <v>0</v>
      </c>
      <c r="DJ11" s="3">
        <f>CALCS!Q3613</f>
        <v>0</v>
      </c>
      <c r="DK11" s="3">
        <f>CALCS!Q3644</f>
        <v>0</v>
      </c>
      <c r="DL11" s="3">
        <f>CALCS!Q3675</f>
        <v>0</v>
      </c>
      <c r="DM11" s="3">
        <f>CALCS!Q3706</f>
        <v>0</v>
      </c>
      <c r="DN11" s="3">
        <f>CALCS!Q3737</f>
        <v>0</v>
      </c>
      <c r="DO11" s="3">
        <f>CALCS!Q3768</f>
        <v>0</v>
      </c>
      <c r="DP11" s="3">
        <f>CALCS!Q3799</f>
        <v>0</v>
      </c>
      <c r="DQ11" s="3">
        <f>CALCS!Q3830</f>
        <v>0</v>
      </c>
    </row>
    <row r="12" spans="1:121" x14ac:dyDescent="0.2">
      <c r="A12" s="3">
        <f t="shared" si="0"/>
        <v>91</v>
      </c>
      <c r="B12" s="3">
        <f>CALCS!Q142</f>
        <v>0</v>
      </c>
      <c r="C12" s="3">
        <f>CALCS!Q173</f>
        <v>0.62776900000000002</v>
      </c>
      <c r="D12" s="3">
        <f>CALCS!Q204</f>
        <v>0.62776900000000002</v>
      </c>
      <c r="E12" s="3">
        <f>CALCS!Q235</f>
        <v>0.62776900000000002</v>
      </c>
      <c r="F12" s="3">
        <f>CALCS!Q266</f>
        <v>0.62776900000000002</v>
      </c>
      <c r="G12" s="3">
        <f>CALCS!Q297</f>
        <v>0.62776900000000002</v>
      </c>
      <c r="H12" s="3">
        <f>CALCS!Q328</f>
        <v>0.62776900000000002</v>
      </c>
      <c r="I12" s="3">
        <f>CALCS!Q359</f>
        <v>0.62776900000000002</v>
      </c>
      <c r="J12" s="3">
        <f>CALCS!Q390</f>
        <v>0.62776900000000002</v>
      </c>
      <c r="K12" s="3">
        <f>CALCS!Q421</f>
        <v>0</v>
      </c>
      <c r="L12" s="3">
        <f>CALCS!Q452</f>
        <v>0.62776900000000002</v>
      </c>
      <c r="M12" s="3">
        <f>CALCS!Q483</f>
        <v>0.62776900000000002</v>
      </c>
      <c r="N12" s="3">
        <f>CALCS!Q514</f>
        <v>0.62776900000000002</v>
      </c>
      <c r="O12" s="3">
        <f>CALCS!Q545</f>
        <v>0.62776900000000002</v>
      </c>
      <c r="P12" s="3">
        <f>CALCS!Q576</f>
        <v>0.62776900000000002</v>
      </c>
      <c r="Q12" s="3">
        <f>CALCS!Q607</f>
        <v>0.62776900000000002</v>
      </c>
      <c r="R12" s="3">
        <f>CALCS!Q638</f>
        <v>0</v>
      </c>
      <c r="S12" s="3">
        <f>CALCS!Q669</f>
        <v>0</v>
      </c>
      <c r="T12" s="3">
        <f>CALCS!Q700</f>
        <v>0</v>
      </c>
      <c r="U12" s="3">
        <f>CALCS!Q731</f>
        <v>0</v>
      </c>
      <c r="V12" s="3">
        <f>CALCS!Q762</f>
        <v>0</v>
      </c>
      <c r="W12" s="3">
        <f>CALCS!Q793</f>
        <v>0</v>
      </c>
      <c r="X12" s="3">
        <f>CALCS!Q824</f>
        <v>0</v>
      </c>
      <c r="Y12" s="3">
        <f>CALCS!Q855</f>
        <v>0</v>
      </c>
      <c r="Z12" s="3">
        <f>CALCS!Q886</f>
        <v>0</v>
      </c>
      <c r="AA12" s="3">
        <f>CALCS!Q917</f>
        <v>0</v>
      </c>
      <c r="AB12" s="3">
        <f>CALCS!Q948</f>
        <v>0</v>
      </c>
      <c r="AC12" s="3">
        <f>CALCS!Q979</f>
        <v>0</v>
      </c>
      <c r="AD12" s="3">
        <f>CALCS!Q1010</f>
        <v>0</v>
      </c>
      <c r="AE12" s="3">
        <f>CALCS!Q1041</f>
        <v>0</v>
      </c>
      <c r="AF12" s="3">
        <f>CALCS!Q1072</f>
        <v>0</v>
      </c>
      <c r="AG12" s="3">
        <f>CALCS!Q1103</f>
        <v>0</v>
      </c>
      <c r="AH12" s="3">
        <f>CALCS!Q1134</f>
        <v>0</v>
      </c>
      <c r="AI12" s="3">
        <f>CALCS!Q1165</f>
        <v>0</v>
      </c>
      <c r="AJ12" s="3">
        <f>CALCS!Q1196</f>
        <v>0</v>
      </c>
      <c r="AK12" s="3">
        <f>CALCS!Q1227</f>
        <v>0</v>
      </c>
      <c r="AL12" s="3">
        <f>CALCS!Q1258</f>
        <v>0</v>
      </c>
      <c r="AM12" s="3">
        <f>CALCS!Q1289</f>
        <v>0</v>
      </c>
      <c r="AN12" s="3">
        <f>CALCS!Q1320</f>
        <v>0</v>
      </c>
      <c r="AO12" s="3">
        <f>CALCS!Q1351</f>
        <v>0</v>
      </c>
      <c r="AP12" s="3">
        <f>CALCS!Q1382</f>
        <v>0</v>
      </c>
      <c r="AQ12" s="3">
        <f>CALCS!Q1413</f>
        <v>0</v>
      </c>
      <c r="AR12" s="3">
        <f>CALCS!Q1444</f>
        <v>0</v>
      </c>
      <c r="AS12" s="3">
        <f>CALCS!Q1475</f>
        <v>0</v>
      </c>
      <c r="AT12" s="3">
        <f>CALCS!Q1506</f>
        <v>0</v>
      </c>
      <c r="AU12" s="3">
        <f>CALCS!Q1537</f>
        <v>0</v>
      </c>
      <c r="AV12" s="3">
        <f>CALCS!Q1568</f>
        <v>0</v>
      </c>
      <c r="AW12" s="3">
        <f>CALCS!Q1599</f>
        <v>0</v>
      </c>
      <c r="AX12" s="3">
        <f>CALCS!Q1630</f>
        <v>0</v>
      </c>
      <c r="AY12" s="3">
        <f>CALCS!Q1661</f>
        <v>0</v>
      </c>
      <c r="AZ12" s="3">
        <f>CALCS!Q1692</f>
        <v>0</v>
      </c>
      <c r="BA12" s="3">
        <f>CALCS!Q1723</f>
        <v>0</v>
      </c>
      <c r="BB12" s="3">
        <f>CALCS!Q1754</f>
        <v>0</v>
      </c>
      <c r="BC12" s="3">
        <f>CALCS!Q1785</f>
        <v>0</v>
      </c>
      <c r="BD12" s="3">
        <f>CALCS!Q1816</f>
        <v>0</v>
      </c>
      <c r="BE12" s="3">
        <f>CALCS!Q1847</f>
        <v>0</v>
      </c>
      <c r="BF12" s="3">
        <f>CALCS!Q1878</f>
        <v>0</v>
      </c>
      <c r="BG12" s="3">
        <f>CALCS!Q1909</f>
        <v>0</v>
      </c>
      <c r="BH12" s="3">
        <f>CALCS!Q1940</f>
        <v>0</v>
      </c>
      <c r="BI12" s="3">
        <f>CALCS!Q1971</f>
        <v>0</v>
      </c>
      <c r="BJ12" s="3">
        <f>CALCS!Q2002</f>
        <v>0</v>
      </c>
      <c r="BK12" s="3">
        <f>CALCS!Q2033</f>
        <v>0</v>
      </c>
      <c r="BL12" s="3">
        <f>CALCS!Q2064</f>
        <v>0</v>
      </c>
      <c r="BM12" s="3">
        <f>CALCS!Q2095</f>
        <v>0</v>
      </c>
      <c r="BN12" s="3">
        <f>CALCS!Q2126</f>
        <v>0</v>
      </c>
      <c r="BO12" s="3">
        <f>CALCS!Q2157</f>
        <v>0</v>
      </c>
      <c r="BP12" s="3">
        <f>CALCS!Q2188</f>
        <v>0</v>
      </c>
      <c r="BQ12" s="3">
        <f>CALCS!Q2219</f>
        <v>0</v>
      </c>
      <c r="BR12" s="3">
        <f>CALCS!Q2250</f>
        <v>0</v>
      </c>
      <c r="BS12" s="3">
        <f>CALCS!Q2281</f>
        <v>0</v>
      </c>
      <c r="BT12" s="3">
        <f>CALCS!Q2312</f>
        <v>0</v>
      </c>
      <c r="BU12" s="3">
        <f>CALCS!Q2343</f>
        <v>0</v>
      </c>
      <c r="BV12" s="3">
        <f>CALCS!Q2374</f>
        <v>0</v>
      </c>
      <c r="BW12" s="3">
        <f>CALCS!Q2405</f>
        <v>0</v>
      </c>
      <c r="BX12" s="3">
        <f>CALCS!Q2436</f>
        <v>0</v>
      </c>
      <c r="BY12" s="3">
        <f>CALCS!Q2467</f>
        <v>0</v>
      </c>
      <c r="BZ12" s="3">
        <f>CALCS!Q2498</f>
        <v>0</v>
      </c>
      <c r="CA12" s="3">
        <f>CALCS!Q2529</f>
        <v>0</v>
      </c>
      <c r="CB12" s="3">
        <f>CALCS!Q2560</f>
        <v>0</v>
      </c>
      <c r="CC12" s="3">
        <f>CALCS!Q2591</f>
        <v>0</v>
      </c>
      <c r="CD12" s="3">
        <f>CALCS!Q2622</f>
        <v>0</v>
      </c>
      <c r="CE12" s="3">
        <f>CALCS!Q2653</f>
        <v>0</v>
      </c>
      <c r="CF12" s="3">
        <f>CALCS!Q2684</f>
        <v>0</v>
      </c>
      <c r="CG12" s="3">
        <f>CALCS!Q2715</f>
        <v>0</v>
      </c>
      <c r="CH12" s="3">
        <f>CALCS!Q2746</f>
        <v>0</v>
      </c>
      <c r="CI12" s="3">
        <f>CALCS!Q2777</f>
        <v>0</v>
      </c>
      <c r="CJ12" s="3">
        <f>CALCS!Q2808</f>
        <v>0</v>
      </c>
      <c r="CK12" s="3">
        <f>CALCS!Q2839</f>
        <v>0</v>
      </c>
      <c r="CL12" s="3">
        <f>CALCS!Q2870</f>
        <v>0</v>
      </c>
      <c r="CM12" s="3">
        <f>CALCS!Q2901</f>
        <v>0</v>
      </c>
      <c r="CN12" s="3">
        <f>CALCS!Q2932</f>
        <v>0</v>
      </c>
      <c r="CO12" s="3">
        <f>CALCS!Q2963</f>
        <v>0</v>
      </c>
      <c r="CP12" s="3">
        <f>CALCS!Q2994</f>
        <v>0</v>
      </c>
      <c r="CQ12" s="3">
        <f>CALCS!Q3025</f>
        <v>0</v>
      </c>
      <c r="CR12" s="3">
        <f>CALCS!Q3056</f>
        <v>0</v>
      </c>
      <c r="CS12" s="3">
        <f>CALCS!Q3087</f>
        <v>0</v>
      </c>
      <c r="CT12" s="3">
        <f>CALCS!Q3118</f>
        <v>0</v>
      </c>
      <c r="CU12" s="3">
        <f>CALCS!Q3149</f>
        <v>0</v>
      </c>
      <c r="CV12" s="3">
        <f>CALCS!Q3180</f>
        <v>0</v>
      </c>
      <c r="CW12" s="3">
        <f>CALCS!Q3211</f>
        <v>0</v>
      </c>
      <c r="CX12" s="3">
        <f>CALCS!Q3242</f>
        <v>0</v>
      </c>
      <c r="CY12" s="3">
        <f>CALCS!Q3273</f>
        <v>0</v>
      </c>
      <c r="CZ12" s="3">
        <f>CALCS!Q3304</f>
        <v>0</v>
      </c>
      <c r="DA12" s="3">
        <f>CALCS!Q3335</f>
        <v>0</v>
      </c>
      <c r="DB12" s="3">
        <f>CALCS!Q3366</f>
        <v>0</v>
      </c>
      <c r="DC12" s="3">
        <f>CALCS!Q3397</f>
        <v>0</v>
      </c>
      <c r="DD12" s="3">
        <f>CALCS!Q3428</f>
        <v>0</v>
      </c>
      <c r="DE12" s="3">
        <f>CALCS!Q3459</f>
        <v>0</v>
      </c>
      <c r="DF12" s="3">
        <f>CALCS!Q3490</f>
        <v>0</v>
      </c>
      <c r="DG12" s="3">
        <f>CALCS!Q3521</f>
        <v>0</v>
      </c>
      <c r="DH12" s="3">
        <f>CALCS!Q3552</f>
        <v>0</v>
      </c>
      <c r="DI12" s="3">
        <f>CALCS!Q3583</f>
        <v>0</v>
      </c>
      <c r="DJ12" s="3">
        <f>CALCS!Q3614</f>
        <v>0</v>
      </c>
      <c r="DK12" s="3">
        <f>CALCS!Q3645</f>
        <v>0</v>
      </c>
      <c r="DL12" s="3">
        <f>CALCS!Q3676</f>
        <v>0</v>
      </c>
      <c r="DM12" s="3">
        <f>CALCS!Q3707</f>
        <v>0</v>
      </c>
      <c r="DN12" s="3">
        <f>CALCS!Q3738</f>
        <v>0</v>
      </c>
      <c r="DO12" s="3">
        <f>CALCS!Q3769</f>
        <v>0</v>
      </c>
      <c r="DP12" s="3">
        <f>CALCS!Q3800</f>
        <v>0</v>
      </c>
      <c r="DQ12" s="3">
        <f>CALCS!Q3831</f>
        <v>0</v>
      </c>
    </row>
    <row r="13" spans="1:121" x14ac:dyDescent="0.2">
      <c r="A13" s="3">
        <f t="shared" si="0"/>
        <v>92</v>
      </c>
      <c r="B13" s="3">
        <f>CALCS!Q143</f>
        <v>0</v>
      </c>
      <c r="C13" s="3">
        <f>CALCS!Q174</f>
        <v>0.43504100000000001</v>
      </c>
      <c r="D13" s="3">
        <f>CALCS!Q205</f>
        <v>0.43504100000000001</v>
      </c>
      <c r="E13" s="3">
        <f>CALCS!Q236</f>
        <v>0.43504100000000001</v>
      </c>
      <c r="F13" s="3">
        <f>CALCS!Q267</f>
        <v>0.43504100000000001</v>
      </c>
      <c r="G13" s="3">
        <f>CALCS!Q298</f>
        <v>0.43504099999999996</v>
      </c>
      <c r="H13" s="3">
        <f>CALCS!Q329</f>
        <v>0.43504100000000001</v>
      </c>
      <c r="I13" s="3">
        <f>CALCS!Q360</f>
        <v>0.43504100000000001</v>
      </c>
      <c r="J13" s="3">
        <f>CALCS!Q391</f>
        <v>0.43504100000000001</v>
      </c>
      <c r="K13" s="3">
        <f>CALCS!Q422</f>
        <v>0</v>
      </c>
      <c r="L13" s="3">
        <f>CALCS!Q453</f>
        <v>0.43504100000000001</v>
      </c>
      <c r="M13" s="3">
        <f>CALCS!Q484</f>
        <v>0.43504100000000001</v>
      </c>
      <c r="N13" s="3">
        <f>CALCS!Q515</f>
        <v>0.43504100000000001</v>
      </c>
      <c r="O13" s="3">
        <f>CALCS!Q546</f>
        <v>0.43504100000000001</v>
      </c>
      <c r="P13" s="3">
        <f>CALCS!Q577</f>
        <v>0.43504100000000001</v>
      </c>
      <c r="Q13" s="3">
        <f>CALCS!Q608</f>
        <v>0.43504100000000001</v>
      </c>
      <c r="R13" s="3">
        <f>CALCS!Q639</f>
        <v>0</v>
      </c>
      <c r="S13" s="3">
        <f>CALCS!Q670</f>
        <v>0</v>
      </c>
      <c r="T13" s="3">
        <f>CALCS!Q701</f>
        <v>0</v>
      </c>
      <c r="U13" s="3">
        <f>CALCS!Q732</f>
        <v>0</v>
      </c>
      <c r="V13" s="3">
        <f>CALCS!Q763</f>
        <v>0</v>
      </c>
      <c r="W13" s="3">
        <f>CALCS!Q794</f>
        <v>0</v>
      </c>
      <c r="X13" s="3">
        <f>CALCS!Q825</f>
        <v>0</v>
      </c>
      <c r="Y13" s="3">
        <f>CALCS!Q856</f>
        <v>0</v>
      </c>
      <c r="Z13" s="3">
        <f>CALCS!Q887</f>
        <v>0</v>
      </c>
      <c r="AA13" s="3">
        <f>CALCS!Q918</f>
        <v>0</v>
      </c>
      <c r="AB13" s="3">
        <f>CALCS!Q949</f>
        <v>0</v>
      </c>
      <c r="AC13" s="3">
        <f>CALCS!Q980</f>
        <v>0</v>
      </c>
      <c r="AD13" s="3">
        <f>CALCS!Q1011</f>
        <v>0</v>
      </c>
      <c r="AE13" s="3">
        <f>CALCS!Q1042</f>
        <v>0</v>
      </c>
      <c r="AF13" s="3">
        <f>CALCS!Q1073</f>
        <v>0</v>
      </c>
      <c r="AG13" s="3">
        <f>CALCS!Q1104</f>
        <v>0</v>
      </c>
      <c r="AH13" s="3">
        <f>CALCS!Q1135</f>
        <v>0</v>
      </c>
      <c r="AI13" s="3">
        <f>CALCS!Q1166</f>
        <v>0</v>
      </c>
      <c r="AJ13" s="3">
        <f>CALCS!Q1197</f>
        <v>0</v>
      </c>
      <c r="AK13" s="3">
        <f>CALCS!Q1228</f>
        <v>0</v>
      </c>
      <c r="AL13" s="3">
        <f>CALCS!Q1259</f>
        <v>0</v>
      </c>
      <c r="AM13" s="3">
        <f>CALCS!Q1290</f>
        <v>0</v>
      </c>
      <c r="AN13" s="3">
        <f>CALCS!Q1321</f>
        <v>0</v>
      </c>
      <c r="AO13" s="3">
        <f>CALCS!Q1352</f>
        <v>0</v>
      </c>
      <c r="AP13" s="3">
        <f>CALCS!Q1383</f>
        <v>0</v>
      </c>
      <c r="AQ13" s="3">
        <f>CALCS!Q1414</f>
        <v>0</v>
      </c>
      <c r="AR13" s="3">
        <f>CALCS!Q1445</f>
        <v>0</v>
      </c>
      <c r="AS13" s="3">
        <f>CALCS!Q1476</f>
        <v>0</v>
      </c>
      <c r="AT13" s="3">
        <f>CALCS!Q1507</f>
        <v>0</v>
      </c>
      <c r="AU13" s="3">
        <f>CALCS!Q1538</f>
        <v>0</v>
      </c>
      <c r="AV13" s="3">
        <f>CALCS!Q1569</f>
        <v>0</v>
      </c>
      <c r="AW13" s="3">
        <f>CALCS!Q1600</f>
        <v>0</v>
      </c>
      <c r="AX13" s="3">
        <f>CALCS!Q1631</f>
        <v>0</v>
      </c>
      <c r="AY13" s="3">
        <f>CALCS!Q1662</f>
        <v>0</v>
      </c>
      <c r="AZ13" s="3">
        <f>CALCS!Q1693</f>
        <v>0</v>
      </c>
      <c r="BA13" s="3">
        <f>CALCS!Q1724</f>
        <v>0</v>
      </c>
      <c r="BB13" s="3">
        <f>CALCS!Q1755</f>
        <v>0</v>
      </c>
      <c r="BC13" s="3">
        <f>CALCS!Q1786</f>
        <v>0</v>
      </c>
      <c r="BD13" s="3">
        <f>CALCS!Q1817</f>
        <v>0</v>
      </c>
      <c r="BE13" s="3">
        <f>CALCS!Q1848</f>
        <v>0</v>
      </c>
      <c r="BF13" s="3">
        <f>CALCS!Q1879</f>
        <v>0</v>
      </c>
      <c r="BG13" s="3">
        <f>CALCS!Q1910</f>
        <v>0</v>
      </c>
      <c r="BH13" s="3">
        <f>CALCS!Q1941</f>
        <v>0</v>
      </c>
      <c r="BI13" s="3">
        <f>CALCS!Q1972</f>
        <v>0</v>
      </c>
      <c r="BJ13" s="3">
        <f>CALCS!Q2003</f>
        <v>0</v>
      </c>
      <c r="BK13" s="3">
        <f>CALCS!Q2034</f>
        <v>0</v>
      </c>
      <c r="BL13" s="3">
        <f>CALCS!Q2065</f>
        <v>0</v>
      </c>
      <c r="BM13" s="3">
        <f>CALCS!Q2096</f>
        <v>0</v>
      </c>
      <c r="BN13" s="3">
        <f>CALCS!Q2127</f>
        <v>0</v>
      </c>
      <c r="BO13" s="3">
        <f>CALCS!Q2158</f>
        <v>0</v>
      </c>
      <c r="BP13" s="3">
        <f>CALCS!Q2189</f>
        <v>0</v>
      </c>
      <c r="BQ13" s="3">
        <f>CALCS!Q2220</f>
        <v>0</v>
      </c>
      <c r="BR13" s="3">
        <f>CALCS!Q2251</f>
        <v>0</v>
      </c>
      <c r="BS13" s="3">
        <f>CALCS!Q2282</f>
        <v>0</v>
      </c>
      <c r="BT13" s="3">
        <f>CALCS!Q2313</f>
        <v>0</v>
      </c>
      <c r="BU13" s="3">
        <f>CALCS!Q2344</f>
        <v>0</v>
      </c>
      <c r="BV13" s="3">
        <f>CALCS!Q2375</f>
        <v>0</v>
      </c>
      <c r="BW13" s="3">
        <f>CALCS!Q2406</f>
        <v>0</v>
      </c>
      <c r="BX13" s="3">
        <f>CALCS!Q2437</f>
        <v>0</v>
      </c>
      <c r="BY13" s="3">
        <f>CALCS!Q2468</f>
        <v>0</v>
      </c>
      <c r="BZ13" s="3">
        <f>CALCS!Q2499</f>
        <v>0</v>
      </c>
      <c r="CA13" s="3">
        <f>CALCS!Q2530</f>
        <v>0</v>
      </c>
      <c r="CB13" s="3">
        <f>CALCS!Q2561</f>
        <v>0</v>
      </c>
      <c r="CC13" s="3">
        <f>CALCS!Q2592</f>
        <v>0</v>
      </c>
      <c r="CD13" s="3">
        <f>CALCS!Q2623</f>
        <v>0</v>
      </c>
      <c r="CE13" s="3">
        <f>CALCS!Q2654</f>
        <v>0</v>
      </c>
      <c r="CF13" s="3">
        <f>CALCS!Q2685</f>
        <v>0</v>
      </c>
      <c r="CG13" s="3">
        <f>CALCS!Q2716</f>
        <v>0</v>
      </c>
      <c r="CH13" s="3">
        <f>CALCS!Q2747</f>
        <v>0</v>
      </c>
      <c r="CI13" s="3">
        <f>CALCS!Q2778</f>
        <v>0</v>
      </c>
      <c r="CJ13" s="3">
        <f>CALCS!Q2809</f>
        <v>0</v>
      </c>
      <c r="CK13" s="3">
        <f>CALCS!Q2840</f>
        <v>0</v>
      </c>
      <c r="CL13" s="3">
        <f>CALCS!Q2871</f>
        <v>0</v>
      </c>
      <c r="CM13" s="3">
        <f>CALCS!Q2902</f>
        <v>0</v>
      </c>
      <c r="CN13" s="3">
        <f>CALCS!Q2933</f>
        <v>0</v>
      </c>
      <c r="CO13" s="3">
        <f>CALCS!Q2964</f>
        <v>0</v>
      </c>
      <c r="CP13" s="3">
        <f>CALCS!Q2995</f>
        <v>0</v>
      </c>
      <c r="CQ13" s="3">
        <f>CALCS!Q3026</f>
        <v>0</v>
      </c>
      <c r="CR13" s="3">
        <f>CALCS!Q3057</f>
        <v>0</v>
      </c>
      <c r="CS13" s="3">
        <f>CALCS!Q3088</f>
        <v>0</v>
      </c>
      <c r="CT13" s="3">
        <f>CALCS!Q3119</f>
        <v>0</v>
      </c>
      <c r="CU13" s="3">
        <f>CALCS!Q3150</f>
        <v>0</v>
      </c>
      <c r="CV13" s="3">
        <f>CALCS!Q3181</f>
        <v>0</v>
      </c>
      <c r="CW13" s="3">
        <f>CALCS!Q3212</f>
        <v>0</v>
      </c>
      <c r="CX13" s="3">
        <f>CALCS!Q3243</f>
        <v>0</v>
      </c>
      <c r="CY13" s="3">
        <f>CALCS!Q3274</f>
        <v>0</v>
      </c>
      <c r="CZ13" s="3">
        <f>CALCS!Q3305</f>
        <v>0</v>
      </c>
      <c r="DA13" s="3">
        <f>CALCS!Q3336</f>
        <v>0</v>
      </c>
      <c r="DB13" s="3">
        <f>CALCS!Q3367</f>
        <v>0</v>
      </c>
      <c r="DC13" s="3">
        <f>CALCS!Q3398</f>
        <v>0</v>
      </c>
      <c r="DD13" s="3">
        <f>CALCS!Q3429</f>
        <v>0</v>
      </c>
      <c r="DE13" s="3">
        <f>CALCS!Q3460</f>
        <v>0</v>
      </c>
      <c r="DF13" s="3">
        <f>CALCS!Q3491</f>
        <v>0</v>
      </c>
      <c r="DG13" s="3">
        <f>CALCS!Q3522</f>
        <v>0</v>
      </c>
      <c r="DH13" s="3">
        <f>CALCS!Q3553</f>
        <v>0</v>
      </c>
      <c r="DI13" s="3">
        <f>CALCS!Q3584</f>
        <v>0</v>
      </c>
      <c r="DJ13" s="3">
        <f>CALCS!Q3615</f>
        <v>0</v>
      </c>
      <c r="DK13" s="3">
        <f>CALCS!Q3646</f>
        <v>0</v>
      </c>
      <c r="DL13" s="3">
        <f>CALCS!Q3677</f>
        <v>0</v>
      </c>
      <c r="DM13" s="3">
        <f>CALCS!Q3708</f>
        <v>0</v>
      </c>
      <c r="DN13" s="3">
        <f>CALCS!Q3739</f>
        <v>0</v>
      </c>
      <c r="DO13" s="3">
        <f>CALCS!Q3770</f>
        <v>0</v>
      </c>
      <c r="DP13" s="3">
        <f>CALCS!Q3801</f>
        <v>0</v>
      </c>
      <c r="DQ13" s="3">
        <f>CALCS!Q3832</f>
        <v>0</v>
      </c>
    </row>
    <row r="14" spans="1:121" x14ac:dyDescent="0.2">
      <c r="A14" s="3">
        <f t="shared" si="0"/>
        <v>93</v>
      </c>
      <c r="B14" s="3">
        <f>CALCS!Q144</f>
        <v>0</v>
      </c>
      <c r="C14" s="3">
        <f>CALCS!Q175</f>
        <v>0.499164</v>
      </c>
      <c r="D14" s="3">
        <f>CALCS!Q206</f>
        <v>0.49916399999999994</v>
      </c>
      <c r="E14" s="3">
        <f>CALCS!Q237</f>
        <v>0.499164</v>
      </c>
      <c r="F14" s="3">
        <f>CALCS!Q268</f>
        <v>0.499164</v>
      </c>
      <c r="G14" s="3">
        <f>CALCS!Q299</f>
        <v>0.499164</v>
      </c>
      <c r="H14" s="3">
        <f>CALCS!Q330</f>
        <v>0.499164</v>
      </c>
      <c r="I14" s="3">
        <f>CALCS!Q361</f>
        <v>0.499164</v>
      </c>
      <c r="J14" s="3">
        <f>CALCS!Q392</f>
        <v>0.499164</v>
      </c>
      <c r="K14" s="3">
        <f>CALCS!Q423</f>
        <v>0</v>
      </c>
      <c r="L14" s="3">
        <f>CALCS!Q454</f>
        <v>0.499164</v>
      </c>
      <c r="M14" s="3">
        <f>CALCS!Q485</f>
        <v>0.49916400000000005</v>
      </c>
      <c r="N14" s="3">
        <f>CALCS!Q516</f>
        <v>0.49916399999999994</v>
      </c>
      <c r="O14" s="3">
        <f>CALCS!Q547</f>
        <v>0.499164</v>
      </c>
      <c r="P14" s="3">
        <f>CALCS!Q578</f>
        <v>0.499164</v>
      </c>
      <c r="Q14" s="3">
        <f>CALCS!Q609</f>
        <v>0.49916399999999994</v>
      </c>
      <c r="R14" s="3">
        <f>CALCS!Q640</f>
        <v>0</v>
      </c>
      <c r="S14" s="3">
        <f>CALCS!Q671</f>
        <v>0</v>
      </c>
      <c r="T14" s="3">
        <f>CALCS!Q702</f>
        <v>0</v>
      </c>
      <c r="U14" s="3">
        <f>CALCS!Q733</f>
        <v>0</v>
      </c>
      <c r="V14" s="3">
        <f>CALCS!Q764</f>
        <v>0</v>
      </c>
      <c r="W14" s="3">
        <f>CALCS!Q795</f>
        <v>0</v>
      </c>
      <c r="X14" s="3">
        <f>CALCS!Q826</f>
        <v>0</v>
      </c>
      <c r="Y14" s="3">
        <f>CALCS!Q857</f>
        <v>0</v>
      </c>
      <c r="Z14" s="3">
        <f>CALCS!Q888</f>
        <v>0</v>
      </c>
      <c r="AA14" s="3">
        <f>CALCS!Q919</f>
        <v>0</v>
      </c>
      <c r="AB14" s="3">
        <f>CALCS!Q950</f>
        <v>0</v>
      </c>
      <c r="AC14" s="3">
        <f>CALCS!Q981</f>
        <v>0</v>
      </c>
      <c r="AD14" s="3">
        <f>CALCS!Q1012</f>
        <v>0</v>
      </c>
      <c r="AE14" s="3">
        <f>CALCS!Q1043</f>
        <v>0</v>
      </c>
      <c r="AF14" s="3">
        <f>CALCS!Q1074</f>
        <v>0</v>
      </c>
      <c r="AG14" s="3">
        <f>CALCS!Q1105</f>
        <v>0</v>
      </c>
      <c r="AH14" s="3">
        <f>CALCS!Q1136</f>
        <v>0</v>
      </c>
      <c r="AI14" s="3">
        <f>CALCS!Q1167</f>
        <v>0</v>
      </c>
      <c r="AJ14" s="3">
        <f>CALCS!Q1198</f>
        <v>0</v>
      </c>
      <c r="AK14" s="3">
        <f>CALCS!Q1229</f>
        <v>0</v>
      </c>
      <c r="AL14" s="3">
        <f>CALCS!Q1260</f>
        <v>0</v>
      </c>
      <c r="AM14" s="3">
        <f>CALCS!Q1291</f>
        <v>0</v>
      </c>
      <c r="AN14" s="3">
        <f>CALCS!Q1322</f>
        <v>0</v>
      </c>
      <c r="AO14" s="3">
        <f>CALCS!Q1353</f>
        <v>0</v>
      </c>
      <c r="AP14" s="3">
        <f>CALCS!Q1384</f>
        <v>0</v>
      </c>
      <c r="AQ14" s="3">
        <f>CALCS!Q1415</f>
        <v>0</v>
      </c>
      <c r="AR14" s="3">
        <f>CALCS!Q1446</f>
        <v>0</v>
      </c>
      <c r="AS14" s="3">
        <f>CALCS!Q1477</f>
        <v>0</v>
      </c>
      <c r="AT14" s="3">
        <f>CALCS!Q1508</f>
        <v>0</v>
      </c>
      <c r="AU14" s="3">
        <f>CALCS!Q1539</f>
        <v>0</v>
      </c>
      <c r="AV14" s="3">
        <f>CALCS!Q1570</f>
        <v>0</v>
      </c>
      <c r="AW14" s="3">
        <f>CALCS!Q1601</f>
        <v>0</v>
      </c>
      <c r="AX14" s="3">
        <f>CALCS!Q1632</f>
        <v>0</v>
      </c>
      <c r="AY14" s="3">
        <f>CALCS!Q1663</f>
        <v>0</v>
      </c>
      <c r="AZ14" s="3">
        <f>CALCS!Q1694</f>
        <v>0</v>
      </c>
      <c r="BA14" s="3">
        <f>CALCS!Q1725</f>
        <v>0</v>
      </c>
      <c r="BB14" s="3">
        <f>CALCS!Q1756</f>
        <v>0</v>
      </c>
      <c r="BC14" s="3">
        <f>CALCS!Q1787</f>
        <v>0</v>
      </c>
      <c r="BD14" s="3">
        <f>CALCS!Q1818</f>
        <v>0</v>
      </c>
      <c r="BE14" s="3">
        <f>CALCS!Q1849</f>
        <v>0</v>
      </c>
      <c r="BF14" s="3">
        <f>CALCS!Q1880</f>
        <v>0</v>
      </c>
      <c r="BG14" s="3">
        <f>CALCS!Q1911</f>
        <v>0</v>
      </c>
      <c r="BH14" s="3">
        <f>CALCS!Q1942</f>
        <v>0</v>
      </c>
      <c r="BI14" s="3">
        <f>CALCS!Q1973</f>
        <v>0</v>
      </c>
      <c r="BJ14" s="3">
        <f>CALCS!Q2004</f>
        <v>0</v>
      </c>
      <c r="BK14" s="3">
        <f>CALCS!Q2035</f>
        <v>0</v>
      </c>
      <c r="BL14" s="3">
        <f>CALCS!Q2066</f>
        <v>0</v>
      </c>
      <c r="BM14" s="3">
        <f>CALCS!Q2097</f>
        <v>0</v>
      </c>
      <c r="BN14" s="3">
        <f>CALCS!Q2128</f>
        <v>0</v>
      </c>
      <c r="BO14" s="3">
        <f>CALCS!Q2159</f>
        <v>0</v>
      </c>
      <c r="BP14" s="3">
        <f>CALCS!Q2190</f>
        <v>0</v>
      </c>
      <c r="BQ14" s="3">
        <f>CALCS!Q2221</f>
        <v>0</v>
      </c>
      <c r="BR14" s="3">
        <f>CALCS!Q2252</f>
        <v>0</v>
      </c>
      <c r="BS14" s="3">
        <f>CALCS!Q2283</f>
        <v>0</v>
      </c>
      <c r="BT14" s="3">
        <f>CALCS!Q2314</f>
        <v>0</v>
      </c>
      <c r="BU14" s="3">
        <f>CALCS!Q2345</f>
        <v>0</v>
      </c>
      <c r="BV14" s="3">
        <f>CALCS!Q2376</f>
        <v>0</v>
      </c>
      <c r="BW14" s="3">
        <f>CALCS!Q2407</f>
        <v>0</v>
      </c>
      <c r="BX14" s="3">
        <f>CALCS!Q2438</f>
        <v>0</v>
      </c>
      <c r="BY14" s="3">
        <f>CALCS!Q2469</f>
        <v>0</v>
      </c>
      <c r="BZ14" s="3">
        <f>CALCS!Q2500</f>
        <v>0</v>
      </c>
      <c r="CA14" s="3">
        <f>CALCS!Q2531</f>
        <v>0</v>
      </c>
      <c r="CB14" s="3">
        <f>CALCS!Q2562</f>
        <v>0</v>
      </c>
      <c r="CC14" s="3">
        <f>CALCS!Q2593</f>
        <v>0</v>
      </c>
      <c r="CD14" s="3">
        <f>CALCS!Q2624</f>
        <v>0</v>
      </c>
      <c r="CE14" s="3">
        <f>CALCS!Q2655</f>
        <v>0</v>
      </c>
      <c r="CF14" s="3">
        <f>CALCS!Q2686</f>
        <v>0</v>
      </c>
      <c r="CG14" s="3">
        <f>CALCS!Q2717</f>
        <v>0</v>
      </c>
      <c r="CH14" s="3">
        <f>CALCS!Q2748</f>
        <v>0</v>
      </c>
      <c r="CI14" s="3">
        <f>CALCS!Q2779</f>
        <v>0</v>
      </c>
      <c r="CJ14" s="3">
        <f>CALCS!Q2810</f>
        <v>0</v>
      </c>
      <c r="CK14" s="3">
        <f>CALCS!Q2841</f>
        <v>0</v>
      </c>
      <c r="CL14" s="3">
        <f>CALCS!Q2872</f>
        <v>0</v>
      </c>
      <c r="CM14" s="3">
        <f>CALCS!Q2903</f>
        <v>0</v>
      </c>
      <c r="CN14" s="3">
        <f>CALCS!Q2934</f>
        <v>0</v>
      </c>
      <c r="CO14" s="3">
        <f>CALCS!Q2965</f>
        <v>0</v>
      </c>
      <c r="CP14" s="3">
        <f>CALCS!Q2996</f>
        <v>0</v>
      </c>
      <c r="CQ14" s="3">
        <f>CALCS!Q3027</f>
        <v>0</v>
      </c>
      <c r="CR14" s="3">
        <f>CALCS!Q3058</f>
        <v>0</v>
      </c>
      <c r="CS14" s="3">
        <f>CALCS!Q3089</f>
        <v>0</v>
      </c>
      <c r="CT14" s="3">
        <f>CALCS!Q3120</f>
        <v>0</v>
      </c>
      <c r="CU14" s="3">
        <f>CALCS!Q3151</f>
        <v>0</v>
      </c>
      <c r="CV14" s="3">
        <f>CALCS!Q3182</f>
        <v>0</v>
      </c>
      <c r="CW14" s="3">
        <f>CALCS!Q3213</f>
        <v>0</v>
      </c>
      <c r="CX14" s="3">
        <f>CALCS!Q3244</f>
        <v>0</v>
      </c>
      <c r="CY14" s="3">
        <f>CALCS!Q3275</f>
        <v>0</v>
      </c>
      <c r="CZ14" s="3">
        <f>CALCS!Q3306</f>
        <v>0</v>
      </c>
      <c r="DA14" s="3">
        <f>CALCS!Q3337</f>
        <v>0</v>
      </c>
      <c r="DB14" s="3">
        <f>CALCS!Q3368</f>
        <v>0</v>
      </c>
      <c r="DC14" s="3">
        <f>CALCS!Q3399</f>
        <v>0</v>
      </c>
      <c r="DD14" s="3">
        <f>CALCS!Q3430</f>
        <v>0</v>
      </c>
      <c r="DE14" s="3">
        <f>CALCS!Q3461</f>
        <v>0</v>
      </c>
      <c r="DF14" s="3">
        <f>CALCS!Q3492</f>
        <v>0</v>
      </c>
      <c r="DG14" s="3">
        <f>CALCS!Q3523</f>
        <v>0</v>
      </c>
      <c r="DH14" s="3">
        <f>CALCS!Q3554</f>
        <v>0</v>
      </c>
      <c r="DI14" s="3">
        <f>CALCS!Q3585</f>
        <v>0</v>
      </c>
      <c r="DJ14" s="3">
        <f>CALCS!Q3616</f>
        <v>0</v>
      </c>
      <c r="DK14" s="3">
        <f>CALCS!Q3647</f>
        <v>0</v>
      </c>
      <c r="DL14" s="3">
        <f>CALCS!Q3678</f>
        <v>0</v>
      </c>
      <c r="DM14" s="3">
        <f>CALCS!Q3709</f>
        <v>0</v>
      </c>
      <c r="DN14" s="3">
        <f>CALCS!Q3740</f>
        <v>0</v>
      </c>
      <c r="DO14" s="3">
        <f>CALCS!Q3771</f>
        <v>0</v>
      </c>
      <c r="DP14" s="3">
        <f>CALCS!Q3802</f>
        <v>0</v>
      </c>
      <c r="DQ14" s="3">
        <f>CALCS!Q3833</f>
        <v>0</v>
      </c>
    </row>
    <row r="15" spans="1:121" x14ac:dyDescent="0.2">
      <c r="A15" s="3">
        <f t="shared" si="0"/>
        <v>94</v>
      </c>
      <c r="B15" s="3">
        <f>CALCS!Q145</f>
        <v>0</v>
      </c>
      <c r="C15" s="3">
        <f>CALCS!Q176</f>
        <v>0.59591300000000003</v>
      </c>
      <c r="D15" s="3">
        <f>CALCS!Q207</f>
        <v>0.59591300000000003</v>
      </c>
      <c r="E15" s="3">
        <f>CALCS!Q238</f>
        <v>0.59591300000000003</v>
      </c>
      <c r="F15" s="3">
        <f>CALCS!Q269</f>
        <v>0.59591300000000003</v>
      </c>
      <c r="G15" s="3">
        <f>CALCS!Q300</f>
        <v>0.59591300000000003</v>
      </c>
      <c r="H15" s="3">
        <f>CALCS!Q331</f>
        <v>0.59591300000000003</v>
      </c>
      <c r="I15" s="3">
        <f>CALCS!Q362</f>
        <v>0.59591300000000003</v>
      </c>
      <c r="J15" s="3">
        <f>CALCS!Q393</f>
        <v>0.59591300000000003</v>
      </c>
      <c r="K15" s="3">
        <f>CALCS!Q424</f>
        <v>0</v>
      </c>
      <c r="L15" s="3">
        <f>CALCS!Q455</f>
        <v>0.59591300000000003</v>
      </c>
      <c r="M15" s="3">
        <f>CALCS!Q486</f>
        <v>0.59591300000000003</v>
      </c>
      <c r="N15" s="3">
        <f>CALCS!Q517</f>
        <v>0.59591300000000003</v>
      </c>
      <c r="O15" s="3">
        <f>CALCS!Q548</f>
        <v>0.59591300000000003</v>
      </c>
      <c r="P15" s="3">
        <f>CALCS!Q579</f>
        <v>0.59591300000000003</v>
      </c>
      <c r="Q15" s="3">
        <f>CALCS!Q610</f>
        <v>0.59591300000000003</v>
      </c>
      <c r="R15" s="3">
        <f>CALCS!Q641</f>
        <v>0</v>
      </c>
      <c r="S15" s="3">
        <f>CALCS!Q672</f>
        <v>0</v>
      </c>
      <c r="T15" s="3">
        <f>CALCS!Q703</f>
        <v>0</v>
      </c>
      <c r="U15" s="3">
        <f>CALCS!Q734</f>
        <v>0</v>
      </c>
      <c r="V15" s="3">
        <f>CALCS!Q765</f>
        <v>0</v>
      </c>
      <c r="W15" s="3">
        <f>CALCS!Q796</f>
        <v>0</v>
      </c>
      <c r="X15" s="3">
        <f>CALCS!Q827</f>
        <v>0</v>
      </c>
      <c r="Y15" s="3">
        <f>CALCS!Q858</f>
        <v>0</v>
      </c>
      <c r="Z15" s="3">
        <f>CALCS!Q889</f>
        <v>0</v>
      </c>
      <c r="AA15" s="3">
        <f>CALCS!Q920</f>
        <v>0</v>
      </c>
      <c r="AB15" s="3">
        <f>CALCS!Q951</f>
        <v>0</v>
      </c>
      <c r="AC15" s="3">
        <f>CALCS!Q982</f>
        <v>0</v>
      </c>
      <c r="AD15" s="3">
        <f>CALCS!Q1013</f>
        <v>0</v>
      </c>
      <c r="AE15" s="3">
        <f>CALCS!Q1044</f>
        <v>0</v>
      </c>
      <c r="AF15" s="3">
        <f>CALCS!Q1075</f>
        <v>0</v>
      </c>
      <c r="AG15" s="3">
        <f>CALCS!Q1106</f>
        <v>0</v>
      </c>
      <c r="AH15" s="3">
        <f>CALCS!Q1137</f>
        <v>0</v>
      </c>
      <c r="AI15" s="3">
        <f>CALCS!Q1168</f>
        <v>0</v>
      </c>
      <c r="AJ15" s="3">
        <f>CALCS!Q1199</f>
        <v>0</v>
      </c>
      <c r="AK15" s="3">
        <f>CALCS!Q1230</f>
        <v>0</v>
      </c>
      <c r="AL15" s="3">
        <f>CALCS!Q1261</f>
        <v>0</v>
      </c>
      <c r="AM15" s="3">
        <f>CALCS!Q1292</f>
        <v>0</v>
      </c>
      <c r="AN15" s="3">
        <f>CALCS!Q1323</f>
        <v>0</v>
      </c>
      <c r="AO15" s="3">
        <f>CALCS!Q1354</f>
        <v>0</v>
      </c>
      <c r="AP15" s="3">
        <f>CALCS!Q1385</f>
        <v>0</v>
      </c>
      <c r="AQ15" s="3">
        <f>CALCS!Q1416</f>
        <v>0</v>
      </c>
      <c r="AR15" s="3">
        <f>CALCS!Q1447</f>
        <v>0</v>
      </c>
      <c r="AS15" s="3">
        <f>CALCS!Q1478</f>
        <v>0</v>
      </c>
      <c r="AT15" s="3">
        <f>CALCS!Q1509</f>
        <v>0</v>
      </c>
      <c r="AU15" s="3">
        <f>CALCS!Q1540</f>
        <v>0</v>
      </c>
      <c r="AV15" s="3">
        <f>CALCS!Q1571</f>
        <v>0</v>
      </c>
      <c r="AW15" s="3">
        <f>CALCS!Q1602</f>
        <v>0</v>
      </c>
      <c r="AX15" s="3">
        <f>CALCS!Q1633</f>
        <v>0</v>
      </c>
      <c r="AY15" s="3">
        <f>CALCS!Q1664</f>
        <v>0</v>
      </c>
      <c r="AZ15" s="3">
        <f>CALCS!Q1695</f>
        <v>0</v>
      </c>
      <c r="BA15" s="3">
        <f>CALCS!Q1726</f>
        <v>0</v>
      </c>
      <c r="BB15" s="3">
        <f>CALCS!Q1757</f>
        <v>0</v>
      </c>
      <c r="BC15" s="3">
        <f>CALCS!Q1788</f>
        <v>0</v>
      </c>
      <c r="BD15" s="3">
        <f>CALCS!Q1819</f>
        <v>0</v>
      </c>
      <c r="BE15" s="3">
        <f>CALCS!Q1850</f>
        <v>0</v>
      </c>
      <c r="BF15" s="3">
        <f>CALCS!Q1881</f>
        <v>0</v>
      </c>
      <c r="BG15" s="3">
        <f>CALCS!Q1912</f>
        <v>0</v>
      </c>
      <c r="BH15" s="3">
        <f>CALCS!Q1943</f>
        <v>0</v>
      </c>
      <c r="BI15" s="3">
        <f>CALCS!Q1974</f>
        <v>0</v>
      </c>
      <c r="BJ15" s="3">
        <f>CALCS!Q2005</f>
        <v>0</v>
      </c>
      <c r="BK15" s="3">
        <f>CALCS!Q2036</f>
        <v>0</v>
      </c>
      <c r="BL15" s="3">
        <f>CALCS!Q2067</f>
        <v>0</v>
      </c>
      <c r="BM15" s="3">
        <f>CALCS!Q2098</f>
        <v>0</v>
      </c>
      <c r="BN15" s="3">
        <f>CALCS!Q2129</f>
        <v>0</v>
      </c>
      <c r="BO15" s="3">
        <f>CALCS!Q2160</f>
        <v>0</v>
      </c>
      <c r="BP15" s="3">
        <f>CALCS!Q2191</f>
        <v>0</v>
      </c>
      <c r="BQ15" s="3">
        <f>CALCS!Q2222</f>
        <v>0</v>
      </c>
      <c r="BR15" s="3">
        <f>CALCS!Q2253</f>
        <v>0</v>
      </c>
      <c r="BS15" s="3">
        <f>CALCS!Q2284</f>
        <v>0</v>
      </c>
      <c r="BT15" s="3">
        <f>CALCS!Q2315</f>
        <v>0</v>
      </c>
      <c r="BU15" s="3">
        <f>CALCS!Q2346</f>
        <v>0</v>
      </c>
      <c r="BV15" s="3">
        <f>CALCS!Q2377</f>
        <v>0</v>
      </c>
      <c r="BW15" s="3">
        <f>CALCS!Q2408</f>
        <v>0</v>
      </c>
      <c r="BX15" s="3">
        <f>CALCS!Q2439</f>
        <v>0</v>
      </c>
      <c r="BY15" s="3">
        <f>CALCS!Q2470</f>
        <v>0</v>
      </c>
      <c r="BZ15" s="3">
        <f>CALCS!Q2501</f>
        <v>0</v>
      </c>
      <c r="CA15" s="3">
        <f>CALCS!Q2532</f>
        <v>0</v>
      </c>
      <c r="CB15" s="3">
        <f>CALCS!Q2563</f>
        <v>0</v>
      </c>
      <c r="CC15" s="3">
        <f>CALCS!Q2594</f>
        <v>0</v>
      </c>
      <c r="CD15" s="3">
        <f>CALCS!Q2625</f>
        <v>0</v>
      </c>
      <c r="CE15" s="3">
        <f>CALCS!Q2656</f>
        <v>0</v>
      </c>
      <c r="CF15" s="3">
        <f>CALCS!Q2687</f>
        <v>0</v>
      </c>
      <c r="CG15" s="3">
        <f>CALCS!Q2718</f>
        <v>0</v>
      </c>
      <c r="CH15" s="3">
        <f>CALCS!Q2749</f>
        <v>0</v>
      </c>
      <c r="CI15" s="3">
        <f>CALCS!Q2780</f>
        <v>0</v>
      </c>
      <c r="CJ15" s="3">
        <f>CALCS!Q2811</f>
        <v>0</v>
      </c>
      <c r="CK15" s="3">
        <f>CALCS!Q2842</f>
        <v>0</v>
      </c>
      <c r="CL15" s="3">
        <f>CALCS!Q2873</f>
        <v>0</v>
      </c>
      <c r="CM15" s="3">
        <f>CALCS!Q2904</f>
        <v>0</v>
      </c>
      <c r="CN15" s="3">
        <f>CALCS!Q2935</f>
        <v>0</v>
      </c>
      <c r="CO15" s="3">
        <f>CALCS!Q2966</f>
        <v>0</v>
      </c>
      <c r="CP15" s="3">
        <f>CALCS!Q2997</f>
        <v>0</v>
      </c>
      <c r="CQ15" s="3">
        <f>CALCS!Q3028</f>
        <v>0</v>
      </c>
      <c r="CR15" s="3">
        <f>CALCS!Q3059</f>
        <v>0</v>
      </c>
      <c r="CS15" s="3">
        <f>CALCS!Q3090</f>
        <v>0</v>
      </c>
      <c r="CT15" s="3">
        <f>CALCS!Q3121</f>
        <v>0</v>
      </c>
      <c r="CU15" s="3">
        <f>CALCS!Q3152</f>
        <v>0</v>
      </c>
      <c r="CV15" s="3">
        <f>CALCS!Q3183</f>
        <v>0</v>
      </c>
      <c r="CW15" s="3">
        <f>CALCS!Q3214</f>
        <v>0</v>
      </c>
      <c r="CX15" s="3">
        <f>CALCS!Q3245</f>
        <v>0</v>
      </c>
      <c r="CY15" s="3">
        <f>CALCS!Q3276</f>
        <v>0</v>
      </c>
      <c r="CZ15" s="3">
        <f>CALCS!Q3307</f>
        <v>0</v>
      </c>
      <c r="DA15" s="3">
        <f>CALCS!Q3338</f>
        <v>0</v>
      </c>
      <c r="DB15" s="3">
        <f>CALCS!Q3369</f>
        <v>0</v>
      </c>
      <c r="DC15" s="3">
        <f>CALCS!Q3400</f>
        <v>0</v>
      </c>
      <c r="DD15" s="3">
        <f>CALCS!Q3431</f>
        <v>0</v>
      </c>
      <c r="DE15" s="3">
        <f>CALCS!Q3462</f>
        <v>0</v>
      </c>
      <c r="DF15" s="3">
        <f>CALCS!Q3493</f>
        <v>0</v>
      </c>
      <c r="DG15" s="3">
        <f>CALCS!Q3524</f>
        <v>0</v>
      </c>
      <c r="DH15" s="3">
        <f>CALCS!Q3555</f>
        <v>0</v>
      </c>
      <c r="DI15" s="3">
        <f>CALCS!Q3586</f>
        <v>0</v>
      </c>
      <c r="DJ15" s="3">
        <f>CALCS!Q3617</f>
        <v>0</v>
      </c>
      <c r="DK15" s="3">
        <f>CALCS!Q3648</f>
        <v>0</v>
      </c>
      <c r="DL15" s="3">
        <f>CALCS!Q3679</f>
        <v>0</v>
      </c>
      <c r="DM15" s="3">
        <f>CALCS!Q3710</f>
        <v>0</v>
      </c>
      <c r="DN15" s="3">
        <f>CALCS!Q3741</f>
        <v>0</v>
      </c>
      <c r="DO15" s="3">
        <f>CALCS!Q3772</f>
        <v>0</v>
      </c>
      <c r="DP15" s="3">
        <f>CALCS!Q3803</f>
        <v>0</v>
      </c>
      <c r="DQ15" s="3">
        <f>CALCS!Q3834</f>
        <v>0</v>
      </c>
    </row>
    <row r="16" spans="1:121" x14ac:dyDescent="0.2">
      <c r="A16" s="3">
        <f t="shared" si="0"/>
        <v>95</v>
      </c>
      <c r="B16" s="3">
        <f>CALCS!Q146</f>
        <v>0</v>
      </c>
      <c r="C16" s="3">
        <f>CALCS!Q177</f>
        <v>0.25400800000000001</v>
      </c>
      <c r="D16" s="3">
        <f>CALCS!Q208</f>
        <v>0.25400800000000001</v>
      </c>
      <c r="E16" s="3">
        <f>CALCS!Q239</f>
        <v>0.25400800000000001</v>
      </c>
      <c r="F16" s="3">
        <f>CALCS!Q270</f>
        <v>0.25400800000000001</v>
      </c>
      <c r="G16" s="3">
        <f>CALCS!Q301</f>
        <v>0.25400800000000001</v>
      </c>
      <c r="H16" s="3">
        <f>CALCS!Q332</f>
        <v>0.25400800000000001</v>
      </c>
      <c r="I16" s="3">
        <f>CALCS!Q363</f>
        <v>0.25400800000000001</v>
      </c>
      <c r="J16" s="3">
        <f>CALCS!Q394</f>
        <v>0.25400800000000001</v>
      </c>
      <c r="K16" s="3">
        <f>CALCS!Q425</f>
        <v>0</v>
      </c>
      <c r="L16" s="3">
        <f>CALCS!Q456</f>
        <v>0.25400800000000001</v>
      </c>
      <c r="M16" s="3">
        <f>CALCS!Q487</f>
        <v>0.25400800000000001</v>
      </c>
      <c r="N16" s="3">
        <f>CALCS!Q518</f>
        <v>0.25400800000000001</v>
      </c>
      <c r="O16" s="3">
        <f>CALCS!Q549</f>
        <v>0.25400800000000001</v>
      </c>
      <c r="P16" s="3">
        <f>CALCS!Q580</f>
        <v>0.25400800000000001</v>
      </c>
      <c r="Q16" s="3">
        <f>CALCS!Q611</f>
        <v>0.25400800000000001</v>
      </c>
      <c r="R16" s="3">
        <f>CALCS!Q642</f>
        <v>0</v>
      </c>
      <c r="S16" s="3">
        <f>CALCS!Q673</f>
        <v>0</v>
      </c>
      <c r="T16" s="3">
        <f>CALCS!Q704</f>
        <v>0</v>
      </c>
      <c r="U16" s="3">
        <f>CALCS!Q735</f>
        <v>0</v>
      </c>
      <c r="V16" s="3">
        <f>CALCS!Q766</f>
        <v>0</v>
      </c>
      <c r="W16" s="3">
        <f>CALCS!Q797</f>
        <v>0</v>
      </c>
      <c r="X16" s="3">
        <f>CALCS!Q828</f>
        <v>0</v>
      </c>
      <c r="Y16" s="3">
        <f>CALCS!Q859</f>
        <v>0</v>
      </c>
      <c r="Z16" s="3">
        <f>CALCS!Q890</f>
        <v>0</v>
      </c>
      <c r="AA16" s="3">
        <f>CALCS!Q921</f>
        <v>0</v>
      </c>
      <c r="AB16" s="3">
        <f>CALCS!Q952</f>
        <v>0</v>
      </c>
      <c r="AC16" s="3">
        <f>CALCS!Q983</f>
        <v>0</v>
      </c>
      <c r="AD16" s="3">
        <f>CALCS!Q1014</f>
        <v>0</v>
      </c>
      <c r="AE16" s="3">
        <f>CALCS!Q1045</f>
        <v>0</v>
      </c>
      <c r="AF16" s="3">
        <f>CALCS!Q1076</f>
        <v>0</v>
      </c>
      <c r="AG16" s="3">
        <f>CALCS!Q1107</f>
        <v>0</v>
      </c>
      <c r="AH16" s="3">
        <f>CALCS!Q1138</f>
        <v>0</v>
      </c>
      <c r="AI16" s="3">
        <f>CALCS!Q1169</f>
        <v>0</v>
      </c>
      <c r="AJ16" s="3">
        <f>CALCS!Q1200</f>
        <v>0</v>
      </c>
      <c r="AK16" s="3">
        <f>CALCS!Q1231</f>
        <v>0</v>
      </c>
      <c r="AL16" s="3">
        <f>CALCS!Q1262</f>
        <v>0</v>
      </c>
      <c r="AM16" s="3">
        <f>CALCS!Q1293</f>
        <v>0</v>
      </c>
      <c r="AN16" s="3">
        <f>CALCS!Q1324</f>
        <v>0</v>
      </c>
      <c r="AO16" s="3">
        <f>CALCS!Q1355</f>
        <v>0</v>
      </c>
      <c r="AP16" s="3">
        <f>CALCS!Q1386</f>
        <v>0</v>
      </c>
      <c r="AQ16" s="3">
        <f>CALCS!Q1417</f>
        <v>0</v>
      </c>
      <c r="AR16" s="3">
        <f>CALCS!Q1448</f>
        <v>0</v>
      </c>
      <c r="AS16" s="3">
        <f>CALCS!Q1479</f>
        <v>0</v>
      </c>
      <c r="AT16" s="3">
        <f>CALCS!Q1510</f>
        <v>0</v>
      </c>
      <c r="AU16" s="3">
        <f>CALCS!Q1541</f>
        <v>0</v>
      </c>
      <c r="AV16" s="3">
        <f>CALCS!Q1572</f>
        <v>0</v>
      </c>
      <c r="AW16" s="3">
        <f>CALCS!Q1603</f>
        <v>0</v>
      </c>
      <c r="AX16" s="3">
        <f>CALCS!Q1634</f>
        <v>0</v>
      </c>
      <c r="AY16" s="3">
        <f>CALCS!Q1665</f>
        <v>0</v>
      </c>
      <c r="AZ16" s="3">
        <f>CALCS!Q1696</f>
        <v>0</v>
      </c>
      <c r="BA16" s="3">
        <f>CALCS!Q1727</f>
        <v>0</v>
      </c>
      <c r="BB16" s="3">
        <f>CALCS!Q1758</f>
        <v>0</v>
      </c>
      <c r="BC16" s="3">
        <f>CALCS!Q1789</f>
        <v>0</v>
      </c>
      <c r="BD16" s="3">
        <f>CALCS!Q1820</f>
        <v>0</v>
      </c>
      <c r="BE16" s="3">
        <f>CALCS!Q1851</f>
        <v>0</v>
      </c>
      <c r="BF16" s="3">
        <f>CALCS!Q1882</f>
        <v>0</v>
      </c>
      <c r="BG16" s="3">
        <f>CALCS!Q1913</f>
        <v>0</v>
      </c>
      <c r="BH16" s="3">
        <f>CALCS!Q1944</f>
        <v>0</v>
      </c>
      <c r="BI16" s="3">
        <f>CALCS!Q1975</f>
        <v>0</v>
      </c>
      <c r="BJ16" s="3">
        <f>CALCS!Q2006</f>
        <v>0</v>
      </c>
      <c r="BK16" s="3">
        <f>CALCS!Q2037</f>
        <v>0</v>
      </c>
      <c r="BL16" s="3">
        <f>CALCS!Q2068</f>
        <v>0</v>
      </c>
      <c r="BM16" s="3">
        <f>CALCS!Q2099</f>
        <v>0</v>
      </c>
      <c r="BN16" s="3">
        <f>CALCS!Q2130</f>
        <v>0</v>
      </c>
      <c r="BO16" s="3">
        <f>CALCS!Q2161</f>
        <v>0</v>
      </c>
      <c r="BP16" s="3">
        <f>CALCS!Q2192</f>
        <v>0</v>
      </c>
      <c r="BQ16" s="3">
        <f>CALCS!Q2223</f>
        <v>0</v>
      </c>
      <c r="BR16" s="3">
        <f>CALCS!Q2254</f>
        <v>0</v>
      </c>
      <c r="BS16" s="3">
        <f>CALCS!Q2285</f>
        <v>0</v>
      </c>
      <c r="BT16" s="3">
        <f>CALCS!Q2316</f>
        <v>0</v>
      </c>
      <c r="BU16" s="3">
        <f>CALCS!Q2347</f>
        <v>0</v>
      </c>
      <c r="BV16" s="3">
        <f>CALCS!Q2378</f>
        <v>0</v>
      </c>
      <c r="BW16" s="3">
        <f>CALCS!Q2409</f>
        <v>0</v>
      </c>
      <c r="BX16" s="3">
        <f>CALCS!Q2440</f>
        <v>0</v>
      </c>
      <c r="BY16" s="3">
        <f>CALCS!Q2471</f>
        <v>0</v>
      </c>
      <c r="BZ16" s="3">
        <f>CALCS!Q2502</f>
        <v>0</v>
      </c>
      <c r="CA16" s="3">
        <f>CALCS!Q2533</f>
        <v>0</v>
      </c>
      <c r="CB16" s="3">
        <f>CALCS!Q2564</f>
        <v>0</v>
      </c>
      <c r="CC16" s="3">
        <f>CALCS!Q2595</f>
        <v>0</v>
      </c>
      <c r="CD16" s="3">
        <f>CALCS!Q2626</f>
        <v>0</v>
      </c>
      <c r="CE16" s="3">
        <f>CALCS!Q2657</f>
        <v>0</v>
      </c>
      <c r="CF16" s="3">
        <f>CALCS!Q2688</f>
        <v>0</v>
      </c>
      <c r="CG16" s="3">
        <f>CALCS!Q2719</f>
        <v>0</v>
      </c>
      <c r="CH16" s="3">
        <f>CALCS!Q2750</f>
        <v>0</v>
      </c>
      <c r="CI16" s="3">
        <f>CALCS!Q2781</f>
        <v>0</v>
      </c>
      <c r="CJ16" s="3">
        <f>CALCS!Q2812</f>
        <v>0</v>
      </c>
      <c r="CK16" s="3">
        <f>CALCS!Q2843</f>
        <v>0</v>
      </c>
      <c r="CL16" s="3">
        <f>CALCS!Q2874</f>
        <v>0</v>
      </c>
      <c r="CM16" s="3">
        <f>CALCS!Q2905</f>
        <v>0</v>
      </c>
      <c r="CN16" s="3">
        <f>CALCS!Q2936</f>
        <v>0</v>
      </c>
      <c r="CO16" s="3">
        <f>CALCS!Q2967</f>
        <v>0</v>
      </c>
      <c r="CP16" s="3">
        <f>CALCS!Q2998</f>
        <v>0</v>
      </c>
      <c r="CQ16" s="3">
        <f>CALCS!Q3029</f>
        <v>0</v>
      </c>
      <c r="CR16" s="3">
        <f>CALCS!Q3060</f>
        <v>0</v>
      </c>
      <c r="CS16" s="3">
        <f>CALCS!Q3091</f>
        <v>0</v>
      </c>
      <c r="CT16" s="3">
        <f>CALCS!Q3122</f>
        <v>0</v>
      </c>
      <c r="CU16" s="3">
        <f>CALCS!Q3153</f>
        <v>0</v>
      </c>
      <c r="CV16" s="3">
        <f>CALCS!Q3184</f>
        <v>0</v>
      </c>
      <c r="CW16" s="3">
        <f>CALCS!Q3215</f>
        <v>0</v>
      </c>
      <c r="CX16" s="3">
        <f>CALCS!Q3246</f>
        <v>0</v>
      </c>
      <c r="CY16" s="3">
        <f>CALCS!Q3277</f>
        <v>0</v>
      </c>
      <c r="CZ16" s="3">
        <f>CALCS!Q3308</f>
        <v>0</v>
      </c>
      <c r="DA16" s="3">
        <f>CALCS!Q3339</f>
        <v>0</v>
      </c>
      <c r="DB16" s="3">
        <f>CALCS!Q3370</f>
        <v>0</v>
      </c>
      <c r="DC16" s="3">
        <f>CALCS!Q3401</f>
        <v>0</v>
      </c>
      <c r="DD16" s="3">
        <f>CALCS!Q3432</f>
        <v>0</v>
      </c>
      <c r="DE16" s="3">
        <f>CALCS!Q3463</f>
        <v>0</v>
      </c>
      <c r="DF16" s="3">
        <f>CALCS!Q3494</f>
        <v>0</v>
      </c>
      <c r="DG16" s="3">
        <f>CALCS!Q3525</f>
        <v>0</v>
      </c>
      <c r="DH16" s="3">
        <f>CALCS!Q3556</f>
        <v>0</v>
      </c>
      <c r="DI16" s="3">
        <f>CALCS!Q3587</f>
        <v>0</v>
      </c>
      <c r="DJ16" s="3">
        <f>CALCS!Q3618</f>
        <v>0</v>
      </c>
      <c r="DK16" s="3">
        <f>CALCS!Q3649</f>
        <v>0</v>
      </c>
      <c r="DL16" s="3">
        <f>CALCS!Q3680</f>
        <v>0</v>
      </c>
      <c r="DM16" s="3">
        <f>CALCS!Q3711</f>
        <v>0</v>
      </c>
      <c r="DN16" s="3">
        <f>CALCS!Q3742</f>
        <v>0</v>
      </c>
      <c r="DO16" s="3">
        <f>CALCS!Q3773</f>
        <v>0</v>
      </c>
      <c r="DP16" s="3">
        <f>CALCS!Q3804</f>
        <v>0</v>
      </c>
      <c r="DQ16" s="3">
        <f>CALCS!Q3835</f>
        <v>0</v>
      </c>
    </row>
    <row r="17" spans="1:121" x14ac:dyDescent="0.2">
      <c r="A17" s="3">
        <f t="shared" ref="A17:A22" si="1">A16+1</f>
        <v>96</v>
      </c>
      <c r="B17" s="3">
        <f>CALCS!Q147</f>
        <v>0</v>
      </c>
      <c r="C17" s="3">
        <f>CALCS!Q178</f>
        <v>0</v>
      </c>
      <c r="D17" s="3">
        <f>CALCS!Q209</f>
        <v>0</v>
      </c>
      <c r="E17" s="3">
        <f>CALCS!Q240</f>
        <v>0</v>
      </c>
      <c r="F17" s="3">
        <f>CALCS!Q271</f>
        <v>0</v>
      </c>
      <c r="G17" s="3">
        <f>CALCS!Q302</f>
        <v>0</v>
      </c>
      <c r="H17" s="3">
        <f>CALCS!Q333</f>
        <v>0</v>
      </c>
      <c r="I17" s="3">
        <f>CALCS!Q364</f>
        <v>0</v>
      </c>
      <c r="J17" s="3">
        <f>CALCS!Q395</f>
        <v>0</v>
      </c>
      <c r="K17" s="3">
        <f>CALCS!Q426</f>
        <v>0</v>
      </c>
      <c r="L17" s="3">
        <f>CALCS!Q457</f>
        <v>0</v>
      </c>
      <c r="M17" s="3">
        <f>CALCS!Q488</f>
        <v>0</v>
      </c>
      <c r="N17" s="3">
        <f>CALCS!Q519</f>
        <v>0</v>
      </c>
      <c r="O17" s="3">
        <f>CALCS!Q550</f>
        <v>0</v>
      </c>
      <c r="P17" s="3">
        <f>CALCS!Q581</f>
        <v>0</v>
      </c>
      <c r="Q17" s="3">
        <f>CALCS!Q612</f>
        <v>0</v>
      </c>
      <c r="R17" s="3">
        <f>CALCS!Q643</f>
        <v>0</v>
      </c>
      <c r="S17" s="3">
        <f>CALCS!Q674</f>
        <v>0</v>
      </c>
      <c r="T17" s="3">
        <f>CALCS!Q705</f>
        <v>0</v>
      </c>
      <c r="U17" s="3">
        <f>CALCS!Q736</f>
        <v>0</v>
      </c>
      <c r="V17" s="3">
        <f>CALCS!Q767</f>
        <v>0</v>
      </c>
      <c r="W17" s="3">
        <f>CALCS!Q798</f>
        <v>0</v>
      </c>
      <c r="X17" s="3">
        <f>CALCS!Q829</f>
        <v>0</v>
      </c>
      <c r="Y17" s="3">
        <f>CALCS!Q860</f>
        <v>0</v>
      </c>
      <c r="Z17" s="3">
        <f>CALCS!Q891</f>
        <v>0</v>
      </c>
      <c r="AA17" s="3">
        <f>CALCS!Q922</f>
        <v>0</v>
      </c>
      <c r="AB17" s="3">
        <f>CALCS!Q953</f>
        <v>0</v>
      </c>
      <c r="AC17" s="3">
        <f>CALCS!Q984</f>
        <v>0</v>
      </c>
      <c r="AD17" s="3">
        <f>CALCS!Q1015</f>
        <v>0</v>
      </c>
      <c r="AE17" s="3">
        <f>CALCS!Q1046</f>
        <v>0</v>
      </c>
      <c r="AF17" s="3">
        <f>CALCS!Q1077</f>
        <v>0</v>
      </c>
      <c r="AG17" s="3">
        <f>CALCS!Q1108</f>
        <v>0</v>
      </c>
      <c r="AH17" s="3">
        <f>CALCS!Q1139</f>
        <v>0</v>
      </c>
      <c r="AI17" s="3">
        <f>CALCS!Q1170</f>
        <v>0</v>
      </c>
      <c r="AJ17" s="3">
        <f>CALCS!Q1201</f>
        <v>0</v>
      </c>
      <c r="AK17" s="3">
        <f>CALCS!Q1232</f>
        <v>0</v>
      </c>
      <c r="AL17" s="3">
        <f>CALCS!Q1263</f>
        <v>0</v>
      </c>
      <c r="AM17" s="3">
        <f>CALCS!Q1294</f>
        <v>0</v>
      </c>
      <c r="AN17" s="3">
        <f>CALCS!Q1325</f>
        <v>0</v>
      </c>
      <c r="AO17" s="3">
        <f>CALCS!Q1356</f>
        <v>0</v>
      </c>
      <c r="AP17" s="3">
        <f>CALCS!Q1387</f>
        <v>0</v>
      </c>
      <c r="AQ17" s="3">
        <f>CALCS!Q1418</f>
        <v>0</v>
      </c>
      <c r="AR17" s="3">
        <f>CALCS!Q1449</f>
        <v>0</v>
      </c>
      <c r="AS17" s="3">
        <f>CALCS!Q1480</f>
        <v>0</v>
      </c>
      <c r="AT17" s="3">
        <f>CALCS!Q1511</f>
        <v>0</v>
      </c>
      <c r="AU17" s="3">
        <f>CALCS!Q1542</f>
        <v>0</v>
      </c>
      <c r="AV17" s="3">
        <f>CALCS!Q1573</f>
        <v>0</v>
      </c>
      <c r="AW17" s="3">
        <f>CALCS!Q1604</f>
        <v>0</v>
      </c>
      <c r="AX17" s="3">
        <f>CALCS!Q1635</f>
        <v>0</v>
      </c>
      <c r="AY17" s="3">
        <f>CALCS!Q1666</f>
        <v>0</v>
      </c>
      <c r="AZ17" s="3">
        <f>CALCS!Q1697</f>
        <v>0</v>
      </c>
      <c r="BA17" s="3">
        <f>CALCS!Q1728</f>
        <v>0</v>
      </c>
      <c r="BB17" s="3">
        <f>CALCS!Q1759</f>
        <v>0</v>
      </c>
      <c r="BC17" s="3">
        <f>CALCS!Q1790</f>
        <v>0</v>
      </c>
      <c r="BD17" s="3">
        <f>CALCS!Q1821</f>
        <v>0</v>
      </c>
      <c r="BE17" s="3">
        <f>CALCS!Q1852</f>
        <v>0</v>
      </c>
      <c r="BF17" s="3">
        <f>CALCS!Q1883</f>
        <v>0</v>
      </c>
      <c r="BG17" s="3">
        <f>CALCS!Q1914</f>
        <v>0</v>
      </c>
      <c r="BH17" s="3">
        <f>CALCS!Q1945</f>
        <v>0</v>
      </c>
      <c r="BI17" s="3">
        <f>CALCS!Q1976</f>
        <v>0</v>
      </c>
      <c r="BJ17" s="3">
        <f>CALCS!Q2007</f>
        <v>0</v>
      </c>
      <c r="BK17" s="3">
        <f>CALCS!Q2038</f>
        <v>0</v>
      </c>
      <c r="BL17" s="3">
        <f>CALCS!Q2069</f>
        <v>0</v>
      </c>
      <c r="BM17" s="3">
        <f>CALCS!Q2100</f>
        <v>0</v>
      </c>
      <c r="BN17" s="3">
        <f>CALCS!Q2131</f>
        <v>0</v>
      </c>
      <c r="BO17" s="3">
        <f>CALCS!Q2162</f>
        <v>0</v>
      </c>
      <c r="BP17" s="3">
        <f>CALCS!Q2193</f>
        <v>0</v>
      </c>
      <c r="BQ17" s="3">
        <f>CALCS!Q2224</f>
        <v>0</v>
      </c>
      <c r="BR17" s="3">
        <f>CALCS!Q2255</f>
        <v>0</v>
      </c>
      <c r="BS17" s="3">
        <f>CALCS!Q2286</f>
        <v>0</v>
      </c>
      <c r="BT17" s="3">
        <f>CALCS!Q2317</f>
        <v>0</v>
      </c>
      <c r="BU17" s="3">
        <f>CALCS!Q2348</f>
        <v>0</v>
      </c>
      <c r="BV17" s="3">
        <f>CALCS!Q2379</f>
        <v>0</v>
      </c>
      <c r="BW17" s="3">
        <f>CALCS!Q2410</f>
        <v>0</v>
      </c>
      <c r="BX17" s="3">
        <f>CALCS!Q2441</f>
        <v>0</v>
      </c>
      <c r="BY17" s="3">
        <f>CALCS!Q2472</f>
        <v>0</v>
      </c>
      <c r="BZ17" s="3">
        <f>CALCS!Q2503</f>
        <v>0</v>
      </c>
      <c r="CA17" s="3">
        <f>CALCS!Q2534</f>
        <v>0</v>
      </c>
      <c r="CB17" s="3">
        <f>CALCS!Q2565</f>
        <v>0</v>
      </c>
      <c r="CC17" s="3">
        <f>CALCS!Q2596</f>
        <v>0</v>
      </c>
      <c r="CD17" s="3">
        <f>CALCS!Q2627</f>
        <v>0</v>
      </c>
      <c r="CE17" s="3">
        <f>CALCS!Q2658</f>
        <v>0</v>
      </c>
      <c r="CF17" s="3">
        <f>CALCS!Q2689</f>
        <v>0</v>
      </c>
      <c r="CG17" s="3">
        <f>CALCS!Q2720</f>
        <v>0</v>
      </c>
      <c r="CH17" s="3">
        <f>CALCS!Q2751</f>
        <v>0</v>
      </c>
      <c r="CI17" s="3">
        <f>CALCS!Q2782</f>
        <v>0</v>
      </c>
      <c r="CJ17" s="3">
        <f>CALCS!Q2813</f>
        <v>0</v>
      </c>
      <c r="CK17" s="3">
        <f>CALCS!Q2844</f>
        <v>0</v>
      </c>
      <c r="CL17" s="3">
        <f>CALCS!Q2875</f>
        <v>0</v>
      </c>
      <c r="CM17" s="3">
        <f>CALCS!Q2906</f>
        <v>0</v>
      </c>
      <c r="CN17" s="3">
        <f>CALCS!Q2937</f>
        <v>0</v>
      </c>
      <c r="CO17" s="3">
        <f>CALCS!Q2968</f>
        <v>0</v>
      </c>
      <c r="CP17" s="3">
        <f>CALCS!Q2999</f>
        <v>0</v>
      </c>
      <c r="CQ17" s="3">
        <f>CALCS!Q3030</f>
        <v>0</v>
      </c>
      <c r="CR17" s="3">
        <f>CALCS!Q3061</f>
        <v>0</v>
      </c>
      <c r="CS17" s="3">
        <f>CALCS!Q3092</f>
        <v>0</v>
      </c>
      <c r="CT17" s="3">
        <f>CALCS!Q3123</f>
        <v>0</v>
      </c>
      <c r="CU17" s="3">
        <f>CALCS!Q3154</f>
        <v>0</v>
      </c>
      <c r="CV17" s="3">
        <f>CALCS!Q3185</f>
        <v>0</v>
      </c>
      <c r="CW17" s="3">
        <f>CALCS!Q3216</f>
        <v>0</v>
      </c>
      <c r="CX17" s="3">
        <f>CALCS!Q3247</f>
        <v>0</v>
      </c>
      <c r="CY17" s="3">
        <f>CALCS!Q3278</f>
        <v>0</v>
      </c>
      <c r="CZ17" s="3">
        <f>CALCS!Q3309</f>
        <v>0</v>
      </c>
      <c r="DA17" s="3">
        <f>CALCS!Q3340</f>
        <v>0</v>
      </c>
      <c r="DB17" s="3">
        <f>CALCS!Q3371</f>
        <v>0</v>
      </c>
      <c r="DC17" s="3">
        <f>CALCS!Q3402</f>
        <v>0</v>
      </c>
      <c r="DD17" s="3">
        <f>CALCS!Q3433</f>
        <v>0</v>
      </c>
      <c r="DE17" s="3">
        <f>CALCS!Q3464</f>
        <v>0</v>
      </c>
      <c r="DF17" s="3">
        <f>CALCS!Q3495</f>
        <v>0</v>
      </c>
      <c r="DG17" s="3">
        <f>CALCS!Q3526</f>
        <v>0</v>
      </c>
      <c r="DH17" s="3">
        <f>CALCS!Q3557</f>
        <v>0</v>
      </c>
      <c r="DI17" s="3">
        <f>CALCS!Q3588</f>
        <v>0</v>
      </c>
      <c r="DJ17" s="3">
        <f>CALCS!Q3619</f>
        <v>0</v>
      </c>
      <c r="DK17" s="3">
        <f>CALCS!Q3650</f>
        <v>0</v>
      </c>
      <c r="DL17" s="3">
        <f>CALCS!Q3681</f>
        <v>0</v>
      </c>
      <c r="DM17" s="3">
        <f>CALCS!Q3712</f>
        <v>0</v>
      </c>
      <c r="DN17" s="3">
        <f>CALCS!Q3743</f>
        <v>0</v>
      </c>
      <c r="DO17" s="3">
        <f>CALCS!Q3774</f>
        <v>0</v>
      </c>
      <c r="DP17" s="3">
        <f>CALCS!Q3805</f>
        <v>0</v>
      </c>
      <c r="DQ17" s="3">
        <f>CALCS!Q3836</f>
        <v>0</v>
      </c>
    </row>
    <row r="18" spans="1:121" x14ac:dyDescent="0.2">
      <c r="A18" s="3">
        <f t="shared" si="1"/>
        <v>97</v>
      </c>
      <c r="B18" s="3">
        <f>CALCS!Q148</f>
        <v>0</v>
      </c>
      <c r="C18" s="3">
        <f>CALCS!Q179</f>
        <v>0.20148700000000003</v>
      </c>
      <c r="D18" s="3">
        <f>CALCS!Q210</f>
        <v>0.201487</v>
      </c>
      <c r="E18" s="3">
        <f>CALCS!Q241</f>
        <v>0.201487</v>
      </c>
      <c r="F18" s="3">
        <f>CALCS!Q272</f>
        <v>0.201487</v>
      </c>
      <c r="G18" s="3">
        <f>CALCS!Q303</f>
        <v>0.201487</v>
      </c>
      <c r="H18" s="3">
        <f>CALCS!Q334</f>
        <v>0.20148700000000003</v>
      </c>
      <c r="I18" s="3">
        <f>CALCS!Q365</f>
        <v>0.201487</v>
      </c>
      <c r="J18" s="3">
        <f>CALCS!Q396</f>
        <v>0.201487</v>
      </c>
      <c r="K18" s="3">
        <f>CALCS!Q427</f>
        <v>0</v>
      </c>
      <c r="L18" s="3">
        <f>CALCS!Q458</f>
        <v>0.201487</v>
      </c>
      <c r="M18" s="3">
        <f>CALCS!Q489</f>
        <v>0.201487</v>
      </c>
      <c r="N18" s="3">
        <f>CALCS!Q520</f>
        <v>0.20148700000000003</v>
      </c>
      <c r="O18" s="3">
        <f>CALCS!Q551</f>
        <v>0.201487</v>
      </c>
      <c r="P18" s="3">
        <f>CALCS!Q582</f>
        <v>0.201487</v>
      </c>
      <c r="Q18" s="3">
        <f>CALCS!Q613</f>
        <v>0.201487</v>
      </c>
      <c r="R18" s="3">
        <f>CALCS!Q644</f>
        <v>0</v>
      </c>
      <c r="S18" s="3">
        <f>CALCS!Q675</f>
        <v>0</v>
      </c>
      <c r="T18" s="3">
        <f>CALCS!Q706</f>
        <v>0</v>
      </c>
      <c r="U18" s="3">
        <f>CALCS!Q737</f>
        <v>0</v>
      </c>
      <c r="V18" s="3">
        <f>CALCS!Q768</f>
        <v>0</v>
      </c>
      <c r="W18" s="3">
        <f>CALCS!Q799</f>
        <v>0</v>
      </c>
      <c r="X18" s="3">
        <f>CALCS!Q830</f>
        <v>0</v>
      </c>
      <c r="Y18" s="3">
        <f>CALCS!Q861</f>
        <v>0</v>
      </c>
      <c r="Z18" s="3">
        <f>CALCS!Q892</f>
        <v>0</v>
      </c>
      <c r="AA18" s="3">
        <f>CALCS!Q923</f>
        <v>0</v>
      </c>
      <c r="AB18" s="3">
        <f>CALCS!Q954</f>
        <v>0</v>
      </c>
      <c r="AC18" s="3">
        <f>CALCS!Q985</f>
        <v>0</v>
      </c>
      <c r="AD18" s="3">
        <f>CALCS!Q1016</f>
        <v>0</v>
      </c>
      <c r="AE18" s="3">
        <f>CALCS!Q1047</f>
        <v>0</v>
      </c>
      <c r="AF18" s="3">
        <f>CALCS!Q1078</f>
        <v>0</v>
      </c>
      <c r="AG18" s="3">
        <f>CALCS!Q1109</f>
        <v>0</v>
      </c>
      <c r="AH18" s="3">
        <f>CALCS!Q1140</f>
        <v>0</v>
      </c>
      <c r="AI18" s="3">
        <f>CALCS!Q1171</f>
        <v>0</v>
      </c>
      <c r="AJ18" s="3">
        <f>CALCS!Q1202</f>
        <v>0</v>
      </c>
      <c r="AK18" s="3">
        <f>CALCS!Q1233</f>
        <v>0</v>
      </c>
      <c r="AL18" s="3">
        <f>CALCS!Q1264</f>
        <v>0</v>
      </c>
      <c r="AM18" s="3">
        <f>CALCS!Q1295</f>
        <v>0</v>
      </c>
      <c r="AN18" s="3">
        <f>CALCS!Q1326</f>
        <v>0</v>
      </c>
      <c r="AO18" s="3">
        <f>CALCS!Q1357</f>
        <v>0</v>
      </c>
      <c r="AP18" s="3">
        <f>CALCS!Q1388</f>
        <v>0</v>
      </c>
      <c r="AQ18" s="3">
        <f>CALCS!Q1419</f>
        <v>0</v>
      </c>
      <c r="AR18" s="3">
        <f>CALCS!Q1450</f>
        <v>0</v>
      </c>
      <c r="AS18" s="3">
        <f>CALCS!Q1481</f>
        <v>0</v>
      </c>
      <c r="AT18" s="3">
        <f>CALCS!Q1512</f>
        <v>0</v>
      </c>
      <c r="AU18" s="3">
        <f>CALCS!Q1543</f>
        <v>0</v>
      </c>
      <c r="AV18" s="3">
        <f>CALCS!Q1574</f>
        <v>0</v>
      </c>
      <c r="AW18" s="3">
        <f>CALCS!Q1605</f>
        <v>0</v>
      </c>
      <c r="AX18" s="3">
        <f>CALCS!Q1636</f>
        <v>0</v>
      </c>
      <c r="AY18" s="3">
        <f>CALCS!Q1667</f>
        <v>0</v>
      </c>
      <c r="AZ18" s="3">
        <f>CALCS!Q1698</f>
        <v>0</v>
      </c>
      <c r="BA18" s="3">
        <f>CALCS!Q1729</f>
        <v>0</v>
      </c>
      <c r="BB18" s="3">
        <f>CALCS!Q1760</f>
        <v>0</v>
      </c>
      <c r="BC18" s="3">
        <f>CALCS!Q1791</f>
        <v>0</v>
      </c>
      <c r="BD18" s="3">
        <f>CALCS!Q1822</f>
        <v>0</v>
      </c>
      <c r="BE18" s="3">
        <f>CALCS!Q1853</f>
        <v>0</v>
      </c>
      <c r="BF18" s="3">
        <f>CALCS!Q1884</f>
        <v>0</v>
      </c>
      <c r="BG18" s="3">
        <f>CALCS!Q1915</f>
        <v>0</v>
      </c>
      <c r="BH18" s="3">
        <f>CALCS!Q1946</f>
        <v>0</v>
      </c>
      <c r="BI18" s="3">
        <f>CALCS!Q1977</f>
        <v>0</v>
      </c>
      <c r="BJ18" s="3">
        <f>CALCS!Q2008</f>
        <v>0</v>
      </c>
      <c r="BK18" s="3">
        <f>CALCS!Q2039</f>
        <v>0</v>
      </c>
      <c r="BL18" s="3">
        <f>CALCS!Q2070</f>
        <v>0</v>
      </c>
      <c r="BM18" s="3">
        <f>CALCS!Q2101</f>
        <v>0</v>
      </c>
      <c r="BN18" s="3">
        <f>CALCS!Q2132</f>
        <v>0</v>
      </c>
      <c r="BO18" s="3">
        <f>CALCS!Q2163</f>
        <v>0</v>
      </c>
      <c r="BP18" s="3">
        <f>CALCS!Q2194</f>
        <v>0</v>
      </c>
      <c r="BQ18" s="3">
        <f>CALCS!Q2225</f>
        <v>0</v>
      </c>
      <c r="BR18" s="3">
        <f>CALCS!Q2256</f>
        <v>0</v>
      </c>
      <c r="BS18" s="3">
        <f>CALCS!Q2287</f>
        <v>0</v>
      </c>
      <c r="BT18" s="3">
        <f>CALCS!Q2318</f>
        <v>0</v>
      </c>
      <c r="BU18" s="3">
        <f>CALCS!Q2349</f>
        <v>0</v>
      </c>
      <c r="BV18" s="3">
        <f>CALCS!Q2380</f>
        <v>0</v>
      </c>
      <c r="BW18" s="3">
        <f>CALCS!Q2411</f>
        <v>0</v>
      </c>
      <c r="BX18" s="3">
        <f>CALCS!Q2442</f>
        <v>0</v>
      </c>
      <c r="BY18" s="3">
        <f>CALCS!Q2473</f>
        <v>0</v>
      </c>
      <c r="BZ18" s="3">
        <f>CALCS!Q2504</f>
        <v>0</v>
      </c>
      <c r="CA18" s="3">
        <f>CALCS!Q2535</f>
        <v>0</v>
      </c>
      <c r="CB18" s="3">
        <f>CALCS!Q2566</f>
        <v>0</v>
      </c>
      <c r="CC18" s="3">
        <f>CALCS!Q2597</f>
        <v>0</v>
      </c>
      <c r="CD18" s="3">
        <f>CALCS!Q2628</f>
        <v>0</v>
      </c>
      <c r="CE18" s="3">
        <f>CALCS!Q2659</f>
        <v>0</v>
      </c>
      <c r="CF18" s="3">
        <f>CALCS!Q2690</f>
        <v>0</v>
      </c>
      <c r="CG18" s="3">
        <f>CALCS!Q2721</f>
        <v>0</v>
      </c>
      <c r="CH18" s="3">
        <f>CALCS!Q2752</f>
        <v>0</v>
      </c>
      <c r="CI18" s="3">
        <f>CALCS!Q2783</f>
        <v>0</v>
      </c>
      <c r="CJ18" s="3">
        <f>CALCS!Q2814</f>
        <v>0</v>
      </c>
      <c r="CK18" s="3">
        <f>CALCS!Q2845</f>
        <v>0</v>
      </c>
      <c r="CL18" s="3">
        <f>CALCS!Q2876</f>
        <v>0</v>
      </c>
      <c r="CM18" s="3">
        <f>CALCS!Q2907</f>
        <v>0</v>
      </c>
      <c r="CN18" s="3">
        <f>CALCS!Q2938</f>
        <v>0</v>
      </c>
      <c r="CO18" s="3">
        <f>CALCS!Q2969</f>
        <v>0</v>
      </c>
      <c r="CP18" s="3">
        <f>CALCS!Q3000</f>
        <v>0</v>
      </c>
      <c r="CQ18" s="3">
        <f>CALCS!Q3031</f>
        <v>0</v>
      </c>
      <c r="CR18" s="3">
        <f>CALCS!Q3062</f>
        <v>0</v>
      </c>
      <c r="CS18" s="3">
        <f>CALCS!Q3093</f>
        <v>0</v>
      </c>
      <c r="CT18" s="3">
        <f>CALCS!Q3124</f>
        <v>0</v>
      </c>
      <c r="CU18" s="3">
        <f>CALCS!Q3155</f>
        <v>0</v>
      </c>
      <c r="CV18" s="3">
        <f>CALCS!Q3186</f>
        <v>0</v>
      </c>
      <c r="CW18" s="3">
        <f>CALCS!Q3217</f>
        <v>0</v>
      </c>
      <c r="CX18" s="3">
        <f>CALCS!Q3248</f>
        <v>0</v>
      </c>
      <c r="CY18" s="3">
        <f>CALCS!Q3279</f>
        <v>0</v>
      </c>
      <c r="CZ18" s="3">
        <f>CALCS!Q3310</f>
        <v>0</v>
      </c>
      <c r="DA18" s="3">
        <f>CALCS!Q3341</f>
        <v>0</v>
      </c>
      <c r="DB18" s="3">
        <f>CALCS!Q3372</f>
        <v>0</v>
      </c>
      <c r="DC18" s="3">
        <f>CALCS!Q3403</f>
        <v>0</v>
      </c>
      <c r="DD18" s="3">
        <f>CALCS!Q3434</f>
        <v>0</v>
      </c>
      <c r="DE18" s="3">
        <f>CALCS!Q3465</f>
        <v>0</v>
      </c>
      <c r="DF18" s="3">
        <f>CALCS!Q3496</f>
        <v>0</v>
      </c>
      <c r="DG18" s="3">
        <f>CALCS!Q3527</f>
        <v>0</v>
      </c>
      <c r="DH18" s="3">
        <f>CALCS!Q3558</f>
        <v>0</v>
      </c>
      <c r="DI18" s="3">
        <f>CALCS!Q3589</f>
        <v>0</v>
      </c>
      <c r="DJ18" s="3">
        <f>CALCS!Q3620</f>
        <v>0</v>
      </c>
      <c r="DK18" s="3">
        <f>CALCS!Q3651</f>
        <v>0</v>
      </c>
      <c r="DL18" s="3">
        <f>CALCS!Q3682</f>
        <v>0</v>
      </c>
      <c r="DM18" s="3">
        <f>CALCS!Q3713</f>
        <v>0</v>
      </c>
      <c r="DN18" s="3">
        <f>CALCS!Q3744</f>
        <v>0</v>
      </c>
      <c r="DO18" s="3">
        <f>CALCS!Q3775</f>
        <v>0</v>
      </c>
      <c r="DP18" s="3">
        <f>CALCS!Q3806</f>
        <v>0</v>
      </c>
      <c r="DQ18" s="3">
        <f>CALCS!Q3837</f>
        <v>0</v>
      </c>
    </row>
    <row r="19" spans="1:121" x14ac:dyDescent="0.2">
      <c r="A19" s="3">
        <f t="shared" si="1"/>
        <v>98</v>
      </c>
      <c r="B19" s="3">
        <f>CALCS!Q149</f>
        <v>0</v>
      </c>
      <c r="C19" s="3">
        <f>CALCS!Q180</f>
        <v>0.37506400000000001</v>
      </c>
      <c r="D19" s="3">
        <f>CALCS!Q211</f>
        <v>0.37506400000000001</v>
      </c>
      <c r="E19" s="3">
        <f>CALCS!Q242</f>
        <v>0.37506400000000006</v>
      </c>
      <c r="F19" s="3">
        <f>CALCS!Q273</f>
        <v>0.37506400000000001</v>
      </c>
      <c r="G19" s="3">
        <f>CALCS!Q304</f>
        <v>0.37506400000000001</v>
      </c>
      <c r="H19" s="3">
        <f>CALCS!Q335</f>
        <v>0.37506400000000006</v>
      </c>
      <c r="I19" s="3">
        <f>CALCS!Q366</f>
        <v>0.37506400000000006</v>
      </c>
      <c r="J19" s="3">
        <f>CALCS!Q397</f>
        <v>0.37506400000000001</v>
      </c>
      <c r="K19" s="3">
        <f>CALCS!Q428</f>
        <v>0</v>
      </c>
      <c r="L19" s="3">
        <f>CALCS!Q459</f>
        <v>0.37506400000000001</v>
      </c>
      <c r="M19" s="3">
        <f>CALCS!Q490</f>
        <v>0.37506400000000001</v>
      </c>
      <c r="N19" s="3">
        <f>CALCS!Q521</f>
        <v>0.37506400000000001</v>
      </c>
      <c r="O19" s="3">
        <f>CALCS!Q552</f>
        <v>0.37506400000000001</v>
      </c>
      <c r="P19" s="3">
        <f>CALCS!Q583</f>
        <v>0.37506400000000001</v>
      </c>
      <c r="Q19" s="3">
        <f>CALCS!Q614</f>
        <v>0.37506400000000001</v>
      </c>
      <c r="R19" s="3">
        <f>CALCS!Q645</f>
        <v>0</v>
      </c>
      <c r="S19" s="3">
        <f>CALCS!Q676</f>
        <v>0</v>
      </c>
      <c r="T19" s="3">
        <f>CALCS!Q707</f>
        <v>0</v>
      </c>
      <c r="U19" s="3">
        <f>CALCS!Q738</f>
        <v>0</v>
      </c>
      <c r="V19" s="3">
        <f>CALCS!Q769</f>
        <v>0</v>
      </c>
      <c r="W19" s="3">
        <f>CALCS!Q800</f>
        <v>0</v>
      </c>
      <c r="X19" s="3">
        <f>CALCS!Q831</f>
        <v>0</v>
      </c>
      <c r="Y19" s="3">
        <f>CALCS!Q862</f>
        <v>0</v>
      </c>
      <c r="Z19" s="3">
        <f>CALCS!Q893</f>
        <v>0</v>
      </c>
      <c r="AA19" s="3">
        <f>CALCS!Q924</f>
        <v>0</v>
      </c>
      <c r="AB19" s="3">
        <f>CALCS!Q955</f>
        <v>0</v>
      </c>
      <c r="AC19" s="3">
        <f>CALCS!Q986</f>
        <v>0</v>
      </c>
      <c r="AD19" s="3">
        <f>CALCS!Q1017</f>
        <v>0</v>
      </c>
      <c r="AE19" s="3">
        <f>CALCS!Q1048</f>
        <v>0</v>
      </c>
      <c r="AF19" s="3">
        <f>CALCS!Q1079</f>
        <v>0</v>
      </c>
      <c r="AG19" s="3">
        <f>CALCS!Q1110</f>
        <v>0</v>
      </c>
      <c r="AH19" s="3">
        <f>CALCS!Q1141</f>
        <v>0</v>
      </c>
      <c r="AI19" s="3">
        <f>CALCS!Q1172</f>
        <v>0</v>
      </c>
      <c r="AJ19" s="3">
        <f>CALCS!Q1203</f>
        <v>0</v>
      </c>
      <c r="AK19" s="3">
        <f>CALCS!Q1234</f>
        <v>0</v>
      </c>
      <c r="AL19" s="3">
        <f>CALCS!Q1265</f>
        <v>0</v>
      </c>
      <c r="AM19" s="3">
        <f>CALCS!Q1296</f>
        <v>0</v>
      </c>
      <c r="AN19" s="3">
        <f>CALCS!Q1327</f>
        <v>0</v>
      </c>
      <c r="AO19" s="3">
        <f>CALCS!Q1358</f>
        <v>0</v>
      </c>
      <c r="AP19" s="3">
        <f>CALCS!Q1389</f>
        <v>0</v>
      </c>
      <c r="AQ19" s="3">
        <f>CALCS!Q1420</f>
        <v>0</v>
      </c>
      <c r="AR19" s="3">
        <f>CALCS!Q1451</f>
        <v>0</v>
      </c>
      <c r="AS19" s="3">
        <f>CALCS!Q1482</f>
        <v>0</v>
      </c>
      <c r="AT19" s="3">
        <f>CALCS!Q1513</f>
        <v>0</v>
      </c>
      <c r="AU19" s="3">
        <f>CALCS!Q1544</f>
        <v>0</v>
      </c>
      <c r="AV19" s="3">
        <f>CALCS!Q1575</f>
        <v>0</v>
      </c>
      <c r="AW19" s="3">
        <f>CALCS!Q1606</f>
        <v>0</v>
      </c>
      <c r="AX19" s="3">
        <f>CALCS!Q1637</f>
        <v>0</v>
      </c>
      <c r="AY19" s="3">
        <f>CALCS!Q1668</f>
        <v>0</v>
      </c>
      <c r="AZ19" s="3">
        <f>CALCS!Q1699</f>
        <v>0</v>
      </c>
      <c r="BA19" s="3">
        <f>CALCS!Q1730</f>
        <v>0</v>
      </c>
      <c r="BB19" s="3">
        <f>CALCS!Q1761</f>
        <v>0</v>
      </c>
      <c r="BC19" s="3">
        <f>CALCS!Q1792</f>
        <v>0</v>
      </c>
      <c r="BD19" s="3">
        <f>CALCS!Q1823</f>
        <v>0</v>
      </c>
      <c r="BE19" s="3">
        <f>CALCS!Q1854</f>
        <v>0</v>
      </c>
      <c r="BF19" s="3">
        <f>CALCS!Q1885</f>
        <v>0</v>
      </c>
      <c r="BG19" s="3">
        <f>CALCS!Q1916</f>
        <v>0</v>
      </c>
      <c r="BH19" s="3">
        <f>CALCS!Q1947</f>
        <v>0</v>
      </c>
      <c r="BI19" s="3">
        <f>CALCS!Q1978</f>
        <v>0</v>
      </c>
      <c r="BJ19" s="3">
        <f>CALCS!Q2009</f>
        <v>0</v>
      </c>
      <c r="BK19" s="3">
        <f>CALCS!Q2040</f>
        <v>0</v>
      </c>
      <c r="BL19" s="3">
        <f>CALCS!Q2071</f>
        <v>0</v>
      </c>
      <c r="BM19" s="3">
        <f>CALCS!Q2102</f>
        <v>0</v>
      </c>
      <c r="BN19" s="3">
        <f>CALCS!Q2133</f>
        <v>0</v>
      </c>
      <c r="BO19" s="3">
        <f>CALCS!Q2164</f>
        <v>0</v>
      </c>
      <c r="BP19" s="3">
        <f>CALCS!Q2195</f>
        <v>0</v>
      </c>
      <c r="BQ19" s="3">
        <f>CALCS!Q2226</f>
        <v>0</v>
      </c>
      <c r="BR19" s="3">
        <f>CALCS!Q2257</f>
        <v>0</v>
      </c>
      <c r="BS19" s="3">
        <f>CALCS!Q2288</f>
        <v>0</v>
      </c>
      <c r="BT19" s="3">
        <f>CALCS!Q2319</f>
        <v>0</v>
      </c>
      <c r="BU19" s="3">
        <f>CALCS!Q2350</f>
        <v>0</v>
      </c>
      <c r="BV19" s="3">
        <f>CALCS!Q2381</f>
        <v>0</v>
      </c>
      <c r="BW19" s="3">
        <f>CALCS!Q2412</f>
        <v>0</v>
      </c>
      <c r="BX19" s="3">
        <f>CALCS!Q2443</f>
        <v>0</v>
      </c>
      <c r="BY19" s="3">
        <f>CALCS!Q2474</f>
        <v>0</v>
      </c>
      <c r="BZ19" s="3">
        <f>CALCS!Q2505</f>
        <v>0</v>
      </c>
      <c r="CA19" s="3">
        <f>CALCS!Q2536</f>
        <v>0</v>
      </c>
      <c r="CB19" s="3">
        <f>CALCS!Q2567</f>
        <v>0</v>
      </c>
      <c r="CC19" s="3">
        <f>CALCS!Q2598</f>
        <v>0</v>
      </c>
      <c r="CD19" s="3">
        <f>CALCS!Q2629</f>
        <v>0</v>
      </c>
      <c r="CE19" s="3">
        <f>CALCS!Q2660</f>
        <v>0</v>
      </c>
      <c r="CF19" s="3">
        <f>CALCS!Q2691</f>
        <v>0</v>
      </c>
      <c r="CG19" s="3">
        <f>CALCS!Q2722</f>
        <v>0</v>
      </c>
      <c r="CH19" s="3">
        <f>CALCS!Q2753</f>
        <v>0</v>
      </c>
      <c r="CI19" s="3">
        <f>CALCS!Q2784</f>
        <v>0</v>
      </c>
      <c r="CJ19" s="3">
        <f>CALCS!Q2815</f>
        <v>0</v>
      </c>
      <c r="CK19" s="3">
        <f>CALCS!Q2846</f>
        <v>0</v>
      </c>
      <c r="CL19" s="3">
        <f>CALCS!Q2877</f>
        <v>0</v>
      </c>
      <c r="CM19" s="3">
        <f>CALCS!Q2908</f>
        <v>0</v>
      </c>
      <c r="CN19" s="3">
        <f>CALCS!Q2939</f>
        <v>0</v>
      </c>
      <c r="CO19" s="3">
        <f>CALCS!Q2970</f>
        <v>0</v>
      </c>
      <c r="CP19" s="3">
        <f>CALCS!Q3001</f>
        <v>0</v>
      </c>
      <c r="CQ19" s="3">
        <f>CALCS!Q3032</f>
        <v>0</v>
      </c>
      <c r="CR19" s="3">
        <f>CALCS!Q3063</f>
        <v>0</v>
      </c>
      <c r="CS19" s="3">
        <f>CALCS!Q3094</f>
        <v>0</v>
      </c>
      <c r="CT19" s="3">
        <f>CALCS!Q3125</f>
        <v>0</v>
      </c>
      <c r="CU19" s="3">
        <f>CALCS!Q3156</f>
        <v>0</v>
      </c>
      <c r="CV19" s="3">
        <f>CALCS!Q3187</f>
        <v>0</v>
      </c>
      <c r="CW19" s="3">
        <f>CALCS!Q3218</f>
        <v>0</v>
      </c>
      <c r="CX19" s="3">
        <f>CALCS!Q3249</f>
        <v>0</v>
      </c>
      <c r="CY19" s="3">
        <f>CALCS!Q3280</f>
        <v>0</v>
      </c>
      <c r="CZ19" s="3">
        <f>CALCS!Q3311</f>
        <v>0</v>
      </c>
      <c r="DA19" s="3">
        <f>CALCS!Q3342</f>
        <v>0</v>
      </c>
      <c r="DB19" s="3">
        <f>CALCS!Q3373</f>
        <v>0</v>
      </c>
      <c r="DC19" s="3">
        <f>CALCS!Q3404</f>
        <v>0</v>
      </c>
      <c r="DD19" s="3">
        <f>CALCS!Q3435</f>
        <v>0</v>
      </c>
      <c r="DE19" s="3">
        <f>CALCS!Q3466</f>
        <v>0</v>
      </c>
      <c r="DF19" s="3">
        <f>CALCS!Q3497</f>
        <v>0</v>
      </c>
      <c r="DG19" s="3">
        <f>CALCS!Q3528</f>
        <v>0</v>
      </c>
      <c r="DH19" s="3">
        <f>CALCS!Q3559</f>
        <v>0</v>
      </c>
      <c r="DI19" s="3">
        <f>CALCS!Q3590</f>
        <v>0</v>
      </c>
      <c r="DJ19" s="3">
        <f>CALCS!Q3621</f>
        <v>0</v>
      </c>
      <c r="DK19" s="3">
        <f>CALCS!Q3652</f>
        <v>0</v>
      </c>
      <c r="DL19" s="3">
        <f>CALCS!Q3683</f>
        <v>0</v>
      </c>
      <c r="DM19" s="3">
        <f>CALCS!Q3714</f>
        <v>0</v>
      </c>
      <c r="DN19" s="3">
        <f>CALCS!Q3745</f>
        <v>0</v>
      </c>
      <c r="DO19" s="3">
        <f>CALCS!Q3776</f>
        <v>0</v>
      </c>
      <c r="DP19" s="3">
        <f>CALCS!Q3807</f>
        <v>0</v>
      </c>
      <c r="DQ19" s="3">
        <f>CALCS!Q3838</f>
        <v>0</v>
      </c>
    </row>
    <row r="20" spans="1:121" x14ac:dyDescent="0.2">
      <c r="A20" s="3">
        <f t="shared" si="1"/>
        <v>99</v>
      </c>
      <c r="B20" s="3">
        <f>CALCS!Q150</f>
        <v>0</v>
      </c>
      <c r="C20" s="3">
        <f>CALCS!Q181</f>
        <v>0.29823699999999997</v>
      </c>
      <c r="D20" s="3">
        <f>CALCS!Q212</f>
        <v>0.29823699999999997</v>
      </c>
      <c r="E20" s="3">
        <f>CALCS!Q243</f>
        <v>0.29823699999999997</v>
      </c>
      <c r="F20" s="3">
        <f>CALCS!Q274</f>
        <v>0.29823699999999997</v>
      </c>
      <c r="G20" s="3">
        <f>CALCS!Q305</f>
        <v>0.29823699999999997</v>
      </c>
      <c r="H20" s="3">
        <f>CALCS!Q336</f>
        <v>0.29823699999999997</v>
      </c>
      <c r="I20" s="3">
        <f>CALCS!Q367</f>
        <v>0.29823699999999997</v>
      </c>
      <c r="J20" s="3">
        <f>CALCS!Q398</f>
        <v>0.29823699999999997</v>
      </c>
      <c r="K20" s="3">
        <f>CALCS!Q429</f>
        <v>0</v>
      </c>
      <c r="L20" s="3">
        <f>CALCS!Q460</f>
        <v>0.29823699999999997</v>
      </c>
      <c r="M20" s="3">
        <f>CALCS!Q491</f>
        <v>0.29823699999999997</v>
      </c>
      <c r="N20" s="3">
        <f>CALCS!Q522</f>
        <v>0.29823699999999997</v>
      </c>
      <c r="O20" s="3">
        <f>CALCS!Q553</f>
        <v>0.29823699999999997</v>
      </c>
      <c r="P20" s="3">
        <f>CALCS!Q584</f>
        <v>0.29823699999999997</v>
      </c>
      <c r="Q20" s="3">
        <f>CALCS!Q615</f>
        <v>0.29823699999999997</v>
      </c>
      <c r="R20" s="3">
        <f>CALCS!Q646</f>
        <v>0</v>
      </c>
      <c r="S20" s="3">
        <f>CALCS!Q677</f>
        <v>0</v>
      </c>
      <c r="T20" s="3">
        <f>CALCS!Q708</f>
        <v>0</v>
      </c>
      <c r="U20" s="3">
        <f>CALCS!Q739</f>
        <v>0</v>
      </c>
      <c r="V20" s="3">
        <f>CALCS!Q770</f>
        <v>0</v>
      </c>
      <c r="W20" s="3">
        <f>CALCS!Q801</f>
        <v>0</v>
      </c>
      <c r="X20" s="3">
        <f>CALCS!Q832</f>
        <v>0</v>
      </c>
      <c r="Y20" s="3">
        <f>CALCS!Q863</f>
        <v>0</v>
      </c>
      <c r="Z20" s="3">
        <f>CALCS!Q894</f>
        <v>0</v>
      </c>
      <c r="AA20" s="3">
        <f>CALCS!Q925</f>
        <v>0</v>
      </c>
      <c r="AB20" s="3">
        <f>CALCS!Q956</f>
        <v>0</v>
      </c>
      <c r="AC20" s="3">
        <f>CALCS!Q987</f>
        <v>0</v>
      </c>
      <c r="AD20" s="3">
        <f>CALCS!Q1018</f>
        <v>0</v>
      </c>
      <c r="AE20" s="3">
        <f>CALCS!Q1049</f>
        <v>0</v>
      </c>
      <c r="AF20" s="3">
        <f>CALCS!Q1080</f>
        <v>0</v>
      </c>
      <c r="AG20" s="3">
        <f>CALCS!Q1111</f>
        <v>0</v>
      </c>
      <c r="AH20" s="3">
        <f>CALCS!Q1142</f>
        <v>0</v>
      </c>
      <c r="AI20" s="3">
        <f>CALCS!Q1173</f>
        <v>0</v>
      </c>
      <c r="AJ20" s="3">
        <f>CALCS!Q1204</f>
        <v>0</v>
      </c>
      <c r="AK20" s="3">
        <f>CALCS!Q1235</f>
        <v>0</v>
      </c>
      <c r="AL20" s="3">
        <f>CALCS!Q1266</f>
        <v>0</v>
      </c>
      <c r="AM20" s="3">
        <f>CALCS!Q1297</f>
        <v>0</v>
      </c>
      <c r="AN20" s="3">
        <f>CALCS!Q1328</f>
        <v>0</v>
      </c>
      <c r="AO20" s="3">
        <f>CALCS!Q1359</f>
        <v>0</v>
      </c>
      <c r="AP20" s="3">
        <f>CALCS!Q1390</f>
        <v>0</v>
      </c>
      <c r="AQ20" s="3">
        <f>CALCS!Q1421</f>
        <v>0</v>
      </c>
      <c r="AR20" s="3">
        <f>CALCS!Q1452</f>
        <v>0</v>
      </c>
      <c r="AS20" s="3">
        <f>CALCS!Q1483</f>
        <v>0</v>
      </c>
      <c r="AT20" s="3">
        <f>CALCS!Q1514</f>
        <v>0</v>
      </c>
      <c r="AU20" s="3">
        <f>CALCS!Q1545</f>
        <v>0</v>
      </c>
      <c r="AV20" s="3">
        <f>CALCS!Q1576</f>
        <v>0</v>
      </c>
      <c r="AW20" s="3">
        <f>CALCS!Q1607</f>
        <v>0</v>
      </c>
      <c r="AX20" s="3">
        <f>CALCS!Q1638</f>
        <v>0</v>
      </c>
      <c r="AY20" s="3">
        <f>CALCS!Q1669</f>
        <v>0</v>
      </c>
      <c r="AZ20" s="3">
        <f>CALCS!Q1700</f>
        <v>0</v>
      </c>
      <c r="BA20" s="3">
        <f>CALCS!Q1731</f>
        <v>0</v>
      </c>
      <c r="BB20" s="3">
        <f>CALCS!Q1762</f>
        <v>0</v>
      </c>
      <c r="BC20" s="3">
        <f>CALCS!Q1793</f>
        <v>0</v>
      </c>
      <c r="BD20" s="3">
        <f>CALCS!Q1824</f>
        <v>0</v>
      </c>
      <c r="BE20" s="3">
        <f>CALCS!Q1855</f>
        <v>0</v>
      </c>
      <c r="BF20" s="3">
        <f>CALCS!Q1886</f>
        <v>0</v>
      </c>
      <c r="BG20" s="3">
        <f>CALCS!Q1917</f>
        <v>0</v>
      </c>
      <c r="BH20" s="3">
        <f>CALCS!Q1948</f>
        <v>0</v>
      </c>
      <c r="BI20" s="3">
        <f>CALCS!Q1979</f>
        <v>0</v>
      </c>
      <c r="BJ20" s="3">
        <f>CALCS!Q2010</f>
        <v>0</v>
      </c>
      <c r="BK20" s="3">
        <f>CALCS!Q2041</f>
        <v>0</v>
      </c>
      <c r="BL20" s="3">
        <f>CALCS!Q2072</f>
        <v>0</v>
      </c>
      <c r="BM20" s="3">
        <f>CALCS!Q2103</f>
        <v>0</v>
      </c>
      <c r="BN20" s="3">
        <f>CALCS!Q2134</f>
        <v>0</v>
      </c>
      <c r="BO20" s="3">
        <f>CALCS!Q2165</f>
        <v>0</v>
      </c>
      <c r="BP20" s="3">
        <f>CALCS!Q2196</f>
        <v>0</v>
      </c>
      <c r="BQ20" s="3">
        <f>CALCS!Q2227</f>
        <v>0</v>
      </c>
      <c r="BR20" s="3">
        <f>CALCS!Q2258</f>
        <v>0</v>
      </c>
      <c r="BS20" s="3">
        <f>CALCS!Q2289</f>
        <v>0</v>
      </c>
      <c r="BT20" s="3">
        <f>CALCS!Q2320</f>
        <v>0</v>
      </c>
      <c r="BU20" s="3">
        <f>CALCS!Q2351</f>
        <v>0</v>
      </c>
      <c r="BV20" s="3">
        <f>CALCS!Q2382</f>
        <v>0</v>
      </c>
      <c r="BW20" s="3">
        <f>CALCS!Q2413</f>
        <v>0</v>
      </c>
      <c r="BX20" s="3">
        <f>CALCS!Q2444</f>
        <v>0</v>
      </c>
      <c r="BY20" s="3">
        <f>CALCS!Q2475</f>
        <v>0</v>
      </c>
      <c r="BZ20" s="3">
        <f>CALCS!Q2506</f>
        <v>0</v>
      </c>
      <c r="CA20" s="3">
        <f>CALCS!Q2537</f>
        <v>0</v>
      </c>
      <c r="CB20" s="3">
        <f>CALCS!Q2568</f>
        <v>0</v>
      </c>
      <c r="CC20" s="3">
        <f>CALCS!Q2599</f>
        <v>0</v>
      </c>
      <c r="CD20" s="3">
        <f>CALCS!Q2630</f>
        <v>0</v>
      </c>
      <c r="CE20" s="3">
        <f>CALCS!Q2661</f>
        <v>0</v>
      </c>
      <c r="CF20" s="3">
        <f>CALCS!Q2692</f>
        <v>0</v>
      </c>
      <c r="CG20" s="3">
        <f>CALCS!Q2723</f>
        <v>0</v>
      </c>
      <c r="CH20" s="3">
        <f>CALCS!Q2754</f>
        <v>0</v>
      </c>
      <c r="CI20" s="3">
        <f>CALCS!Q2785</f>
        <v>0</v>
      </c>
      <c r="CJ20" s="3">
        <f>CALCS!Q2816</f>
        <v>0</v>
      </c>
      <c r="CK20" s="3">
        <f>CALCS!Q2847</f>
        <v>0</v>
      </c>
      <c r="CL20" s="3">
        <f>CALCS!Q2878</f>
        <v>0</v>
      </c>
      <c r="CM20" s="3">
        <f>CALCS!Q2909</f>
        <v>0</v>
      </c>
      <c r="CN20" s="3">
        <f>CALCS!Q2940</f>
        <v>0</v>
      </c>
      <c r="CO20" s="3">
        <f>CALCS!Q2971</f>
        <v>0</v>
      </c>
      <c r="CP20" s="3">
        <f>CALCS!Q3002</f>
        <v>0</v>
      </c>
      <c r="CQ20" s="3">
        <f>CALCS!Q3033</f>
        <v>0</v>
      </c>
      <c r="CR20" s="3">
        <f>CALCS!Q3064</f>
        <v>0</v>
      </c>
      <c r="CS20" s="3">
        <f>CALCS!Q3095</f>
        <v>0</v>
      </c>
      <c r="CT20" s="3">
        <f>CALCS!Q3126</f>
        <v>0</v>
      </c>
      <c r="CU20" s="3">
        <f>CALCS!Q3157</f>
        <v>0</v>
      </c>
      <c r="CV20" s="3">
        <f>CALCS!Q3188</f>
        <v>0</v>
      </c>
      <c r="CW20" s="3">
        <f>CALCS!Q3219</f>
        <v>0</v>
      </c>
      <c r="CX20" s="3">
        <f>CALCS!Q3250</f>
        <v>0</v>
      </c>
      <c r="CY20" s="3">
        <f>CALCS!Q3281</f>
        <v>0</v>
      </c>
      <c r="CZ20" s="3">
        <f>CALCS!Q3312</f>
        <v>0</v>
      </c>
      <c r="DA20" s="3">
        <f>CALCS!Q3343</f>
        <v>0</v>
      </c>
      <c r="DB20" s="3">
        <f>CALCS!Q3374</f>
        <v>0</v>
      </c>
      <c r="DC20" s="3">
        <f>CALCS!Q3405</f>
        <v>0</v>
      </c>
      <c r="DD20" s="3">
        <f>CALCS!Q3436</f>
        <v>0</v>
      </c>
      <c r="DE20" s="3">
        <f>CALCS!Q3467</f>
        <v>0</v>
      </c>
      <c r="DF20" s="3">
        <f>CALCS!Q3498</f>
        <v>0</v>
      </c>
      <c r="DG20" s="3">
        <f>CALCS!Q3529</f>
        <v>0</v>
      </c>
      <c r="DH20" s="3">
        <f>CALCS!Q3560</f>
        <v>0</v>
      </c>
      <c r="DI20" s="3">
        <f>CALCS!Q3591</f>
        <v>0</v>
      </c>
      <c r="DJ20" s="3">
        <f>CALCS!Q3622</f>
        <v>0</v>
      </c>
      <c r="DK20" s="3">
        <f>CALCS!Q3653</f>
        <v>0</v>
      </c>
      <c r="DL20" s="3">
        <f>CALCS!Q3684</f>
        <v>0</v>
      </c>
      <c r="DM20" s="3">
        <f>CALCS!Q3715</f>
        <v>0</v>
      </c>
      <c r="DN20" s="3">
        <f>CALCS!Q3746</f>
        <v>0</v>
      </c>
      <c r="DO20" s="3">
        <f>CALCS!Q3777</f>
        <v>0</v>
      </c>
      <c r="DP20" s="3">
        <f>CALCS!Q3808</f>
        <v>0</v>
      </c>
      <c r="DQ20" s="3">
        <f>CALCS!Q3839</f>
        <v>0</v>
      </c>
    </row>
    <row r="21" spans="1:121" x14ac:dyDescent="0.2">
      <c r="A21" s="3">
        <f t="shared" si="1"/>
        <v>100</v>
      </c>
      <c r="B21" s="3">
        <f>CALCS!Q151</f>
        <v>0</v>
      </c>
      <c r="C21" s="3">
        <f>CALCS!Q182</f>
        <v>8.4414000000000003E-2</v>
      </c>
      <c r="D21" s="3">
        <f>CALCS!Q213</f>
        <v>8.4414000000000003E-2</v>
      </c>
      <c r="E21" s="3">
        <f>CALCS!Q244</f>
        <v>8.4414000000000003E-2</v>
      </c>
      <c r="F21" s="3">
        <f>CALCS!Q275</f>
        <v>8.4414000000000003E-2</v>
      </c>
      <c r="G21" s="3">
        <f>CALCS!Q306</f>
        <v>8.4414000000000003E-2</v>
      </c>
      <c r="H21" s="3">
        <f>CALCS!Q337</f>
        <v>8.4414000000000003E-2</v>
      </c>
      <c r="I21" s="3">
        <f>CALCS!Q368</f>
        <v>8.4414000000000003E-2</v>
      </c>
      <c r="J21" s="3">
        <f>CALCS!Q399</f>
        <v>8.4414000000000003E-2</v>
      </c>
      <c r="K21" s="3">
        <f>CALCS!Q430</f>
        <v>0</v>
      </c>
      <c r="L21" s="3">
        <f>CALCS!Q461</f>
        <v>8.4414000000000003E-2</v>
      </c>
      <c r="M21" s="3">
        <f>CALCS!Q492</f>
        <v>8.4414000000000003E-2</v>
      </c>
      <c r="N21" s="3">
        <f>CALCS!Q523</f>
        <v>8.4414000000000003E-2</v>
      </c>
      <c r="O21" s="3">
        <f>CALCS!Q554</f>
        <v>8.4414000000000003E-2</v>
      </c>
      <c r="P21" s="3">
        <f>CALCS!Q585</f>
        <v>8.4414000000000003E-2</v>
      </c>
      <c r="Q21" s="3">
        <f>CALCS!Q616</f>
        <v>8.4414000000000003E-2</v>
      </c>
      <c r="R21" s="3">
        <f>CALCS!Q647</f>
        <v>0</v>
      </c>
      <c r="S21" s="3">
        <f>CALCS!Q678</f>
        <v>0</v>
      </c>
      <c r="T21" s="3">
        <f>CALCS!Q709</f>
        <v>0</v>
      </c>
      <c r="U21" s="3">
        <f>CALCS!Q740</f>
        <v>0</v>
      </c>
      <c r="V21" s="3">
        <f>CALCS!Q771</f>
        <v>0</v>
      </c>
      <c r="W21" s="3">
        <f>CALCS!Q802</f>
        <v>0</v>
      </c>
      <c r="X21" s="3">
        <f>CALCS!Q833</f>
        <v>0</v>
      </c>
      <c r="Y21" s="3">
        <f>CALCS!Q864</f>
        <v>0</v>
      </c>
      <c r="Z21" s="3">
        <f>CALCS!Q895</f>
        <v>0</v>
      </c>
      <c r="AA21" s="3">
        <f>CALCS!Q926</f>
        <v>0</v>
      </c>
      <c r="AB21" s="3">
        <f>CALCS!Q957</f>
        <v>0</v>
      </c>
      <c r="AC21" s="3">
        <f>CALCS!Q988</f>
        <v>0</v>
      </c>
      <c r="AD21" s="3">
        <f>CALCS!Q1019</f>
        <v>0</v>
      </c>
      <c r="AE21" s="3">
        <f>CALCS!Q1050</f>
        <v>0</v>
      </c>
      <c r="AF21" s="3">
        <f>CALCS!Q1081</f>
        <v>0</v>
      </c>
      <c r="AG21" s="3">
        <f>CALCS!Q1112</f>
        <v>0</v>
      </c>
      <c r="AH21" s="3">
        <f>CALCS!Q1143</f>
        <v>0</v>
      </c>
      <c r="AI21" s="3">
        <f>CALCS!Q1174</f>
        <v>0</v>
      </c>
      <c r="AJ21" s="3">
        <f>CALCS!Q1205</f>
        <v>0</v>
      </c>
      <c r="AK21" s="3">
        <f>CALCS!Q1236</f>
        <v>0</v>
      </c>
      <c r="AL21" s="3">
        <f>CALCS!Q1267</f>
        <v>0</v>
      </c>
      <c r="AM21" s="3">
        <f>CALCS!Q1298</f>
        <v>0</v>
      </c>
      <c r="AN21" s="3">
        <f>CALCS!Q1329</f>
        <v>0</v>
      </c>
      <c r="AO21" s="3">
        <f>CALCS!Q1360</f>
        <v>0</v>
      </c>
      <c r="AP21" s="3">
        <f>CALCS!Q1391</f>
        <v>0</v>
      </c>
      <c r="AQ21" s="3">
        <f>CALCS!Q1422</f>
        <v>0</v>
      </c>
      <c r="AR21" s="3">
        <f>CALCS!Q1453</f>
        <v>0</v>
      </c>
      <c r="AS21" s="3">
        <f>CALCS!Q1484</f>
        <v>0</v>
      </c>
      <c r="AT21" s="3">
        <f>CALCS!Q1515</f>
        <v>0</v>
      </c>
      <c r="AU21" s="3">
        <f>CALCS!Q1546</f>
        <v>0</v>
      </c>
      <c r="AV21" s="3">
        <f>CALCS!Q1577</f>
        <v>0</v>
      </c>
      <c r="AW21" s="3">
        <f>CALCS!Q1608</f>
        <v>0</v>
      </c>
      <c r="AX21" s="3">
        <f>CALCS!Q1639</f>
        <v>0</v>
      </c>
      <c r="AY21" s="3">
        <f>CALCS!Q1670</f>
        <v>0</v>
      </c>
      <c r="AZ21" s="3">
        <f>CALCS!Q1701</f>
        <v>0</v>
      </c>
      <c r="BA21" s="3">
        <f>CALCS!Q1732</f>
        <v>0</v>
      </c>
      <c r="BB21" s="3">
        <f>CALCS!Q1763</f>
        <v>0</v>
      </c>
      <c r="BC21" s="3">
        <f>CALCS!Q1794</f>
        <v>0</v>
      </c>
      <c r="BD21" s="3">
        <f>CALCS!Q1825</f>
        <v>0</v>
      </c>
      <c r="BE21" s="3">
        <f>CALCS!Q1856</f>
        <v>0</v>
      </c>
      <c r="BF21" s="3">
        <f>CALCS!Q1887</f>
        <v>0</v>
      </c>
      <c r="BG21" s="3">
        <f>CALCS!Q1918</f>
        <v>0</v>
      </c>
      <c r="BH21" s="3">
        <f>CALCS!Q1949</f>
        <v>0</v>
      </c>
      <c r="BI21" s="3">
        <f>CALCS!Q1980</f>
        <v>0</v>
      </c>
      <c r="BJ21" s="3">
        <f>CALCS!Q2011</f>
        <v>0</v>
      </c>
      <c r="BK21" s="3">
        <f>CALCS!Q2042</f>
        <v>0</v>
      </c>
      <c r="BL21" s="3">
        <f>CALCS!Q2073</f>
        <v>0</v>
      </c>
      <c r="BM21" s="3">
        <f>CALCS!Q2104</f>
        <v>0</v>
      </c>
      <c r="BN21" s="3">
        <f>CALCS!Q2135</f>
        <v>0</v>
      </c>
      <c r="BO21" s="3">
        <f>CALCS!Q2166</f>
        <v>0</v>
      </c>
      <c r="BP21" s="3">
        <f>CALCS!Q2197</f>
        <v>0</v>
      </c>
      <c r="BQ21" s="3">
        <f>CALCS!Q2228</f>
        <v>0</v>
      </c>
      <c r="BR21" s="3">
        <f>CALCS!Q2259</f>
        <v>0</v>
      </c>
      <c r="BS21" s="3">
        <f>CALCS!Q2290</f>
        <v>0</v>
      </c>
      <c r="BT21" s="3">
        <f>CALCS!Q2321</f>
        <v>0</v>
      </c>
      <c r="BU21" s="3">
        <f>CALCS!Q2352</f>
        <v>0</v>
      </c>
      <c r="BV21" s="3">
        <f>CALCS!Q2383</f>
        <v>0</v>
      </c>
      <c r="BW21" s="3">
        <f>CALCS!Q2414</f>
        <v>0</v>
      </c>
      <c r="BX21" s="3">
        <f>CALCS!Q2445</f>
        <v>0</v>
      </c>
      <c r="BY21" s="3">
        <f>CALCS!Q2476</f>
        <v>0</v>
      </c>
      <c r="BZ21" s="3">
        <f>CALCS!Q2507</f>
        <v>0</v>
      </c>
      <c r="CA21" s="3">
        <f>CALCS!Q2538</f>
        <v>0</v>
      </c>
      <c r="CB21" s="3">
        <f>CALCS!Q2569</f>
        <v>0</v>
      </c>
      <c r="CC21" s="3">
        <f>CALCS!Q2600</f>
        <v>0</v>
      </c>
      <c r="CD21" s="3">
        <f>CALCS!Q2631</f>
        <v>0</v>
      </c>
      <c r="CE21" s="3">
        <f>CALCS!Q2662</f>
        <v>0</v>
      </c>
      <c r="CF21" s="3">
        <f>CALCS!Q2693</f>
        <v>0</v>
      </c>
      <c r="CG21" s="3">
        <f>CALCS!Q2724</f>
        <v>0</v>
      </c>
      <c r="CH21" s="3">
        <f>CALCS!Q2755</f>
        <v>0</v>
      </c>
      <c r="CI21" s="3">
        <f>CALCS!Q2786</f>
        <v>0</v>
      </c>
      <c r="CJ21" s="3">
        <f>CALCS!Q2817</f>
        <v>0</v>
      </c>
      <c r="CK21" s="3">
        <f>CALCS!Q2848</f>
        <v>0</v>
      </c>
      <c r="CL21" s="3">
        <f>CALCS!Q2879</f>
        <v>0</v>
      </c>
      <c r="CM21" s="3">
        <f>CALCS!Q2910</f>
        <v>0</v>
      </c>
      <c r="CN21" s="3">
        <f>CALCS!Q2941</f>
        <v>0</v>
      </c>
      <c r="CO21" s="3">
        <f>CALCS!Q2972</f>
        <v>0</v>
      </c>
      <c r="CP21" s="3">
        <f>CALCS!Q3003</f>
        <v>0</v>
      </c>
      <c r="CQ21" s="3">
        <f>CALCS!Q3034</f>
        <v>0</v>
      </c>
      <c r="CR21" s="3">
        <f>CALCS!Q3065</f>
        <v>0</v>
      </c>
      <c r="CS21" s="3">
        <f>CALCS!Q3096</f>
        <v>0</v>
      </c>
      <c r="CT21" s="3">
        <f>CALCS!Q3127</f>
        <v>0</v>
      </c>
      <c r="CU21" s="3">
        <f>CALCS!Q3158</f>
        <v>0</v>
      </c>
      <c r="CV21" s="3">
        <f>CALCS!Q3189</f>
        <v>0</v>
      </c>
      <c r="CW21" s="3">
        <f>CALCS!Q3220</f>
        <v>0</v>
      </c>
      <c r="CX21" s="3">
        <f>CALCS!Q3251</f>
        <v>0</v>
      </c>
      <c r="CY21" s="3">
        <f>CALCS!Q3282</f>
        <v>0</v>
      </c>
      <c r="CZ21" s="3">
        <f>CALCS!Q3313</f>
        <v>0</v>
      </c>
      <c r="DA21" s="3">
        <f>CALCS!Q3344</f>
        <v>0</v>
      </c>
      <c r="DB21" s="3">
        <f>CALCS!Q3375</f>
        <v>0</v>
      </c>
      <c r="DC21" s="3">
        <f>CALCS!Q3406</f>
        <v>0</v>
      </c>
      <c r="DD21" s="3">
        <f>CALCS!Q3437</f>
        <v>0</v>
      </c>
      <c r="DE21" s="3">
        <f>CALCS!Q3468</f>
        <v>0</v>
      </c>
      <c r="DF21" s="3">
        <f>CALCS!Q3499</f>
        <v>0</v>
      </c>
      <c r="DG21" s="3">
        <f>CALCS!Q3530</f>
        <v>0</v>
      </c>
      <c r="DH21" s="3">
        <f>CALCS!Q3561</f>
        <v>0</v>
      </c>
      <c r="DI21" s="3">
        <f>CALCS!Q3592</f>
        <v>0</v>
      </c>
      <c r="DJ21" s="3">
        <f>CALCS!Q3623</f>
        <v>0</v>
      </c>
      <c r="DK21" s="3">
        <f>CALCS!Q3654</f>
        <v>0</v>
      </c>
      <c r="DL21" s="3">
        <f>CALCS!Q3685</f>
        <v>0</v>
      </c>
      <c r="DM21" s="3">
        <f>CALCS!Q3716</f>
        <v>0</v>
      </c>
      <c r="DN21" s="3">
        <f>CALCS!Q3747</f>
        <v>0</v>
      </c>
      <c r="DO21" s="3">
        <f>CALCS!Q3778</f>
        <v>0</v>
      </c>
      <c r="DP21" s="3">
        <f>CALCS!Q3809</f>
        <v>0</v>
      </c>
      <c r="DQ21" s="3">
        <f>CALCS!Q3840</f>
        <v>0</v>
      </c>
    </row>
    <row r="22" spans="1:121" x14ac:dyDescent="0.2">
      <c r="A22" s="3">
        <f t="shared" si="1"/>
        <v>101</v>
      </c>
      <c r="B22" s="3">
        <f>CALCS!Q152</f>
        <v>0</v>
      </c>
      <c r="C22" s="3">
        <f>CALCS!Q183</f>
        <v>7.8909000000000007E-2</v>
      </c>
      <c r="D22" s="3">
        <f>CALCS!Q214</f>
        <v>7.8909000000000007E-2</v>
      </c>
      <c r="E22" s="3">
        <f>CALCS!Q245</f>
        <v>7.8909000000000007E-2</v>
      </c>
      <c r="F22" s="3">
        <f>CALCS!Q276</f>
        <v>7.8909000000000021E-2</v>
      </c>
      <c r="G22" s="3">
        <f>CALCS!Q307</f>
        <v>7.8909000000000007E-2</v>
      </c>
      <c r="H22" s="3">
        <f>CALCS!Q338</f>
        <v>7.8909000000000007E-2</v>
      </c>
      <c r="I22" s="3">
        <f>CALCS!Q369</f>
        <v>7.8909000000000007E-2</v>
      </c>
      <c r="J22" s="3">
        <f>CALCS!Q400</f>
        <v>7.8909000000000007E-2</v>
      </c>
      <c r="K22" s="3">
        <f>CALCS!Q431</f>
        <v>0</v>
      </c>
      <c r="L22" s="3">
        <f>CALCS!Q462</f>
        <v>7.8909000000000007E-2</v>
      </c>
      <c r="M22" s="3">
        <f>CALCS!Q493</f>
        <v>7.8909000000000007E-2</v>
      </c>
      <c r="N22" s="3">
        <f>CALCS!Q524</f>
        <v>7.8909000000000007E-2</v>
      </c>
      <c r="O22" s="3">
        <f>CALCS!Q555</f>
        <v>7.8909000000000007E-2</v>
      </c>
      <c r="P22" s="3">
        <f>CALCS!Q586</f>
        <v>7.8909000000000007E-2</v>
      </c>
      <c r="Q22" s="3">
        <f>CALCS!Q617</f>
        <v>7.8909000000000007E-2</v>
      </c>
      <c r="R22" s="3">
        <f>CALCS!Q648</f>
        <v>0</v>
      </c>
      <c r="S22" s="3">
        <f>CALCS!Q679</f>
        <v>0</v>
      </c>
      <c r="T22" s="3">
        <f>CALCS!Q710</f>
        <v>0</v>
      </c>
      <c r="U22" s="3">
        <f>CALCS!Q741</f>
        <v>0</v>
      </c>
      <c r="V22" s="3">
        <f>CALCS!Q772</f>
        <v>0</v>
      </c>
      <c r="W22" s="3">
        <f>CALCS!Q803</f>
        <v>0</v>
      </c>
      <c r="X22" s="3">
        <f>CALCS!Q834</f>
        <v>0</v>
      </c>
      <c r="Y22" s="3">
        <f>CALCS!Q865</f>
        <v>0</v>
      </c>
      <c r="Z22" s="3">
        <f>CALCS!Q896</f>
        <v>0</v>
      </c>
      <c r="AA22" s="3">
        <f>CALCS!Q927</f>
        <v>0</v>
      </c>
      <c r="AB22" s="3">
        <f>CALCS!Q958</f>
        <v>0</v>
      </c>
      <c r="AC22" s="3">
        <f>CALCS!Q989</f>
        <v>0</v>
      </c>
      <c r="AD22" s="3">
        <f>CALCS!Q1020</f>
        <v>0</v>
      </c>
      <c r="AE22" s="3">
        <f>CALCS!Q1051</f>
        <v>0</v>
      </c>
      <c r="AF22" s="3">
        <f>CALCS!Q1082</f>
        <v>0</v>
      </c>
      <c r="AG22" s="3">
        <f>CALCS!Q1113</f>
        <v>0</v>
      </c>
      <c r="AH22" s="3">
        <f>CALCS!Q1144</f>
        <v>0</v>
      </c>
      <c r="AI22" s="3">
        <f>CALCS!Q1175</f>
        <v>0</v>
      </c>
      <c r="AJ22" s="3">
        <f>CALCS!Q1206</f>
        <v>0</v>
      </c>
      <c r="AK22" s="3">
        <f>CALCS!Q1237</f>
        <v>0</v>
      </c>
      <c r="AL22" s="3">
        <f>CALCS!Q1268</f>
        <v>0</v>
      </c>
      <c r="AM22" s="3">
        <f>CALCS!Q1299</f>
        <v>0</v>
      </c>
      <c r="AN22" s="3">
        <f>CALCS!Q1330</f>
        <v>0</v>
      </c>
      <c r="AO22" s="3">
        <f>CALCS!Q1361</f>
        <v>0</v>
      </c>
      <c r="AP22" s="3">
        <f>CALCS!Q1392</f>
        <v>0</v>
      </c>
      <c r="AQ22" s="3">
        <f>CALCS!Q1423</f>
        <v>0</v>
      </c>
      <c r="AR22" s="3">
        <f>CALCS!Q1454</f>
        <v>0</v>
      </c>
      <c r="AS22" s="3">
        <f>CALCS!Q1485</f>
        <v>0</v>
      </c>
      <c r="AT22" s="3">
        <f>CALCS!Q1516</f>
        <v>0</v>
      </c>
      <c r="AU22" s="3">
        <f>CALCS!Q1547</f>
        <v>0</v>
      </c>
      <c r="AV22" s="3">
        <f>CALCS!Q1578</f>
        <v>0</v>
      </c>
      <c r="AW22" s="3">
        <f>CALCS!Q1609</f>
        <v>0</v>
      </c>
      <c r="AX22" s="3">
        <f>CALCS!Q1640</f>
        <v>0</v>
      </c>
      <c r="AY22" s="3">
        <f>CALCS!Q1671</f>
        <v>0</v>
      </c>
      <c r="AZ22" s="3">
        <f>CALCS!Q1702</f>
        <v>0</v>
      </c>
      <c r="BA22" s="3">
        <f>CALCS!Q1733</f>
        <v>0</v>
      </c>
      <c r="BB22" s="3">
        <f>CALCS!Q1764</f>
        <v>0</v>
      </c>
      <c r="BC22" s="3">
        <f>CALCS!Q1795</f>
        <v>0</v>
      </c>
      <c r="BD22" s="3">
        <f>CALCS!Q1826</f>
        <v>0</v>
      </c>
      <c r="BE22" s="3">
        <f>CALCS!Q1857</f>
        <v>0</v>
      </c>
      <c r="BF22" s="3">
        <f>CALCS!Q1888</f>
        <v>0</v>
      </c>
      <c r="BG22" s="3">
        <f>CALCS!Q1919</f>
        <v>0</v>
      </c>
      <c r="BH22" s="3">
        <f>CALCS!Q1950</f>
        <v>0</v>
      </c>
      <c r="BI22" s="3">
        <f>CALCS!Q1981</f>
        <v>0</v>
      </c>
      <c r="BJ22" s="3">
        <f>CALCS!Q2012</f>
        <v>0</v>
      </c>
      <c r="BK22" s="3">
        <f>CALCS!Q2043</f>
        <v>0</v>
      </c>
      <c r="BL22" s="3">
        <f>CALCS!Q2074</f>
        <v>0</v>
      </c>
      <c r="BM22" s="3">
        <f>CALCS!Q2105</f>
        <v>0</v>
      </c>
      <c r="BN22" s="3">
        <f>CALCS!Q2136</f>
        <v>0</v>
      </c>
      <c r="BO22" s="3">
        <f>CALCS!Q2167</f>
        <v>0</v>
      </c>
      <c r="BP22" s="3">
        <f>CALCS!Q2198</f>
        <v>0</v>
      </c>
      <c r="BQ22" s="3">
        <f>CALCS!Q2229</f>
        <v>0</v>
      </c>
      <c r="BR22" s="3">
        <f>CALCS!Q2260</f>
        <v>0</v>
      </c>
      <c r="BS22" s="3">
        <f>CALCS!Q2291</f>
        <v>0</v>
      </c>
      <c r="BT22" s="3">
        <f>CALCS!Q2322</f>
        <v>0</v>
      </c>
      <c r="BU22" s="3">
        <f>CALCS!Q2353</f>
        <v>0</v>
      </c>
      <c r="BV22" s="3">
        <f>CALCS!Q2384</f>
        <v>0</v>
      </c>
      <c r="BW22" s="3">
        <f>CALCS!Q2415</f>
        <v>0</v>
      </c>
      <c r="BX22" s="3">
        <f>CALCS!Q2446</f>
        <v>0</v>
      </c>
      <c r="BY22" s="3">
        <f>CALCS!Q2477</f>
        <v>0</v>
      </c>
      <c r="BZ22" s="3">
        <f>CALCS!Q2508</f>
        <v>0</v>
      </c>
      <c r="CA22" s="3">
        <f>CALCS!Q2539</f>
        <v>0</v>
      </c>
      <c r="CB22" s="3">
        <f>CALCS!Q2570</f>
        <v>0</v>
      </c>
      <c r="CC22" s="3">
        <f>CALCS!Q2601</f>
        <v>0</v>
      </c>
      <c r="CD22" s="3">
        <f>CALCS!Q2632</f>
        <v>0</v>
      </c>
      <c r="CE22" s="3">
        <f>CALCS!Q2663</f>
        <v>0</v>
      </c>
      <c r="CF22" s="3">
        <f>CALCS!Q2694</f>
        <v>0</v>
      </c>
      <c r="CG22" s="3">
        <f>CALCS!Q2725</f>
        <v>0</v>
      </c>
      <c r="CH22" s="3">
        <f>CALCS!Q2756</f>
        <v>0</v>
      </c>
      <c r="CI22" s="3">
        <f>CALCS!Q2787</f>
        <v>0</v>
      </c>
      <c r="CJ22" s="3">
        <f>CALCS!Q2818</f>
        <v>0</v>
      </c>
      <c r="CK22" s="3">
        <f>CALCS!Q2849</f>
        <v>0</v>
      </c>
      <c r="CL22" s="3">
        <f>CALCS!Q2880</f>
        <v>0</v>
      </c>
      <c r="CM22" s="3">
        <f>CALCS!Q2911</f>
        <v>0</v>
      </c>
      <c r="CN22" s="3">
        <f>CALCS!Q2942</f>
        <v>0</v>
      </c>
      <c r="CO22" s="3">
        <f>CALCS!Q2973</f>
        <v>0</v>
      </c>
      <c r="CP22" s="3">
        <f>CALCS!Q3004</f>
        <v>0</v>
      </c>
      <c r="CQ22" s="3">
        <f>CALCS!Q3035</f>
        <v>0</v>
      </c>
      <c r="CR22" s="3">
        <f>CALCS!Q3066</f>
        <v>0</v>
      </c>
      <c r="CS22" s="3">
        <f>CALCS!Q3097</f>
        <v>0</v>
      </c>
      <c r="CT22" s="3">
        <f>CALCS!Q3128</f>
        <v>0</v>
      </c>
      <c r="CU22" s="3">
        <f>CALCS!Q3159</f>
        <v>0</v>
      </c>
      <c r="CV22" s="3">
        <f>CALCS!Q3190</f>
        <v>0</v>
      </c>
      <c r="CW22" s="3">
        <f>CALCS!Q3221</f>
        <v>0</v>
      </c>
      <c r="CX22" s="3">
        <f>CALCS!Q3252</f>
        <v>0</v>
      </c>
      <c r="CY22" s="3">
        <f>CALCS!Q3283</f>
        <v>0</v>
      </c>
      <c r="CZ22" s="3">
        <f>CALCS!Q3314</f>
        <v>0</v>
      </c>
      <c r="DA22" s="3">
        <f>CALCS!Q3345</f>
        <v>0</v>
      </c>
      <c r="DB22" s="3">
        <f>CALCS!Q3376</f>
        <v>0</v>
      </c>
      <c r="DC22" s="3">
        <f>CALCS!Q3407</f>
        <v>0</v>
      </c>
      <c r="DD22" s="3">
        <f>CALCS!Q3438</f>
        <v>0</v>
      </c>
      <c r="DE22" s="3">
        <f>CALCS!Q3469</f>
        <v>0</v>
      </c>
      <c r="DF22" s="3">
        <f>CALCS!Q3500</f>
        <v>0</v>
      </c>
      <c r="DG22" s="3">
        <f>CALCS!Q3531</f>
        <v>0</v>
      </c>
      <c r="DH22" s="3">
        <f>CALCS!Q3562</f>
        <v>0</v>
      </c>
      <c r="DI22" s="3">
        <f>CALCS!Q3593</f>
        <v>0</v>
      </c>
      <c r="DJ22" s="3">
        <f>CALCS!Q3624</f>
        <v>0</v>
      </c>
      <c r="DK22" s="3">
        <f>CALCS!Q3655</f>
        <v>0</v>
      </c>
      <c r="DL22" s="3">
        <f>CALCS!Q3686</f>
        <v>0</v>
      </c>
      <c r="DM22" s="3">
        <f>CALCS!Q3717</f>
        <v>0</v>
      </c>
      <c r="DN22" s="3">
        <f>CALCS!Q3748</f>
        <v>0</v>
      </c>
      <c r="DO22" s="3">
        <f>CALCS!Q3779</f>
        <v>0</v>
      </c>
      <c r="DP22" s="3">
        <f>CALCS!Q3810</f>
        <v>0</v>
      </c>
      <c r="DQ22" s="3">
        <f>CALCS!Q3841</f>
        <v>0</v>
      </c>
    </row>
    <row r="23" spans="1:121" x14ac:dyDescent="0.2">
      <c r="A23" s="3">
        <f t="shared" ref="A23:A28" si="2">A22+1</f>
        <v>102</v>
      </c>
      <c r="B23" s="3">
        <f>CALCS!Q153</f>
        <v>0</v>
      </c>
      <c r="C23" s="3">
        <f>CALCS!Q184</f>
        <v>0.29974699999999999</v>
      </c>
      <c r="D23" s="3">
        <f>CALCS!Q215</f>
        <v>0.29974699999999999</v>
      </c>
      <c r="E23" s="3">
        <f>CALCS!Q246</f>
        <v>0.29974699999999999</v>
      </c>
      <c r="F23" s="3">
        <f>CALCS!Q277</f>
        <v>0.29974699999999999</v>
      </c>
      <c r="G23" s="3">
        <f>CALCS!Q308</f>
        <v>0.29974699999999999</v>
      </c>
      <c r="H23" s="3">
        <f>CALCS!Q339</f>
        <v>0.29974699999999999</v>
      </c>
      <c r="I23" s="3">
        <f>CALCS!Q370</f>
        <v>0.29974699999999999</v>
      </c>
      <c r="J23" s="3">
        <f>CALCS!Q401</f>
        <v>0.29974699999999999</v>
      </c>
      <c r="K23" s="3">
        <f>CALCS!Q432</f>
        <v>0</v>
      </c>
      <c r="L23" s="3">
        <f>CALCS!Q463</f>
        <v>0.29974699999999999</v>
      </c>
      <c r="M23" s="3">
        <f>CALCS!Q494</f>
        <v>0.29974699999999999</v>
      </c>
      <c r="N23" s="3">
        <f>CALCS!Q525</f>
        <v>0.29974699999999999</v>
      </c>
      <c r="O23" s="3">
        <f>CALCS!Q556</f>
        <v>0.29974699999999999</v>
      </c>
      <c r="P23" s="3">
        <f>CALCS!Q587</f>
        <v>0.29974699999999999</v>
      </c>
      <c r="Q23" s="3">
        <f>CALCS!Q618</f>
        <v>0.29974699999999999</v>
      </c>
      <c r="R23" s="3">
        <f>CALCS!Q649</f>
        <v>0</v>
      </c>
      <c r="S23" s="3">
        <f>CALCS!Q680</f>
        <v>0</v>
      </c>
      <c r="T23" s="3">
        <f>CALCS!Q711</f>
        <v>0</v>
      </c>
      <c r="U23" s="3">
        <f>CALCS!Q742</f>
        <v>0</v>
      </c>
      <c r="V23" s="3">
        <f>CALCS!Q773</f>
        <v>0</v>
      </c>
      <c r="W23" s="3">
        <f>CALCS!Q804</f>
        <v>0</v>
      </c>
      <c r="X23" s="3">
        <f>CALCS!Q835</f>
        <v>0</v>
      </c>
      <c r="Y23" s="3">
        <f>CALCS!Q866</f>
        <v>0</v>
      </c>
      <c r="Z23" s="3">
        <f>CALCS!Q897</f>
        <v>0</v>
      </c>
      <c r="AA23" s="3">
        <f>CALCS!Q928</f>
        <v>0</v>
      </c>
      <c r="AB23" s="3">
        <f>CALCS!Q959</f>
        <v>0</v>
      </c>
      <c r="AC23" s="3">
        <f>CALCS!Q990</f>
        <v>0</v>
      </c>
      <c r="AD23" s="3">
        <f>CALCS!Q1021</f>
        <v>0</v>
      </c>
      <c r="AE23" s="3">
        <f>CALCS!Q1052</f>
        <v>0</v>
      </c>
      <c r="AF23" s="3">
        <f>CALCS!Q1083</f>
        <v>0</v>
      </c>
      <c r="AG23" s="3">
        <f>CALCS!Q1114</f>
        <v>0</v>
      </c>
      <c r="AH23" s="3">
        <f>CALCS!Q1145</f>
        <v>0</v>
      </c>
      <c r="AI23" s="3">
        <f>CALCS!Q1176</f>
        <v>0</v>
      </c>
      <c r="AJ23" s="3">
        <f>CALCS!Q1207</f>
        <v>0</v>
      </c>
      <c r="AK23" s="3">
        <f>CALCS!Q1238</f>
        <v>0</v>
      </c>
      <c r="AL23" s="3">
        <f>CALCS!Q1269</f>
        <v>0</v>
      </c>
      <c r="AM23" s="3">
        <f>CALCS!Q1300</f>
        <v>0</v>
      </c>
      <c r="AN23" s="3">
        <f>CALCS!Q1331</f>
        <v>0</v>
      </c>
      <c r="AO23" s="3">
        <f>CALCS!Q1362</f>
        <v>0</v>
      </c>
      <c r="AP23" s="3">
        <f>CALCS!Q1393</f>
        <v>0</v>
      </c>
      <c r="AQ23" s="3">
        <f>CALCS!Q1424</f>
        <v>0</v>
      </c>
      <c r="AR23" s="3">
        <f>CALCS!Q1455</f>
        <v>0</v>
      </c>
      <c r="AS23" s="3">
        <f>CALCS!Q1486</f>
        <v>0</v>
      </c>
      <c r="AT23" s="3">
        <f>CALCS!Q1517</f>
        <v>0</v>
      </c>
      <c r="AU23" s="3">
        <f>CALCS!Q1548</f>
        <v>0</v>
      </c>
      <c r="AV23" s="3">
        <f>CALCS!Q1579</f>
        <v>0</v>
      </c>
      <c r="AW23" s="3">
        <f>CALCS!Q1610</f>
        <v>0</v>
      </c>
      <c r="AX23" s="3">
        <f>CALCS!Q1641</f>
        <v>0</v>
      </c>
      <c r="AY23" s="3">
        <f>CALCS!Q1672</f>
        <v>0</v>
      </c>
      <c r="AZ23" s="3">
        <f>CALCS!Q1703</f>
        <v>0</v>
      </c>
      <c r="BA23" s="3">
        <f>CALCS!Q1734</f>
        <v>0</v>
      </c>
      <c r="BB23" s="3">
        <f>CALCS!Q1765</f>
        <v>0</v>
      </c>
      <c r="BC23" s="3">
        <f>CALCS!Q1796</f>
        <v>0</v>
      </c>
      <c r="BD23" s="3">
        <f>CALCS!Q1827</f>
        <v>0</v>
      </c>
      <c r="BE23" s="3">
        <f>CALCS!Q1858</f>
        <v>0</v>
      </c>
      <c r="BF23" s="3">
        <f>CALCS!Q1889</f>
        <v>0</v>
      </c>
      <c r="BG23" s="3">
        <f>CALCS!Q1920</f>
        <v>0</v>
      </c>
      <c r="BH23" s="3">
        <f>CALCS!Q1951</f>
        <v>0</v>
      </c>
      <c r="BI23" s="3">
        <f>CALCS!Q1982</f>
        <v>0</v>
      </c>
      <c r="BJ23" s="3">
        <f>CALCS!Q2013</f>
        <v>0</v>
      </c>
      <c r="BK23" s="3">
        <f>CALCS!Q2044</f>
        <v>0</v>
      </c>
      <c r="BL23" s="3">
        <f>CALCS!Q2075</f>
        <v>0</v>
      </c>
      <c r="BM23" s="3">
        <f>CALCS!Q2106</f>
        <v>0</v>
      </c>
      <c r="BN23" s="3">
        <f>CALCS!Q2137</f>
        <v>0</v>
      </c>
      <c r="BO23" s="3">
        <f>CALCS!Q2168</f>
        <v>0</v>
      </c>
      <c r="BP23" s="3">
        <f>CALCS!Q2199</f>
        <v>0</v>
      </c>
      <c r="BQ23" s="3">
        <f>CALCS!Q2230</f>
        <v>0</v>
      </c>
      <c r="BR23" s="3">
        <f>CALCS!Q2261</f>
        <v>0</v>
      </c>
      <c r="BS23" s="3">
        <f>CALCS!Q2292</f>
        <v>0</v>
      </c>
      <c r="BT23" s="3">
        <f>CALCS!Q2323</f>
        <v>0</v>
      </c>
      <c r="BU23" s="3">
        <f>CALCS!Q2354</f>
        <v>0</v>
      </c>
      <c r="BV23" s="3">
        <f>CALCS!Q2385</f>
        <v>0</v>
      </c>
      <c r="BW23" s="3">
        <f>CALCS!Q2416</f>
        <v>0</v>
      </c>
      <c r="BX23" s="3">
        <f>CALCS!Q2447</f>
        <v>0</v>
      </c>
      <c r="BY23" s="3">
        <f>CALCS!Q2478</f>
        <v>0</v>
      </c>
      <c r="BZ23" s="3">
        <f>CALCS!Q2509</f>
        <v>0</v>
      </c>
      <c r="CA23" s="3">
        <f>CALCS!Q2540</f>
        <v>0</v>
      </c>
      <c r="CB23" s="3">
        <f>CALCS!Q2571</f>
        <v>0</v>
      </c>
      <c r="CC23" s="3">
        <f>CALCS!Q2602</f>
        <v>0</v>
      </c>
      <c r="CD23" s="3">
        <f>CALCS!Q2633</f>
        <v>0</v>
      </c>
      <c r="CE23" s="3">
        <f>CALCS!Q2664</f>
        <v>0</v>
      </c>
      <c r="CF23" s="3">
        <f>CALCS!Q2695</f>
        <v>0</v>
      </c>
      <c r="CG23" s="3">
        <f>CALCS!Q2726</f>
        <v>0</v>
      </c>
      <c r="CH23" s="3">
        <f>CALCS!Q2757</f>
        <v>0</v>
      </c>
      <c r="CI23" s="3">
        <f>CALCS!Q2788</f>
        <v>0</v>
      </c>
      <c r="CJ23" s="3">
        <f>CALCS!Q2819</f>
        <v>0</v>
      </c>
      <c r="CK23" s="3">
        <f>CALCS!Q2850</f>
        <v>0</v>
      </c>
      <c r="CL23" s="3">
        <f>CALCS!Q2881</f>
        <v>0</v>
      </c>
      <c r="CM23" s="3">
        <f>CALCS!Q2912</f>
        <v>0</v>
      </c>
      <c r="CN23" s="3">
        <f>CALCS!Q2943</f>
        <v>0</v>
      </c>
      <c r="CO23" s="3">
        <f>CALCS!Q2974</f>
        <v>0</v>
      </c>
      <c r="CP23" s="3">
        <f>CALCS!Q3005</f>
        <v>0</v>
      </c>
      <c r="CQ23" s="3">
        <f>CALCS!Q3036</f>
        <v>0</v>
      </c>
      <c r="CR23" s="3">
        <f>CALCS!Q3067</f>
        <v>0</v>
      </c>
      <c r="CS23" s="3">
        <f>CALCS!Q3098</f>
        <v>0</v>
      </c>
      <c r="CT23" s="3">
        <f>CALCS!Q3129</f>
        <v>0</v>
      </c>
      <c r="CU23" s="3">
        <f>CALCS!Q3160</f>
        <v>0</v>
      </c>
      <c r="CV23" s="3">
        <f>CALCS!Q3191</f>
        <v>0</v>
      </c>
      <c r="CW23" s="3">
        <f>CALCS!Q3222</f>
        <v>0</v>
      </c>
      <c r="CX23" s="3">
        <f>CALCS!Q3253</f>
        <v>0</v>
      </c>
      <c r="CY23" s="3">
        <f>CALCS!Q3284</f>
        <v>0</v>
      </c>
      <c r="CZ23" s="3">
        <f>CALCS!Q3315</f>
        <v>0</v>
      </c>
      <c r="DA23" s="3">
        <f>CALCS!Q3346</f>
        <v>0</v>
      </c>
      <c r="DB23" s="3">
        <f>CALCS!Q3377</f>
        <v>0</v>
      </c>
      <c r="DC23" s="3">
        <f>CALCS!Q3408</f>
        <v>0</v>
      </c>
      <c r="DD23" s="3">
        <f>CALCS!Q3439</f>
        <v>0</v>
      </c>
      <c r="DE23" s="3">
        <f>CALCS!Q3470</f>
        <v>0</v>
      </c>
      <c r="DF23" s="3">
        <f>CALCS!Q3501</f>
        <v>0</v>
      </c>
      <c r="DG23" s="3">
        <f>CALCS!Q3532</f>
        <v>0</v>
      </c>
      <c r="DH23" s="3">
        <f>CALCS!Q3563</f>
        <v>0</v>
      </c>
      <c r="DI23" s="3">
        <f>CALCS!Q3594</f>
        <v>0</v>
      </c>
      <c r="DJ23" s="3">
        <f>CALCS!Q3625</f>
        <v>0</v>
      </c>
      <c r="DK23" s="3">
        <f>CALCS!Q3656</f>
        <v>0</v>
      </c>
      <c r="DL23" s="3">
        <f>CALCS!Q3687</f>
        <v>0</v>
      </c>
      <c r="DM23" s="3">
        <f>CALCS!Q3718</f>
        <v>0</v>
      </c>
      <c r="DN23" s="3">
        <f>CALCS!Q3749</f>
        <v>0</v>
      </c>
      <c r="DO23" s="3">
        <f>CALCS!Q3780</f>
        <v>0</v>
      </c>
      <c r="DP23" s="3">
        <f>CALCS!Q3811</f>
        <v>0</v>
      </c>
      <c r="DQ23" s="3">
        <f>CALCS!Q3842</f>
        <v>0</v>
      </c>
    </row>
    <row r="24" spans="1:121" x14ac:dyDescent="0.2">
      <c r="A24" s="3">
        <f t="shared" si="2"/>
        <v>103</v>
      </c>
      <c r="B24" s="3">
        <f>CALCS!Q154</f>
        <v>0</v>
      </c>
      <c r="C24" s="3">
        <f>CALCS!Q185</f>
        <v>0.20691100000000001</v>
      </c>
      <c r="D24" s="3">
        <f>CALCS!Q216</f>
        <v>0.20691100000000001</v>
      </c>
      <c r="E24" s="3">
        <f>CALCS!Q247</f>
        <v>0.20691100000000001</v>
      </c>
      <c r="F24" s="3">
        <f>CALCS!Q278</f>
        <v>0.20691100000000001</v>
      </c>
      <c r="G24" s="3">
        <f>CALCS!Q309</f>
        <v>0.20691100000000001</v>
      </c>
      <c r="H24" s="3">
        <f>CALCS!Q340</f>
        <v>0.20691100000000001</v>
      </c>
      <c r="I24" s="3">
        <f>CALCS!Q371</f>
        <v>0.20691100000000001</v>
      </c>
      <c r="J24" s="3">
        <f>CALCS!Q402</f>
        <v>0.20691099999999998</v>
      </c>
      <c r="K24" s="3">
        <f>CALCS!Q433</f>
        <v>0</v>
      </c>
      <c r="L24" s="3">
        <f>CALCS!Q464</f>
        <v>0.20691100000000001</v>
      </c>
      <c r="M24" s="3">
        <f>CALCS!Q495</f>
        <v>0.20691100000000001</v>
      </c>
      <c r="N24" s="3">
        <f>CALCS!Q526</f>
        <v>0.20691100000000001</v>
      </c>
      <c r="O24" s="3">
        <f>CALCS!Q557</f>
        <v>0.20691100000000001</v>
      </c>
      <c r="P24" s="3">
        <f>CALCS!Q588</f>
        <v>0.20691100000000001</v>
      </c>
      <c r="Q24" s="3">
        <f>CALCS!Q619</f>
        <v>0.20691100000000001</v>
      </c>
      <c r="R24" s="3">
        <f>CALCS!Q650</f>
        <v>0</v>
      </c>
      <c r="S24" s="3">
        <f>CALCS!Q681</f>
        <v>0</v>
      </c>
      <c r="T24" s="3">
        <f>CALCS!Q712</f>
        <v>0</v>
      </c>
      <c r="U24" s="3">
        <f>CALCS!Q743</f>
        <v>0</v>
      </c>
      <c r="V24" s="3">
        <f>CALCS!Q774</f>
        <v>0</v>
      </c>
      <c r="W24" s="3">
        <f>CALCS!Q805</f>
        <v>0</v>
      </c>
      <c r="X24" s="3">
        <f>CALCS!Q836</f>
        <v>0</v>
      </c>
      <c r="Y24" s="3">
        <f>CALCS!Q867</f>
        <v>0</v>
      </c>
      <c r="Z24" s="3">
        <f>CALCS!Q898</f>
        <v>0</v>
      </c>
      <c r="AA24" s="3">
        <f>CALCS!Q929</f>
        <v>0</v>
      </c>
      <c r="AB24" s="3">
        <f>CALCS!Q960</f>
        <v>0</v>
      </c>
      <c r="AC24" s="3">
        <f>CALCS!Q991</f>
        <v>0</v>
      </c>
      <c r="AD24" s="3">
        <f>CALCS!Q1022</f>
        <v>0</v>
      </c>
      <c r="AE24" s="3">
        <f>CALCS!Q1053</f>
        <v>0</v>
      </c>
      <c r="AF24" s="3">
        <f>CALCS!Q1084</f>
        <v>0</v>
      </c>
      <c r="AG24" s="3">
        <f>CALCS!Q1115</f>
        <v>0</v>
      </c>
      <c r="AH24" s="3">
        <f>CALCS!Q1146</f>
        <v>0</v>
      </c>
      <c r="AI24" s="3">
        <f>CALCS!Q1177</f>
        <v>0</v>
      </c>
      <c r="AJ24" s="3">
        <f>CALCS!Q1208</f>
        <v>0</v>
      </c>
      <c r="AK24" s="3">
        <f>CALCS!Q1239</f>
        <v>0</v>
      </c>
      <c r="AL24" s="3">
        <f>CALCS!Q1270</f>
        <v>0</v>
      </c>
      <c r="AM24" s="3">
        <f>CALCS!Q1301</f>
        <v>0</v>
      </c>
      <c r="AN24" s="3">
        <f>CALCS!Q1332</f>
        <v>0</v>
      </c>
      <c r="AO24" s="3">
        <f>CALCS!Q1363</f>
        <v>0</v>
      </c>
      <c r="AP24" s="3">
        <f>CALCS!Q1394</f>
        <v>0</v>
      </c>
      <c r="AQ24" s="3">
        <f>CALCS!Q1425</f>
        <v>0</v>
      </c>
      <c r="AR24" s="3">
        <f>CALCS!Q1456</f>
        <v>0</v>
      </c>
      <c r="AS24" s="3">
        <f>CALCS!Q1487</f>
        <v>0</v>
      </c>
      <c r="AT24" s="3">
        <f>CALCS!Q1518</f>
        <v>0</v>
      </c>
      <c r="AU24" s="3">
        <f>CALCS!Q1549</f>
        <v>0</v>
      </c>
      <c r="AV24" s="3">
        <f>CALCS!Q1580</f>
        <v>0</v>
      </c>
      <c r="AW24" s="3">
        <f>CALCS!Q1611</f>
        <v>0</v>
      </c>
      <c r="AX24" s="3">
        <f>CALCS!Q1642</f>
        <v>0</v>
      </c>
      <c r="AY24" s="3">
        <f>CALCS!Q1673</f>
        <v>0</v>
      </c>
      <c r="AZ24" s="3">
        <f>CALCS!Q1704</f>
        <v>0</v>
      </c>
      <c r="BA24" s="3">
        <f>CALCS!Q1735</f>
        <v>0</v>
      </c>
      <c r="BB24" s="3">
        <f>CALCS!Q1766</f>
        <v>0</v>
      </c>
      <c r="BC24" s="3">
        <f>CALCS!Q1797</f>
        <v>0</v>
      </c>
      <c r="BD24" s="3">
        <f>CALCS!Q1828</f>
        <v>0</v>
      </c>
      <c r="BE24" s="3">
        <f>CALCS!Q1859</f>
        <v>0</v>
      </c>
      <c r="BF24" s="3">
        <f>CALCS!Q1890</f>
        <v>0</v>
      </c>
      <c r="BG24" s="3">
        <f>CALCS!Q1921</f>
        <v>0</v>
      </c>
      <c r="BH24" s="3">
        <f>CALCS!Q1952</f>
        <v>0</v>
      </c>
      <c r="BI24" s="3">
        <f>CALCS!Q1983</f>
        <v>0</v>
      </c>
      <c r="BJ24" s="3">
        <f>CALCS!Q2014</f>
        <v>0</v>
      </c>
      <c r="BK24" s="3">
        <f>CALCS!Q2045</f>
        <v>0</v>
      </c>
      <c r="BL24" s="3">
        <f>CALCS!Q2076</f>
        <v>0</v>
      </c>
      <c r="BM24" s="3">
        <f>CALCS!Q2107</f>
        <v>0</v>
      </c>
      <c r="BN24" s="3">
        <f>CALCS!Q2138</f>
        <v>0</v>
      </c>
      <c r="BO24" s="3">
        <f>CALCS!Q2169</f>
        <v>0</v>
      </c>
      <c r="BP24" s="3">
        <f>CALCS!Q2200</f>
        <v>0</v>
      </c>
      <c r="BQ24" s="3">
        <f>CALCS!Q2231</f>
        <v>0</v>
      </c>
      <c r="BR24" s="3">
        <f>CALCS!Q2262</f>
        <v>0</v>
      </c>
      <c r="BS24" s="3">
        <f>CALCS!Q2293</f>
        <v>0</v>
      </c>
      <c r="BT24" s="3">
        <f>CALCS!Q2324</f>
        <v>0</v>
      </c>
      <c r="BU24" s="3">
        <f>CALCS!Q2355</f>
        <v>0</v>
      </c>
      <c r="BV24" s="3">
        <f>CALCS!Q2386</f>
        <v>0</v>
      </c>
      <c r="BW24" s="3">
        <f>CALCS!Q2417</f>
        <v>0</v>
      </c>
      <c r="BX24" s="3">
        <f>CALCS!Q2448</f>
        <v>0</v>
      </c>
      <c r="BY24" s="3">
        <f>CALCS!Q2479</f>
        <v>0</v>
      </c>
      <c r="BZ24" s="3">
        <f>CALCS!Q2510</f>
        <v>0</v>
      </c>
      <c r="CA24" s="3">
        <f>CALCS!Q2541</f>
        <v>0</v>
      </c>
      <c r="CB24" s="3">
        <f>CALCS!Q2572</f>
        <v>0</v>
      </c>
      <c r="CC24" s="3">
        <f>CALCS!Q2603</f>
        <v>0</v>
      </c>
      <c r="CD24" s="3">
        <f>CALCS!Q2634</f>
        <v>0</v>
      </c>
      <c r="CE24" s="3">
        <f>CALCS!Q2665</f>
        <v>0</v>
      </c>
      <c r="CF24" s="3">
        <f>CALCS!Q2696</f>
        <v>0</v>
      </c>
      <c r="CG24" s="3">
        <f>CALCS!Q2727</f>
        <v>0</v>
      </c>
      <c r="CH24" s="3">
        <f>CALCS!Q2758</f>
        <v>0</v>
      </c>
      <c r="CI24" s="3">
        <f>CALCS!Q2789</f>
        <v>0</v>
      </c>
      <c r="CJ24" s="3">
        <f>CALCS!Q2820</f>
        <v>0</v>
      </c>
      <c r="CK24" s="3">
        <f>CALCS!Q2851</f>
        <v>0</v>
      </c>
      <c r="CL24" s="3">
        <f>CALCS!Q2882</f>
        <v>0</v>
      </c>
      <c r="CM24" s="3">
        <f>CALCS!Q2913</f>
        <v>0</v>
      </c>
      <c r="CN24" s="3">
        <f>CALCS!Q2944</f>
        <v>0</v>
      </c>
      <c r="CO24" s="3">
        <f>CALCS!Q2975</f>
        <v>0</v>
      </c>
      <c r="CP24" s="3">
        <f>CALCS!Q3006</f>
        <v>0</v>
      </c>
      <c r="CQ24" s="3">
        <f>CALCS!Q3037</f>
        <v>0</v>
      </c>
      <c r="CR24" s="3">
        <f>CALCS!Q3068</f>
        <v>0</v>
      </c>
      <c r="CS24" s="3">
        <f>CALCS!Q3099</f>
        <v>0</v>
      </c>
      <c r="CT24" s="3">
        <f>CALCS!Q3130</f>
        <v>0</v>
      </c>
      <c r="CU24" s="3">
        <f>CALCS!Q3161</f>
        <v>0</v>
      </c>
      <c r="CV24" s="3">
        <f>CALCS!Q3192</f>
        <v>0</v>
      </c>
      <c r="CW24" s="3">
        <f>CALCS!Q3223</f>
        <v>0</v>
      </c>
      <c r="CX24" s="3">
        <f>CALCS!Q3254</f>
        <v>0</v>
      </c>
      <c r="CY24" s="3">
        <f>CALCS!Q3285</f>
        <v>0</v>
      </c>
      <c r="CZ24" s="3">
        <f>CALCS!Q3316</f>
        <v>0</v>
      </c>
      <c r="DA24" s="3">
        <f>CALCS!Q3347</f>
        <v>0</v>
      </c>
      <c r="DB24" s="3">
        <f>CALCS!Q3378</f>
        <v>0</v>
      </c>
      <c r="DC24" s="3">
        <f>CALCS!Q3409</f>
        <v>0</v>
      </c>
      <c r="DD24" s="3">
        <f>CALCS!Q3440</f>
        <v>0</v>
      </c>
      <c r="DE24" s="3">
        <f>CALCS!Q3471</f>
        <v>0</v>
      </c>
      <c r="DF24" s="3">
        <f>CALCS!Q3502</f>
        <v>0</v>
      </c>
      <c r="DG24" s="3">
        <f>CALCS!Q3533</f>
        <v>0</v>
      </c>
      <c r="DH24" s="3">
        <f>CALCS!Q3564</f>
        <v>0</v>
      </c>
      <c r="DI24" s="3">
        <f>CALCS!Q3595</f>
        <v>0</v>
      </c>
      <c r="DJ24" s="3">
        <f>CALCS!Q3626</f>
        <v>0</v>
      </c>
      <c r="DK24" s="3">
        <f>CALCS!Q3657</f>
        <v>0</v>
      </c>
      <c r="DL24" s="3">
        <f>CALCS!Q3688</f>
        <v>0</v>
      </c>
      <c r="DM24" s="3">
        <f>CALCS!Q3719</f>
        <v>0</v>
      </c>
      <c r="DN24" s="3">
        <f>CALCS!Q3750</f>
        <v>0</v>
      </c>
      <c r="DO24" s="3">
        <f>CALCS!Q3781</f>
        <v>0</v>
      </c>
      <c r="DP24" s="3">
        <f>CALCS!Q3812</f>
        <v>0</v>
      </c>
      <c r="DQ24" s="3">
        <f>CALCS!Q3843</f>
        <v>0</v>
      </c>
    </row>
    <row r="25" spans="1:121" x14ac:dyDescent="0.2">
      <c r="A25" s="3">
        <f t="shared" si="2"/>
        <v>104</v>
      </c>
      <c r="B25" s="3">
        <f>CALCS!Q155</f>
        <v>0</v>
      </c>
      <c r="C25" s="3">
        <f>CALCS!Q186</f>
        <v>0.269237</v>
      </c>
      <c r="D25" s="3">
        <f>CALCS!Q217</f>
        <v>0.269237</v>
      </c>
      <c r="E25" s="3">
        <f>CALCS!Q248</f>
        <v>0.269237</v>
      </c>
      <c r="F25" s="3">
        <f>CALCS!Q279</f>
        <v>0.269237</v>
      </c>
      <c r="G25" s="3">
        <f>CALCS!Q310</f>
        <v>0.269237</v>
      </c>
      <c r="H25" s="3">
        <f>CALCS!Q341</f>
        <v>0.269237</v>
      </c>
      <c r="I25" s="3">
        <f>CALCS!Q372</f>
        <v>0.269237</v>
      </c>
      <c r="J25" s="3">
        <f>CALCS!Q403</f>
        <v>0.269237</v>
      </c>
      <c r="K25" s="3">
        <f>CALCS!Q434</f>
        <v>0</v>
      </c>
      <c r="L25" s="3">
        <f>CALCS!Q465</f>
        <v>0.269237</v>
      </c>
      <c r="M25" s="3">
        <f>CALCS!Q496</f>
        <v>0.269237</v>
      </c>
      <c r="N25" s="3">
        <f>CALCS!Q527</f>
        <v>0.269237</v>
      </c>
      <c r="O25" s="3">
        <f>CALCS!Q558</f>
        <v>0.269237</v>
      </c>
      <c r="P25" s="3">
        <f>CALCS!Q589</f>
        <v>0.269237</v>
      </c>
      <c r="Q25" s="3">
        <f>CALCS!Q620</f>
        <v>0.269237</v>
      </c>
      <c r="R25" s="3">
        <f>CALCS!Q651</f>
        <v>0</v>
      </c>
      <c r="S25" s="3">
        <f>CALCS!Q682</f>
        <v>0</v>
      </c>
      <c r="T25" s="3">
        <f>CALCS!Q713</f>
        <v>0</v>
      </c>
      <c r="U25" s="3">
        <f>CALCS!Q744</f>
        <v>0</v>
      </c>
      <c r="V25" s="3">
        <f>CALCS!Q775</f>
        <v>0</v>
      </c>
      <c r="W25" s="3">
        <f>CALCS!Q806</f>
        <v>0</v>
      </c>
      <c r="X25" s="3">
        <f>CALCS!Q837</f>
        <v>0</v>
      </c>
      <c r="Y25" s="3">
        <f>CALCS!Q868</f>
        <v>0</v>
      </c>
      <c r="Z25" s="3">
        <f>CALCS!Q899</f>
        <v>0</v>
      </c>
      <c r="AA25" s="3">
        <f>CALCS!Q930</f>
        <v>0</v>
      </c>
      <c r="AB25" s="3">
        <f>CALCS!Q961</f>
        <v>0</v>
      </c>
      <c r="AC25" s="3">
        <f>CALCS!Q992</f>
        <v>0</v>
      </c>
      <c r="AD25" s="3">
        <f>CALCS!Q1023</f>
        <v>0</v>
      </c>
      <c r="AE25" s="3">
        <f>CALCS!Q1054</f>
        <v>0</v>
      </c>
      <c r="AF25" s="3">
        <f>CALCS!Q1085</f>
        <v>0</v>
      </c>
      <c r="AG25" s="3">
        <f>CALCS!Q1116</f>
        <v>0</v>
      </c>
      <c r="AH25" s="3">
        <f>CALCS!Q1147</f>
        <v>0</v>
      </c>
      <c r="AI25" s="3">
        <f>CALCS!Q1178</f>
        <v>0</v>
      </c>
      <c r="AJ25" s="3">
        <f>CALCS!Q1209</f>
        <v>0</v>
      </c>
      <c r="AK25" s="3">
        <f>CALCS!Q1240</f>
        <v>0</v>
      </c>
      <c r="AL25" s="3">
        <f>CALCS!Q1271</f>
        <v>0</v>
      </c>
      <c r="AM25" s="3">
        <f>CALCS!Q1302</f>
        <v>0</v>
      </c>
      <c r="AN25" s="3">
        <f>CALCS!Q1333</f>
        <v>0</v>
      </c>
      <c r="AO25" s="3">
        <f>CALCS!Q1364</f>
        <v>0</v>
      </c>
      <c r="AP25" s="3">
        <f>CALCS!Q1395</f>
        <v>0</v>
      </c>
      <c r="AQ25" s="3">
        <f>CALCS!Q1426</f>
        <v>0</v>
      </c>
      <c r="AR25" s="3">
        <f>CALCS!Q1457</f>
        <v>0</v>
      </c>
      <c r="AS25" s="3">
        <f>CALCS!Q1488</f>
        <v>0</v>
      </c>
      <c r="AT25" s="3">
        <f>CALCS!Q1519</f>
        <v>0</v>
      </c>
      <c r="AU25" s="3">
        <f>CALCS!Q1550</f>
        <v>0</v>
      </c>
      <c r="AV25" s="3">
        <f>CALCS!Q1581</f>
        <v>0</v>
      </c>
      <c r="AW25" s="3">
        <f>CALCS!Q1612</f>
        <v>0</v>
      </c>
      <c r="AX25" s="3">
        <f>CALCS!Q1643</f>
        <v>0</v>
      </c>
      <c r="AY25" s="3">
        <f>CALCS!Q1674</f>
        <v>0</v>
      </c>
      <c r="AZ25" s="3">
        <f>CALCS!Q1705</f>
        <v>0</v>
      </c>
      <c r="BA25" s="3">
        <f>CALCS!Q1736</f>
        <v>0</v>
      </c>
      <c r="BB25" s="3">
        <f>CALCS!Q1767</f>
        <v>0</v>
      </c>
      <c r="BC25" s="3">
        <f>CALCS!Q1798</f>
        <v>0</v>
      </c>
      <c r="BD25" s="3">
        <f>CALCS!Q1829</f>
        <v>0</v>
      </c>
      <c r="BE25" s="3">
        <f>CALCS!Q1860</f>
        <v>0</v>
      </c>
      <c r="BF25" s="3">
        <f>CALCS!Q1891</f>
        <v>0</v>
      </c>
      <c r="BG25" s="3">
        <f>CALCS!Q1922</f>
        <v>0</v>
      </c>
      <c r="BH25" s="3">
        <f>CALCS!Q1953</f>
        <v>0</v>
      </c>
      <c r="BI25" s="3">
        <f>CALCS!Q1984</f>
        <v>0</v>
      </c>
      <c r="BJ25" s="3">
        <f>CALCS!Q2015</f>
        <v>0</v>
      </c>
      <c r="BK25" s="3">
        <f>CALCS!Q2046</f>
        <v>0</v>
      </c>
      <c r="BL25" s="3">
        <f>CALCS!Q2077</f>
        <v>0</v>
      </c>
      <c r="BM25" s="3">
        <f>CALCS!Q2108</f>
        <v>0</v>
      </c>
      <c r="BN25" s="3">
        <f>CALCS!Q2139</f>
        <v>0</v>
      </c>
      <c r="BO25" s="3">
        <f>CALCS!Q2170</f>
        <v>0</v>
      </c>
      <c r="BP25" s="3">
        <f>CALCS!Q2201</f>
        <v>0</v>
      </c>
      <c r="BQ25" s="3">
        <f>CALCS!Q2232</f>
        <v>0</v>
      </c>
      <c r="BR25" s="3">
        <f>CALCS!Q2263</f>
        <v>0</v>
      </c>
      <c r="BS25" s="3">
        <f>CALCS!Q2294</f>
        <v>0</v>
      </c>
      <c r="BT25" s="3">
        <f>CALCS!Q2325</f>
        <v>0</v>
      </c>
      <c r="BU25" s="3">
        <f>CALCS!Q2356</f>
        <v>0</v>
      </c>
      <c r="BV25" s="3">
        <f>CALCS!Q2387</f>
        <v>0</v>
      </c>
      <c r="BW25" s="3">
        <f>CALCS!Q2418</f>
        <v>0</v>
      </c>
      <c r="BX25" s="3">
        <f>CALCS!Q2449</f>
        <v>0</v>
      </c>
      <c r="BY25" s="3">
        <f>CALCS!Q2480</f>
        <v>0</v>
      </c>
      <c r="BZ25" s="3">
        <f>CALCS!Q2511</f>
        <v>0</v>
      </c>
      <c r="CA25" s="3">
        <f>CALCS!Q2542</f>
        <v>0</v>
      </c>
      <c r="CB25" s="3">
        <f>CALCS!Q2573</f>
        <v>0</v>
      </c>
      <c r="CC25" s="3">
        <f>CALCS!Q2604</f>
        <v>0</v>
      </c>
      <c r="CD25" s="3">
        <f>CALCS!Q2635</f>
        <v>0</v>
      </c>
      <c r="CE25" s="3">
        <f>CALCS!Q2666</f>
        <v>0</v>
      </c>
      <c r="CF25" s="3">
        <f>CALCS!Q2697</f>
        <v>0</v>
      </c>
      <c r="CG25" s="3">
        <f>CALCS!Q2728</f>
        <v>0</v>
      </c>
      <c r="CH25" s="3">
        <f>CALCS!Q2759</f>
        <v>0</v>
      </c>
      <c r="CI25" s="3">
        <f>CALCS!Q2790</f>
        <v>0</v>
      </c>
      <c r="CJ25" s="3">
        <f>CALCS!Q2821</f>
        <v>0</v>
      </c>
      <c r="CK25" s="3">
        <f>CALCS!Q2852</f>
        <v>0</v>
      </c>
      <c r="CL25" s="3">
        <f>CALCS!Q2883</f>
        <v>0</v>
      </c>
      <c r="CM25" s="3">
        <f>CALCS!Q2914</f>
        <v>0</v>
      </c>
      <c r="CN25" s="3">
        <f>CALCS!Q2945</f>
        <v>0</v>
      </c>
      <c r="CO25" s="3">
        <f>CALCS!Q2976</f>
        <v>0</v>
      </c>
      <c r="CP25" s="3">
        <f>CALCS!Q3007</f>
        <v>0</v>
      </c>
      <c r="CQ25" s="3">
        <f>CALCS!Q3038</f>
        <v>0</v>
      </c>
      <c r="CR25" s="3">
        <f>CALCS!Q3069</f>
        <v>0</v>
      </c>
      <c r="CS25" s="3">
        <f>CALCS!Q3100</f>
        <v>0</v>
      </c>
      <c r="CT25" s="3">
        <f>CALCS!Q3131</f>
        <v>0</v>
      </c>
      <c r="CU25" s="3">
        <f>CALCS!Q3162</f>
        <v>0</v>
      </c>
      <c r="CV25" s="3">
        <f>CALCS!Q3193</f>
        <v>0</v>
      </c>
      <c r="CW25" s="3">
        <f>CALCS!Q3224</f>
        <v>0</v>
      </c>
      <c r="CX25" s="3">
        <f>CALCS!Q3255</f>
        <v>0</v>
      </c>
      <c r="CY25" s="3">
        <f>CALCS!Q3286</f>
        <v>0</v>
      </c>
      <c r="CZ25" s="3">
        <f>CALCS!Q3317</f>
        <v>0</v>
      </c>
      <c r="DA25" s="3">
        <f>CALCS!Q3348</f>
        <v>0</v>
      </c>
      <c r="DB25" s="3">
        <f>CALCS!Q3379</f>
        <v>0</v>
      </c>
      <c r="DC25" s="3">
        <f>CALCS!Q3410</f>
        <v>0</v>
      </c>
      <c r="DD25" s="3">
        <f>CALCS!Q3441</f>
        <v>0</v>
      </c>
      <c r="DE25" s="3">
        <f>CALCS!Q3472</f>
        <v>0</v>
      </c>
      <c r="DF25" s="3">
        <f>CALCS!Q3503</f>
        <v>0</v>
      </c>
      <c r="DG25" s="3">
        <f>CALCS!Q3534</f>
        <v>0</v>
      </c>
      <c r="DH25" s="3">
        <f>CALCS!Q3565</f>
        <v>0</v>
      </c>
      <c r="DI25" s="3">
        <f>CALCS!Q3596</f>
        <v>0</v>
      </c>
      <c r="DJ25" s="3">
        <f>CALCS!Q3627</f>
        <v>0</v>
      </c>
      <c r="DK25" s="3">
        <f>CALCS!Q3658</f>
        <v>0</v>
      </c>
      <c r="DL25" s="3">
        <f>CALCS!Q3689</f>
        <v>0</v>
      </c>
      <c r="DM25" s="3">
        <f>CALCS!Q3720</f>
        <v>0</v>
      </c>
      <c r="DN25" s="3">
        <f>CALCS!Q3751</f>
        <v>0</v>
      </c>
      <c r="DO25" s="3">
        <f>CALCS!Q3782</f>
        <v>0</v>
      </c>
      <c r="DP25" s="3">
        <f>CALCS!Q3813</f>
        <v>0</v>
      </c>
      <c r="DQ25" s="3">
        <f>CALCS!Q3844</f>
        <v>0</v>
      </c>
    </row>
    <row r="26" spans="1:121" x14ac:dyDescent="0.2">
      <c r="A26" s="3">
        <f t="shared" si="2"/>
        <v>105</v>
      </c>
      <c r="B26" s="3">
        <f>CALCS!Q156</f>
        <v>0</v>
      </c>
      <c r="C26" s="3">
        <f>CALCS!Q187</f>
        <v>0.37848700000000002</v>
      </c>
      <c r="D26" s="3">
        <f>CALCS!Q218</f>
        <v>0.37848700000000002</v>
      </c>
      <c r="E26" s="3">
        <f>CALCS!Q249</f>
        <v>0.37848700000000002</v>
      </c>
      <c r="F26" s="3">
        <f>CALCS!Q280</f>
        <v>0.37848700000000007</v>
      </c>
      <c r="G26" s="3">
        <f>CALCS!Q311</f>
        <v>0.37848700000000002</v>
      </c>
      <c r="H26" s="3">
        <f>CALCS!Q342</f>
        <v>0.37848700000000007</v>
      </c>
      <c r="I26" s="3">
        <f>CALCS!Q373</f>
        <v>0.37848700000000002</v>
      </c>
      <c r="J26" s="3">
        <f>CALCS!Q404</f>
        <v>0.37848700000000002</v>
      </c>
      <c r="K26" s="3">
        <f>CALCS!Q435</f>
        <v>0</v>
      </c>
      <c r="L26" s="3">
        <f>CALCS!Q466</f>
        <v>0.37848700000000007</v>
      </c>
      <c r="M26" s="3">
        <f>CALCS!Q497</f>
        <v>0.37848700000000002</v>
      </c>
      <c r="N26" s="3">
        <f>CALCS!Q528</f>
        <v>0.37848700000000002</v>
      </c>
      <c r="O26" s="3">
        <f>CALCS!Q559</f>
        <v>0.37848700000000002</v>
      </c>
      <c r="P26" s="3">
        <f>CALCS!Q590</f>
        <v>0.37848700000000002</v>
      </c>
      <c r="Q26" s="3">
        <f>CALCS!Q621</f>
        <v>0.37848700000000002</v>
      </c>
      <c r="R26" s="3">
        <f>CALCS!Q652</f>
        <v>0</v>
      </c>
      <c r="S26" s="3">
        <f>CALCS!Q683</f>
        <v>0</v>
      </c>
      <c r="T26" s="3">
        <f>CALCS!Q714</f>
        <v>0</v>
      </c>
      <c r="U26" s="3">
        <f>CALCS!Q745</f>
        <v>0</v>
      </c>
      <c r="V26" s="3">
        <f>CALCS!Q776</f>
        <v>0</v>
      </c>
      <c r="W26" s="3">
        <f>CALCS!Q807</f>
        <v>0</v>
      </c>
      <c r="X26" s="3">
        <f>CALCS!Q838</f>
        <v>0</v>
      </c>
      <c r="Y26" s="3">
        <f>CALCS!Q869</f>
        <v>0</v>
      </c>
      <c r="Z26" s="3">
        <f>CALCS!Q900</f>
        <v>0</v>
      </c>
      <c r="AA26" s="3">
        <f>CALCS!Q931</f>
        <v>0</v>
      </c>
      <c r="AB26" s="3">
        <f>CALCS!Q962</f>
        <v>0</v>
      </c>
      <c r="AC26" s="3">
        <f>CALCS!Q993</f>
        <v>0</v>
      </c>
      <c r="AD26" s="3">
        <f>CALCS!Q1024</f>
        <v>0</v>
      </c>
      <c r="AE26" s="3">
        <f>CALCS!Q1055</f>
        <v>0</v>
      </c>
      <c r="AF26" s="3">
        <f>CALCS!Q1086</f>
        <v>0</v>
      </c>
      <c r="AG26" s="3">
        <f>CALCS!Q1117</f>
        <v>0</v>
      </c>
      <c r="AH26" s="3">
        <f>CALCS!Q1148</f>
        <v>0</v>
      </c>
      <c r="AI26" s="3">
        <f>CALCS!Q1179</f>
        <v>0</v>
      </c>
      <c r="AJ26" s="3">
        <f>CALCS!Q1210</f>
        <v>0</v>
      </c>
      <c r="AK26" s="3">
        <f>CALCS!Q1241</f>
        <v>0</v>
      </c>
      <c r="AL26" s="3">
        <f>CALCS!Q1272</f>
        <v>0</v>
      </c>
      <c r="AM26" s="3">
        <f>CALCS!Q1303</f>
        <v>0</v>
      </c>
      <c r="AN26" s="3">
        <f>CALCS!Q1334</f>
        <v>0</v>
      </c>
      <c r="AO26" s="3">
        <f>CALCS!Q1365</f>
        <v>0</v>
      </c>
      <c r="AP26" s="3">
        <f>CALCS!Q1396</f>
        <v>0</v>
      </c>
      <c r="AQ26" s="3">
        <f>CALCS!Q1427</f>
        <v>0</v>
      </c>
      <c r="AR26" s="3">
        <f>CALCS!Q1458</f>
        <v>0</v>
      </c>
      <c r="AS26" s="3">
        <f>CALCS!Q1489</f>
        <v>0</v>
      </c>
      <c r="AT26" s="3">
        <f>CALCS!Q1520</f>
        <v>0</v>
      </c>
      <c r="AU26" s="3">
        <f>CALCS!Q1551</f>
        <v>0</v>
      </c>
      <c r="AV26" s="3">
        <f>CALCS!Q1582</f>
        <v>0</v>
      </c>
      <c r="AW26" s="3">
        <f>CALCS!Q1613</f>
        <v>0</v>
      </c>
      <c r="AX26" s="3">
        <f>CALCS!Q1644</f>
        <v>0</v>
      </c>
      <c r="AY26" s="3">
        <f>CALCS!Q1675</f>
        <v>0</v>
      </c>
      <c r="AZ26" s="3">
        <f>CALCS!Q1706</f>
        <v>0</v>
      </c>
      <c r="BA26" s="3">
        <f>CALCS!Q1737</f>
        <v>0</v>
      </c>
      <c r="BB26" s="3">
        <f>CALCS!Q1768</f>
        <v>0</v>
      </c>
      <c r="BC26" s="3">
        <f>CALCS!Q1799</f>
        <v>0</v>
      </c>
      <c r="BD26" s="3">
        <f>CALCS!Q1830</f>
        <v>0</v>
      </c>
      <c r="BE26" s="3">
        <f>CALCS!Q1861</f>
        <v>0</v>
      </c>
      <c r="BF26" s="3">
        <f>CALCS!Q1892</f>
        <v>0</v>
      </c>
      <c r="BG26" s="3">
        <f>CALCS!Q1923</f>
        <v>0</v>
      </c>
      <c r="BH26" s="3">
        <f>CALCS!Q1954</f>
        <v>0</v>
      </c>
      <c r="BI26" s="3">
        <f>CALCS!Q1985</f>
        <v>0</v>
      </c>
      <c r="BJ26" s="3">
        <f>CALCS!Q2016</f>
        <v>0</v>
      </c>
      <c r="BK26" s="3">
        <f>CALCS!Q2047</f>
        <v>0</v>
      </c>
      <c r="BL26" s="3">
        <f>CALCS!Q2078</f>
        <v>0</v>
      </c>
      <c r="BM26" s="3">
        <f>CALCS!Q2109</f>
        <v>0</v>
      </c>
      <c r="BN26" s="3">
        <f>CALCS!Q2140</f>
        <v>0</v>
      </c>
      <c r="BO26" s="3">
        <f>CALCS!Q2171</f>
        <v>0</v>
      </c>
      <c r="BP26" s="3">
        <f>CALCS!Q2202</f>
        <v>0</v>
      </c>
      <c r="BQ26" s="3">
        <f>CALCS!Q2233</f>
        <v>0</v>
      </c>
      <c r="BR26" s="3">
        <f>CALCS!Q2264</f>
        <v>0</v>
      </c>
      <c r="BS26" s="3">
        <f>CALCS!Q2295</f>
        <v>0</v>
      </c>
      <c r="BT26" s="3">
        <f>CALCS!Q2326</f>
        <v>0</v>
      </c>
      <c r="BU26" s="3">
        <f>CALCS!Q2357</f>
        <v>0</v>
      </c>
      <c r="BV26" s="3">
        <f>CALCS!Q2388</f>
        <v>0</v>
      </c>
      <c r="BW26" s="3">
        <f>CALCS!Q2419</f>
        <v>0</v>
      </c>
      <c r="BX26" s="3">
        <f>CALCS!Q2450</f>
        <v>0</v>
      </c>
      <c r="BY26" s="3">
        <f>CALCS!Q2481</f>
        <v>0</v>
      </c>
      <c r="BZ26" s="3">
        <f>CALCS!Q2512</f>
        <v>0</v>
      </c>
      <c r="CA26" s="3">
        <f>CALCS!Q2543</f>
        <v>0</v>
      </c>
      <c r="CB26" s="3">
        <f>CALCS!Q2574</f>
        <v>0</v>
      </c>
      <c r="CC26" s="3">
        <f>CALCS!Q2605</f>
        <v>0</v>
      </c>
      <c r="CD26" s="3">
        <f>CALCS!Q2636</f>
        <v>0</v>
      </c>
      <c r="CE26" s="3">
        <f>CALCS!Q2667</f>
        <v>0</v>
      </c>
      <c r="CF26" s="3">
        <f>CALCS!Q2698</f>
        <v>0</v>
      </c>
      <c r="CG26" s="3">
        <f>CALCS!Q2729</f>
        <v>0</v>
      </c>
      <c r="CH26" s="3">
        <f>CALCS!Q2760</f>
        <v>0</v>
      </c>
      <c r="CI26" s="3">
        <f>CALCS!Q2791</f>
        <v>0</v>
      </c>
      <c r="CJ26" s="3">
        <f>CALCS!Q2822</f>
        <v>0</v>
      </c>
      <c r="CK26" s="3">
        <f>CALCS!Q2853</f>
        <v>0</v>
      </c>
      <c r="CL26" s="3">
        <f>CALCS!Q2884</f>
        <v>0</v>
      </c>
      <c r="CM26" s="3">
        <f>CALCS!Q2915</f>
        <v>0</v>
      </c>
      <c r="CN26" s="3">
        <f>CALCS!Q2946</f>
        <v>0</v>
      </c>
      <c r="CO26" s="3">
        <f>CALCS!Q2977</f>
        <v>0</v>
      </c>
      <c r="CP26" s="3">
        <f>CALCS!Q3008</f>
        <v>0</v>
      </c>
      <c r="CQ26" s="3">
        <f>CALCS!Q3039</f>
        <v>0</v>
      </c>
      <c r="CR26" s="3">
        <f>CALCS!Q3070</f>
        <v>0</v>
      </c>
      <c r="CS26" s="3">
        <f>CALCS!Q3101</f>
        <v>0</v>
      </c>
      <c r="CT26" s="3">
        <f>CALCS!Q3132</f>
        <v>0</v>
      </c>
      <c r="CU26" s="3">
        <f>CALCS!Q3163</f>
        <v>0</v>
      </c>
      <c r="CV26" s="3">
        <f>CALCS!Q3194</f>
        <v>0</v>
      </c>
      <c r="CW26" s="3">
        <f>CALCS!Q3225</f>
        <v>0</v>
      </c>
      <c r="CX26" s="3">
        <f>CALCS!Q3256</f>
        <v>0</v>
      </c>
      <c r="CY26" s="3">
        <f>CALCS!Q3287</f>
        <v>0</v>
      </c>
      <c r="CZ26" s="3">
        <f>CALCS!Q3318</f>
        <v>0</v>
      </c>
      <c r="DA26" s="3">
        <f>CALCS!Q3349</f>
        <v>0</v>
      </c>
      <c r="DB26" s="3">
        <f>CALCS!Q3380</f>
        <v>0</v>
      </c>
      <c r="DC26" s="3">
        <f>CALCS!Q3411</f>
        <v>0</v>
      </c>
      <c r="DD26" s="3">
        <f>CALCS!Q3442</f>
        <v>0</v>
      </c>
      <c r="DE26" s="3">
        <f>CALCS!Q3473</f>
        <v>0</v>
      </c>
      <c r="DF26" s="3">
        <f>CALCS!Q3504</f>
        <v>0</v>
      </c>
      <c r="DG26" s="3">
        <f>CALCS!Q3535</f>
        <v>0</v>
      </c>
      <c r="DH26" s="3">
        <f>CALCS!Q3566</f>
        <v>0</v>
      </c>
      <c r="DI26" s="3">
        <f>CALCS!Q3597</f>
        <v>0</v>
      </c>
      <c r="DJ26" s="3">
        <f>CALCS!Q3628</f>
        <v>0</v>
      </c>
      <c r="DK26" s="3">
        <f>CALCS!Q3659</f>
        <v>0</v>
      </c>
      <c r="DL26" s="3">
        <f>CALCS!Q3690</f>
        <v>0</v>
      </c>
      <c r="DM26" s="3">
        <f>CALCS!Q3721</f>
        <v>0</v>
      </c>
      <c r="DN26" s="3">
        <f>CALCS!Q3752</f>
        <v>0</v>
      </c>
      <c r="DO26" s="3">
        <f>CALCS!Q3783</f>
        <v>0</v>
      </c>
      <c r="DP26" s="3">
        <f>CALCS!Q3814</f>
        <v>0</v>
      </c>
      <c r="DQ26" s="3">
        <f>CALCS!Q3845</f>
        <v>0</v>
      </c>
    </row>
    <row r="27" spans="1:121" x14ac:dyDescent="0.2">
      <c r="A27" s="3">
        <f t="shared" si="2"/>
        <v>106</v>
      </c>
      <c r="B27" s="3">
        <f>CALCS!Q157</f>
        <v>0</v>
      </c>
      <c r="C27" s="3">
        <f>CALCS!Q188</f>
        <v>0.381023</v>
      </c>
      <c r="D27" s="3">
        <f>CALCS!Q219</f>
        <v>0.38102300000000006</v>
      </c>
      <c r="E27" s="3">
        <f>CALCS!Q250</f>
        <v>0.38102299999999995</v>
      </c>
      <c r="F27" s="3">
        <f>CALCS!Q281</f>
        <v>0.381023</v>
      </c>
      <c r="G27" s="3">
        <f>CALCS!Q312</f>
        <v>0.381023</v>
      </c>
      <c r="H27" s="3">
        <f>CALCS!Q343</f>
        <v>0.38102299999999995</v>
      </c>
      <c r="I27" s="3">
        <f>CALCS!Q374</f>
        <v>0.38102299999999995</v>
      </c>
      <c r="J27" s="3">
        <f>CALCS!Q405</f>
        <v>0.38102300000000006</v>
      </c>
      <c r="K27" s="3">
        <f>CALCS!Q436</f>
        <v>0</v>
      </c>
      <c r="L27" s="3">
        <f>CALCS!Q467</f>
        <v>0.381023</v>
      </c>
      <c r="M27" s="3">
        <f>CALCS!Q498</f>
        <v>0.381023</v>
      </c>
      <c r="N27" s="3">
        <f>CALCS!Q529</f>
        <v>0.381023</v>
      </c>
      <c r="O27" s="3">
        <f>CALCS!Q560</f>
        <v>0.381023</v>
      </c>
      <c r="P27" s="3">
        <f>CALCS!Q591</f>
        <v>0.381023</v>
      </c>
      <c r="Q27" s="3">
        <f>CALCS!Q622</f>
        <v>0.381023</v>
      </c>
      <c r="R27" s="3">
        <f>CALCS!Q653</f>
        <v>0</v>
      </c>
      <c r="S27" s="3">
        <f>CALCS!Q684</f>
        <v>0</v>
      </c>
      <c r="T27" s="3">
        <f>CALCS!Q715</f>
        <v>0</v>
      </c>
      <c r="U27" s="3">
        <f>CALCS!Q746</f>
        <v>0</v>
      </c>
      <c r="V27" s="3">
        <f>CALCS!Q777</f>
        <v>0</v>
      </c>
      <c r="W27" s="3">
        <f>CALCS!Q808</f>
        <v>0</v>
      </c>
      <c r="X27" s="3">
        <f>CALCS!Q839</f>
        <v>0</v>
      </c>
      <c r="Y27" s="3">
        <f>CALCS!Q870</f>
        <v>0</v>
      </c>
      <c r="Z27" s="3">
        <f>CALCS!Q901</f>
        <v>0</v>
      </c>
      <c r="AA27" s="3">
        <f>CALCS!Q932</f>
        <v>0</v>
      </c>
      <c r="AB27" s="3">
        <f>CALCS!Q963</f>
        <v>0</v>
      </c>
      <c r="AC27" s="3">
        <f>CALCS!Q994</f>
        <v>0</v>
      </c>
      <c r="AD27" s="3">
        <f>CALCS!Q1025</f>
        <v>0</v>
      </c>
      <c r="AE27" s="3">
        <f>CALCS!Q1056</f>
        <v>0</v>
      </c>
      <c r="AF27" s="3">
        <f>CALCS!Q1087</f>
        <v>0</v>
      </c>
      <c r="AG27" s="3">
        <f>CALCS!Q1118</f>
        <v>0</v>
      </c>
      <c r="AH27" s="3">
        <f>CALCS!Q1149</f>
        <v>0</v>
      </c>
      <c r="AI27" s="3">
        <f>CALCS!Q1180</f>
        <v>0</v>
      </c>
      <c r="AJ27" s="3">
        <f>CALCS!Q1211</f>
        <v>0</v>
      </c>
      <c r="AK27" s="3">
        <f>CALCS!Q1242</f>
        <v>0</v>
      </c>
      <c r="AL27" s="3">
        <f>CALCS!Q1273</f>
        <v>0</v>
      </c>
      <c r="AM27" s="3">
        <f>CALCS!Q1304</f>
        <v>0</v>
      </c>
      <c r="AN27" s="3">
        <f>CALCS!Q1335</f>
        <v>0</v>
      </c>
      <c r="AO27" s="3">
        <f>CALCS!Q1366</f>
        <v>0</v>
      </c>
      <c r="AP27" s="3">
        <f>CALCS!Q1397</f>
        <v>0</v>
      </c>
      <c r="AQ27" s="3">
        <f>CALCS!Q1428</f>
        <v>0</v>
      </c>
      <c r="AR27" s="3">
        <f>CALCS!Q1459</f>
        <v>0</v>
      </c>
      <c r="AS27" s="3">
        <f>CALCS!Q1490</f>
        <v>0</v>
      </c>
      <c r="AT27" s="3">
        <f>CALCS!Q1521</f>
        <v>0</v>
      </c>
      <c r="AU27" s="3">
        <f>CALCS!Q1552</f>
        <v>0</v>
      </c>
      <c r="AV27" s="3">
        <f>CALCS!Q1583</f>
        <v>0</v>
      </c>
      <c r="AW27" s="3">
        <f>CALCS!Q1614</f>
        <v>0</v>
      </c>
      <c r="AX27" s="3">
        <f>CALCS!Q1645</f>
        <v>0</v>
      </c>
      <c r="AY27" s="3">
        <f>CALCS!Q1676</f>
        <v>0</v>
      </c>
      <c r="AZ27" s="3">
        <f>CALCS!Q1707</f>
        <v>0</v>
      </c>
      <c r="BA27" s="3">
        <f>CALCS!Q1738</f>
        <v>0</v>
      </c>
      <c r="BB27" s="3">
        <f>CALCS!Q1769</f>
        <v>0</v>
      </c>
      <c r="BC27" s="3">
        <f>CALCS!Q1800</f>
        <v>0</v>
      </c>
      <c r="BD27" s="3">
        <f>CALCS!Q1831</f>
        <v>0</v>
      </c>
      <c r="BE27" s="3">
        <f>CALCS!Q1862</f>
        <v>0</v>
      </c>
      <c r="BF27" s="3">
        <f>CALCS!Q1893</f>
        <v>0</v>
      </c>
      <c r="BG27" s="3">
        <f>CALCS!Q1924</f>
        <v>0</v>
      </c>
      <c r="BH27" s="3">
        <f>CALCS!Q1955</f>
        <v>0</v>
      </c>
      <c r="BI27" s="3">
        <f>CALCS!Q1986</f>
        <v>0</v>
      </c>
      <c r="BJ27" s="3">
        <f>CALCS!Q2017</f>
        <v>0</v>
      </c>
      <c r="BK27" s="3">
        <f>CALCS!Q2048</f>
        <v>0</v>
      </c>
      <c r="BL27" s="3">
        <f>CALCS!Q2079</f>
        <v>0</v>
      </c>
      <c r="BM27" s="3">
        <f>CALCS!Q2110</f>
        <v>0</v>
      </c>
      <c r="BN27" s="3">
        <f>CALCS!Q2141</f>
        <v>0</v>
      </c>
      <c r="BO27" s="3">
        <f>CALCS!Q2172</f>
        <v>0</v>
      </c>
      <c r="BP27" s="3">
        <f>CALCS!Q2203</f>
        <v>0</v>
      </c>
      <c r="BQ27" s="3">
        <f>CALCS!Q2234</f>
        <v>0</v>
      </c>
      <c r="BR27" s="3">
        <f>CALCS!Q2265</f>
        <v>0</v>
      </c>
      <c r="BS27" s="3">
        <f>CALCS!Q2296</f>
        <v>0</v>
      </c>
      <c r="BT27" s="3">
        <f>CALCS!Q2327</f>
        <v>0</v>
      </c>
      <c r="BU27" s="3">
        <f>CALCS!Q2358</f>
        <v>0</v>
      </c>
      <c r="BV27" s="3">
        <f>CALCS!Q2389</f>
        <v>0</v>
      </c>
      <c r="BW27" s="3">
        <f>CALCS!Q2420</f>
        <v>0</v>
      </c>
      <c r="BX27" s="3">
        <f>CALCS!Q2451</f>
        <v>0</v>
      </c>
      <c r="BY27" s="3">
        <f>CALCS!Q2482</f>
        <v>0</v>
      </c>
      <c r="BZ27" s="3">
        <f>CALCS!Q2513</f>
        <v>0</v>
      </c>
      <c r="CA27" s="3">
        <f>CALCS!Q2544</f>
        <v>0</v>
      </c>
      <c r="CB27" s="3">
        <f>CALCS!Q2575</f>
        <v>0</v>
      </c>
      <c r="CC27" s="3">
        <f>CALCS!Q2606</f>
        <v>0</v>
      </c>
      <c r="CD27" s="3">
        <f>CALCS!Q2637</f>
        <v>0</v>
      </c>
      <c r="CE27" s="3">
        <f>CALCS!Q2668</f>
        <v>0</v>
      </c>
      <c r="CF27" s="3">
        <f>CALCS!Q2699</f>
        <v>0</v>
      </c>
      <c r="CG27" s="3">
        <f>CALCS!Q2730</f>
        <v>0</v>
      </c>
      <c r="CH27" s="3">
        <f>CALCS!Q2761</f>
        <v>0</v>
      </c>
      <c r="CI27" s="3">
        <f>CALCS!Q2792</f>
        <v>0</v>
      </c>
      <c r="CJ27" s="3">
        <f>CALCS!Q2823</f>
        <v>0</v>
      </c>
      <c r="CK27" s="3">
        <f>CALCS!Q2854</f>
        <v>0</v>
      </c>
      <c r="CL27" s="3">
        <f>CALCS!Q2885</f>
        <v>0</v>
      </c>
      <c r="CM27" s="3">
        <f>CALCS!Q2916</f>
        <v>0</v>
      </c>
      <c r="CN27" s="3">
        <f>CALCS!Q2947</f>
        <v>0</v>
      </c>
      <c r="CO27" s="3">
        <f>CALCS!Q2978</f>
        <v>0</v>
      </c>
      <c r="CP27" s="3">
        <f>CALCS!Q3009</f>
        <v>0</v>
      </c>
      <c r="CQ27" s="3">
        <f>CALCS!Q3040</f>
        <v>0</v>
      </c>
      <c r="CR27" s="3">
        <f>CALCS!Q3071</f>
        <v>0</v>
      </c>
      <c r="CS27" s="3">
        <f>CALCS!Q3102</f>
        <v>0</v>
      </c>
      <c r="CT27" s="3">
        <f>CALCS!Q3133</f>
        <v>0</v>
      </c>
      <c r="CU27" s="3">
        <f>CALCS!Q3164</f>
        <v>0</v>
      </c>
      <c r="CV27" s="3">
        <f>CALCS!Q3195</f>
        <v>0</v>
      </c>
      <c r="CW27" s="3">
        <f>CALCS!Q3226</f>
        <v>0</v>
      </c>
      <c r="CX27" s="3">
        <f>CALCS!Q3257</f>
        <v>0</v>
      </c>
      <c r="CY27" s="3">
        <f>CALCS!Q3288</f>
        <v>0</v>
      </c>
      <c r="CZ27" s="3">
        <f>CALCS!Q3319</f>
        <v>0</v>
      </c>
      <c r="DA27" s="3">
        <f>CALCS!Q3350</f>
        <v>0</v>
      </c>
      <c r="DB27" s="3">
        <f>CALCS!Q3381</f>
        <v>0</v>
      </c>
      <c r="DC27" s="3">
        <f>CALCS!Q3412</f>
        <v>0</v>
      </c>
      <c r="DD27" s="3">
        <f>CALCS!Q3443</f>
        <v>0</v>
      </c>
      <c r="DE27" s="3">
        <f>CALCS!Q3474</f>
        <v>0</v>
      </c>
      <c r="DF27" s="3">
        <f>CALCS!Q3505</f>
        <v>0</v>
      </c>
      <c r="DG27" s="3">
        <f>CALCS!Q3536</f>
        <v>0</v>
      </c>
      <c r="DH27" s="3">
        <f>CALCS!Q3567</f>
        <v>0</v>
      </c>
      <c r="DI27" s="3">
        <f>CALCS!Q3598</f>
        <v>0</v>
      </c>
      <c r="DJ27" s="3">
        <f>CALCS!Q3629</f>
        <v>0</v>
      </c>
      <c r="DK27" s="3">
        <f>CALCS!Q3660</f>
        <v>0</v>
      </c>
      <c r="DL27" s="3">
        <f>CALCS!Q3691</f>
        <v>0</v>
      </c>
      <c r="DM27" s="3">
        <f>CALCS!Q3722</f>
        <v>0</v>
      </c>
      <c r="DN27" s="3">
        <f>CALCS!Q3753</f>
        <v>0</v>
      </c>
      <c r="DO27" s="3">
        <f>CALCS!Q3784</f>
        <v>0</v>
      </c>
      <c r="DP27" s="3">
        <f>CALCS!Q3815</f>
        <v>0</v>
      </c>
      <c r="DQ27" s="3">
        <f>CALCS!Q3846</f>
        <v>0</v>
      </c>
    </row>
    <row r="28" spans="1:121" x14ac:dyDescent="0.2">
      <c r="A28" s="3">
        <f t="shared" si="2"/>
        <v>107</v>
      </c>
      <c r="B28" s="3">
        <f>CALCS!Q158</f>
        <v>0</v>
      </c>
      <c r="C28" s="3">
        <f>CALCS!Q189</f>
        <v>0.35651199999999994</v>
      </c>
      <c r="D28" s="3">
        <f>CALCS!Q220</f>
        <v>0.356512</v>
      </c>
      <c r="E28" s="3">
        <f>CALCS!Q251</f>
        <v>0.356512</v>
      </c>
      <c r="F28" s="3">
        <f>CALCS!Q282</f>
        <v>0.356512</v>
      </c>
      <c r="G28" s="3">
        <f>CALCS!Q313</f>
        <v>0.356512</v>
      </c>
      <c r="H28" s="3">
        <f>CALCS!Q344</f>
        <v>0.356512</v>
      </c>
      <c r="I28" s="3">
        <f>CALCS!Q375</f>
        <v>0.356512</v>
      </c>
      <c r="J28" s="3">
        <f>CALCS!Q406</f>
        <v>0.356512</v>
      </c>
      <c r="K28" s="3">
        <f>CALCS!Q437</f>
        <v>0</v>
      </c>
      <c r="L28" s="3">
        <f>CALCS!Q468</f>
        <v>0.35651199999999994</v>
      </c>
      <c r="M28" s="3">
        <f>CALCS!Q499</f>
        <v>0.356512</v>
      </c>
      <c r="N28" s="3">
        <f>CALCS!Q530</f>
        <v>0.356512</v>
      </c>
      <c r="O28" s="3">
        <f>CALCS!Q561</f>
        <v>0.356512</v>
      </c>
      <c r="P28" s="3">
        <f>CALCS!Q592</f>
        <v>0.356512</v>
      </c>
      <c r="Q28" s="3">
        <f>CALCS!Q623</f>
        <v>0.356512</v>
      </c>
      <c r="R28" s="3">
        <f>CALCS!Q654</f>
        <v>0</v>
      </c>
      <c r="S28" s="3">
        <f>CALCS!Q685</f>
        <v>0</v>
      </c>
      <c r="T28" s="3">
        <f>CALCS!Q716</f>
        <v>0</v>
      </c>
      <c r="U28" s="3">
        <f>CALCS!Q747</f>
        <v>0</v>
      </c>
      <c r="V28" s="3">
        <f>CALCS!Q778</f>
        <v>0</v>
      </c>
      <c r="W28" s="3">
        <f>CALCS!Q809</f>
        <v>0</v>
      </c>
      <c r="X28" s="3">
        <f>CALCS!Q840</f>
        <v>0</v>
      </c>
      <c r="Y28" s="3">
        <f>CALCS!Q871</f>
        <v>0</v>
      </c>
      <c r="Z28" s="3">
        <f>CALCS!Q902</f>
        <v>0</v>
      </c>
      <c r="AA28" s="3">
        <f>CALCS!Q933</f>
        <v>0</v>
      </c>
      <c r="AB28" s="3">
        <f>CALCS!Q964</f>
        <v>0</v>
      </c>
      <c r="AC28" s="3">
        <f>CALCS!Q995</f>
        <v>0</v>
      </c>
      <c r="AD28" s="3">
        <f>CALCS!Q1026</f>
        <v>0</v>
      </c>
      <c r="AE28" s="3">
        <f>CALCS!Q1057</f>
        <v>0</v>
      </c>
      <c r="AF28" s="3">
        <f>CALCS!Q1088</f>
        <v>0</v>
      </c>
      <c r="AG28" s="3">
        <f>CALCS!Q1119</f>
        <v>0</v>
      </c>
      <c r="AH28" s="3">
        <f>CALCS!Q1150</f>
        <v>0</v>
      </c>
      <c r="AI28" s="3">
        <f>CALCS!Q1181</f>
        <v>0</v>
      </c>
      <c r="AJ28" s="3">
        <f>CALCS!Q1212</f>
        <v>0</v>
      </c>
      <c r="AK28" s="3">
        <f>CALCS!Q1243</f>
        <v>0</v>
      </c>
      <c r="AL28" s="3">
        <f>CALCS!Q1274</f>
        <v>0</v>
      </c>
      <c r="AM28" s="3">
        <f>CALCS!Q1305</f>
        <v>0</v>
      </c>
      <c r="AN28" s="3">
        <f>CALCS!Q1336</f>
        <v>0</v>
      </c>
      <c r="AO28" s="3">
        <f>CALCS!Q1367</f>
        <v>0</v>
      </c>
      <c r="AP28" s="3">
        <f>CALCS!Q1398</f>
        <v>0</v>
      </c>
      <c r="AQ28" s="3">
        <f>CALCS!Q1429</f>
        <v>0</v>
      </c>
      <c r="AR28" s="3">
        <f>CALCS!Q1460</f>
        <v>0</v>
      </c>
      <c r="AS28" s="3">
        <f>CALCS!Q1491</f>
        <v>0</v>
      </c>
      <c r="AT28" s="3">
        <f>CALCS!Q1522</f>
        <v>0</v>
      </c>
      <c r="AU28" s="3">
        <f>CALCS!Q1553</f>
        <v>0</v>
      </c>
      <c r="AV28" s="3">
        <f>CALCS!Q1584</f>
        <v>0</v>
      </c>
      <c r="AW28" s="3">
        <f>CALCS!Q1615</f>
        <v>0</v>
      </c>
      <c r="AX28" s="3">
        <f>CALCS!Q1646</f>
        <v>0</v>
      </c>
      <c r="AY28" s="3">
        <f>CALCS!Q1677</f>
        <v>0</v>
      </c>
      <c r="AZ28" s="3">
        <f>CALCS!Q1708</f>
        <v>0</v>
      </c>
      <c r="BA28" s="3">
        <f>CALCS!Q1739</f>
        <v>0</v>
      </c>
      <c r="BB28" s="3">
        <f>CALCS!Q1770</f>
        <v>0</v>
      </c>
      <c r="BC28" s="3">
        <f>CALCS!Q1801</f>
        <v>0</v>
      </c>
      <c r="BD28" s="3">
        <f>CALCS!Q1832</f>
        <v>0</v>
      </c>
      <c r="BE28" s="3">
        <f>CALCS!Q1863</f>
        <v>0</v>
      </c>
      <c r="BF28" s="3">
        <f>CALCS!Q1894</f>
        <v>0</v>
      </c>
      <c r="BG28" s="3">
        <f>CALCS!Q1925</f>
        <v>0</v>
      </c>
      <c r="BH28" s="3">
        <f>CALCS!Q1956</f>
        <v>0</v>
      </c>
      <c r="BI28" s="3">
        <f>CALCS!Q1987</f>
        <v>0</v>
      </c>
      <c r="BJ28" s="3">
        <f>CALCS!Q2018</f>
        <v>0</v>
      </c>
      <c r="BK28" s="3">
        <f>CALCS!Q2049</f>
        <v>0</v>
      </c>
      <c r="BL28" s="3">
        <f>CALCS!Q2080</f>
        <v>0</v>
      </c>
      <c r="BM28" s="3">
        <f>CALCS!Q2111</f>
        <v>0</v>
      </c>
      <c r="BN28" s="3">
        <f>CALCS!Q2142</f>
        <v>0</v>
      </c>
      <c r="BO28" s="3">
        <f>CALCS!Q2173</f>
        <v>0</v>
      </c>
      <c r="BP28" s="3">
        <f>CALCS!Q2204</f>
        <v>0</v>
      </c>
      <c r="BQ28" s="3">
        <f>CALCS!Q2235</f>
        <v>0</v>
      </c>
      <c r="BR28" s="3">
        <f>CALCS!Q2266</f>
        <v>0</v>
      </c>
      <c r="BS28" s="3">
        <f>CALCS!Q2297</f>
        <v>0</v>
      </c>
      <c r="BT28" s="3">
        <f>CALCS!Q2328</f>
        <v>0</v>
      </c>
      <c r="BU28" s="3">
        <f>CALCS!Q2359</f>
        <v>0</v>
      </c>
      <c r="BV28" s="3">
        <f>CALCS!Q2390</f>
        <v>0</v>
      </c>
      <c r="BW28" s="3">
        <f>CALCS!Q2421</f>
        <v>0</v>
      </c>
      <c r="BX28" s="3">
        <f>CALCS!Q2452</f>
        <v>0</v>
      </c>
      <c r="BY28" s="3">
        <f>CALCS!Q2483</f>
        <v>0</v>
      </c>
      <c r="BZ28" s="3">
        <f>CALCS!Q2514</f>
        <v>0</v>
      </c>
      <c r="CA28" s="3">
        <f>CALCS!Q2545</f>
        <v>0</v>
      </c>
      <c r="CB28" s="3">
        <f>CALCS!Q2576</f>
        <v>0</v>
      </c>
      <c r="CC28" s="3">
        <f>CALCS!Q2607</f>
        <v>0</v>
      </c>
      <c r="CD28" s="3">
        <f>CALCS!Q2638</f>
        <v>0</v>
      </c>
      <c r="CE28" s="3">
        <f>CALCS!Q2669</f>
        <v>0</v>
      </c>
      <c r="CF28" s="3">
        <f>CALCS!Q2700</f>
        <v>0</v>
      </c>
      <c r="CG28" s="3">
        <f>CALCS!Q2731</f>
        <v>0</v>
      </c>
      <c r="CH28" s="3">
        <f>CALCS!Q2762</f>
        <v>0</v>
      </c>
      <c r="CI28" s="3">
        <f>CALCS!Q2793</f>
        <v>0</v>
      </c>
      <c r="CJ28" s="3">
        <f>CALCS!Q2824</f>
        <v>0</v>
      </c>
      <c r="CK28" s="3">
        <f>CALCS!Q2855</f>
        <v>0</v>
      </c>
      <c r="CL28" s="3">
        <f>CALCS!Q2886</f>
        <v>0</v>
      </c>
      <c r="CM28" s="3">
        <f>CALCS!Q2917</f>
        <v>0</v>
      </c>
      <c r="CN28" s="3">
        <f>CALCS!Q2948</f>
        <v>0</v>
      </c>
      <c r="CO28" s="3">
        <f>CALCS!Q2979</f>
        <v>0</v>
      </c>
      <c r="CP28" s="3">
        <f>CALCS!Q3010</f>
        <v>0</v>
      </c>
      <c r="CQ28" s="3">
        <f>CALCS!Q3041</f>
        <v>0</v>
      </c>
      <c r="CR28" s="3">
        <f>CALCS!Q3072</f>
        <v>0</v>
      </c>
      <c r="CS28" s="3">
        <f>CALCS!Q3103</f>
        <v>0</v>
      </c>
      <c r="CT28" s="3">
        <f>CALCS!Q3134</f>
        <v>0</v>
      </c>
      <c r="CU28" s="3">
        <f>CALCS!Q3165</f>
        <v>0</v>
      </c>
      <c r="CV28" s="3">
        <f>CALCS!Q3196</f>
        <v>0</v>
      </c>
      <c r="CW28" s="3">
        <f>CALCS!Q3227</f>
        <v>0</v>
      </c>
      <c r="CX28" s="3">
        <f>CALCS!Q3258</f>
        <v>0</v>
      </c>
      <c r="CY28" s="3">
        <f>CALCS!Q3289</f>
        <v>0</v>
      </c>
      <c r="CZ28" s="3">
        <f>CALCS!Q3320</f>
        <v>0</v>
      </c>
      <c r="DA28" s="3">
        <f>CALCS!Q3351</f>
        <v>0</v>
      </c>
      <c r="DB28" s="3">
        <f>CALCS!Q3382</f>
        <v>0</v>
      </c>
      <c r="DC28" s="3">
        <f>CALCS!Q3413</f>
        <v>0</v>
      </c>
      <c r="DD28" s="3">
        <f>CALCS!Q3444</f>
        <v>0</v>
      </c>
      <c r="DE28" s="3">
        <f>CALCS!Q3475</f>
        <v>0</v>
      </c>
      <c r="DF28" s="3">
        <f>CALCS!Q3506</f>
        <v>0</v>
      </c>
      <c r="DG28" s="3">
        <f>CALCS!Q3537</f>
        <v>0</v>
      </c>
      <c r="DH28" s="3">
        <f>CALCS!Q3568</f>
        <v>0</v>
      </c>
      <c r="DI28" s="3">
        <f>CALCS!Q3599</f>
        <v>0</v>
      </c>
      <c r="DJ28" s="3">
        <f>CALCS!Q3630</f>
        <v>0</v>
      </c>
      <c r="DK28" s="3">
        <f>CALCS!Q3661</f>
        <v>0</v>
      </c>
      <c r="DL28" s="3">
        <f>CALCS!Q3692</f>
        <v>0</v>
      </c>
      <c r="DM28" s="3">
        <f>CALCS!Q3723</f>
        <v>0</v>
      </c>
      <c r="DN28" s="3">
        <f>CALCS!Q3754</f>
        <v>0</v>
      </c>
      <c r="DO28" s="3">
        <f>CALCS!Q3785</f>
        <v>0</v>
      </c>
      <c r="DP28" s="3">
        <f>CALCS!Q3816</f>
        <v>0</v>
      </c>
      <c r="DQ28" s="3">
        <f>CALCS!Q3847</f>
        <v>0</v>
      </c>
    </row>
    <row r="29" spans="1:121" x14ac:dyDescent="0.2">
      <c r="A29" s="3">
        <f>A28+1</f>
        <v>108</v>
      </c>
      <c r="B29" s="3">
        <f>CALCS!Q159</f>
        <v>0</v>
      </c>
      <c r="C29" s="3">
        <f>CALCS!Q190</f>
        <v>0.25494499999999998</v>
      </c>
      <c r="D29" s="3">
        <f>CALCS!Q221</f>
        <v>0.25494499999999998</v>
      </c>
      <c r="E29" s="3">
        <f>CALCS!Q252</f>
        <v>0.25494499999999998</v>
      </c>
      <c r="F29" s="3">
        <f>CALCS!Q283</f>
        <v>0.25494499999999998</v>
      </c>
      <c r="G29" s="3">
        <f>CALCS!Q314</f>
        <v>0.25494499999999998</v>
      </c>
      <c r="H29" s="3">
        <f>CALCS!Q345</f>
        <v>0.25494499999999998</v>
      </c>
      <c r="I29" s="3">
        <f>CALCS!Q376</f>
        <v>0.25494499999999998</v>
      </c>
      <c r="J29" s="3">
        <f>CALCS!Q407</f>
        <v>0.25494499999999998</v>
      </c>
      <c r="K29" s="3">
        <f>CALCS!Q438</f>
        <v>0</v>
      </c>
      <c r="L29" s="3">
        <f>CALCS!Q469</f>
        <v>0.25494499999999998</v>
      </c>
      <c r="M29" s="3">
        <f>CALCS!Q500</f>
        <v>0.25494499999999998</v>
      </c>
      <c r="N29" s="3">
        <f>CALCS!Q531</f>
        <v>0.25494499999999998</v>
      </c>
      <c r="O29" s="3">
        <f>CALCS!Q562</f>
        <v>0.25494499999999998</v>
      </c>
      <c r="P29" s="3">
        <f>CALCS!Q593</f>
        <v>0.25494499999999998</v>
      </c>
      <c r="Q29" s="3">
        <f>CALCS!Q624</f>
        <v>0.25494499999999998</v>
      </c>
      <c r="R29" s="3">
        <f>CALCS!Q655</f>
        <v>0</v>
      </c>
      <c r="S29" s="3">
        <f>CALCS!Q686</f>
        <v>0</v>
      </c>
      <c r="T29" s="3">
        <f>CALCS!Q717</f>
        <v>0</v>
      </c>
      <c r="U29" s="3">
        <f>CALCS!Q748</f>
        <v>0</v>
      </c>
      <c r="V29" s="3">
        <f>CALCS!Q779</f>
        <v>0</v>
      </c>
      <c r="W29" s="3">
        <f>CALCS!Q810</f>
        <v>0</v>
      </c>
      <c r="X29" s="3">
        <f>CALCS!Q841</f>
        <v>0</v>
      </c>
      <c r="Y29" s="3">
        <f>CALCS!Q872</f>
        <v>0</v>
      </c>
      <c r="Z29" s="3">
        <f>CALCS!Q903</f>
        <v>0</v>
      </c>
      <c r="AA29" s="3">
        <f>CALCS!Q934</f>
        <v>0</v>
      </c>
      <c r="AB29" s="3">
        <f>CALCS!Q965</f>
        <v>0</v>
      </c>
      <c r="AC29" s="3">
        <f>CALCS!Q996</f>
        <v>0</v>
      </c>
      <c r="AD29" s="3">
        <f>CALCS!Q1027</f>
        <v>0</v>
      </c>
      <c r="AE29" s="3">
        <f>CALCS!Q1058</f>
        <v>0</v>
      </c>
      <c r="AF29" s="3">
        <f>CALCS!Q1089</f>
        <v>0</v>
      </c>
      <c r="AG29" s="3">
        <f>CALCS!Q1120</f>
        <v>0</v>
      </c>
      <c r="AH29" s="3">
        <f>CALCS!Q1151</f>
        <v>0</v>
      </c>
      <c r="AI29" s="3">
        <f>CALCS!Q1182</f>
        <v>0</v>
      </c>
      <c r="AJ29" s="3">
        <f>CALCS!Q1213</f>
        <v>0</v>
      </c>
      <c r="AK29" s="3">
        <f>CALCS!Q1244</f>
        <v>0</v>
      </c>
      <c r="AL29" s="3">
        <f>CALCS!Q1275</f>
        <v>0</v>
      </c>
      <c r="AM29" s="3">
        <f>CALCS!Q1306</f>
        <v>0</v>
      </c>
      <c r="AN29" s="3">
        <f>CALCS!Q1337</f>
        <v>0</v>
      </c>
      <c r="AO29" s="3">
        <f>CALCS!Q1368</f>
        <v>0</v>
      </c>
      <c r="AP29" s="3">
        <f>CALCS!Q1399</f>
        <v>0</v>
      </c>
      <c r="AQ29" s="3">
        <f>CALCS!Q1430</f>
        <v>0</v>
      </c>
      <c r="AR29" s="3">
        <f>CALCS!Q1461</f>
        <v>0</v>
      </c>
      <c r="AS29" s="3">
        <f>CALCS!Q1492</f>
        <v>0</v>
      </c>
      <c r="AT29" s="3">
        <f>CALCS!Q1523</f>
        <v>0</v>
      </c>
      <c r="AU29" s="3">
        <f>CALCS!Q1554</f>
        <v>0</v>
      </c>
      <c r="AV29" s="3">
        <f>CALCS!Q1585</f>
        <v>0</v>
      </c>
      <c r="AW29" s="3">
        <f>CALCS!Q1616</f>
        <v>0</v>
      </c>
      <c r="AX29" s="3">
        <f>CALCS!Q1647</f>
        <v>0</v>
      </c>
      <c r="AY29" s="3">
        <f>CALCS!Q1678</f>
        <v>0</v>
      </c>
      <c r="AZ29" s="3">
        <f>CALCS!Q1709</f>
        <v>0</v>
      </c>
      <c r="BA29" s="3">
        <f>CALCS!Q1740</f>
        <v>0</v>
      </c>
      <c r="BB29" s="3">
        <f>CALCS!Q1771</f>
        <v>0</v>
      </c>
      <c r="BC29" s="3">
        <f>CALCS!Q1802</f>
        <v>0</v>
      </c>
      <c r="BD29" s="3">
        <f>CALCS!Q1833</f>
        <v>0</v>
      </c>
      <c r="BE29" s="3">
        <f>CALCS!Q1864</f>
        <v>0</v>
      </c>
      <c r="BF29" s="3">
        <f>CALCS!Q1895</f>
        <v>0</v>
      </c>
      <c r="BG29" s="3">
        <f>CALCS!Q1926</f>
        <v>0</v>
      </c>
      <c r="BH29" s="3">
        <f>CALCS!Q1957</f>
        <v>0</v>
      </c>
      <c r="BI29" s="3">
        <f>CALCS!Q1988</f>
        <v>0</v>
      </c>
      <c r="BJ29" s="3">
        <f>CALCS!Q2019</f>
        <v>0</v>
      </c>
      <c r="BK29" s="3">
        <f>CALCS!Q2050</f>
        <v>0</v>
      </c>
      <c r="BL29" s="3">
        <f>CALCS!Q2081</f>
        <v>0</v>
      </c>
      <c r="BM29" s="3">
        <f>CALCS!Q2112</f>
        <v>0</v>
      </c>
      <c r="BN29" s="3">
        <f>CALCS!Q2143</f>
        <v>0</v>
      </c>
      <c r="BO29" s="3">
        <f>CALCS!Q2174</f>
        <v>0</v>
      </c>
      <c r="BP29" s="3">
        <f>CALCS!Q2205</f>
        <v>0</v>
      </c>
      <c r="BQ29" s="3">
        <f>CALCS!Q2236</f>
        <v>0</v>
      </c>
      <c r="BR29" s="3">
        <f>CALCS!Q2267</f>
        <v>0</v>
      </c>
      <c r="BS29" s="3">
        <f>CALCS!Q2298</f>
        <v>0</v>
      </c>
      <c r="BT29" s="3">
        <f>CALCS!Q2329</f>
        <v>0</v>
      </c>
      <c r="BU29" s="3">
        <f>CALCS!Q2360</f>
        <v>0</v>
      </c>
      <c r="BV29" s="3">
        <f>CALCS!Q2391</f>
        <v>0</v>
      </c>
      <c r="BW29" s="3">
        <f>CALCS!Q2422</f>
        <v>0</v>
      </c>
      <c r="BX29" s="3">
        <f>CALCS!Q2453</f>
        <v>0</v>
      </c>
      <c r="BY29" s="3">
        <f>CALCS!Q2484</f>
        <v>0</v>
      </c>
      <c r="BZ29" s="3">
        <f>CALCS!Q2515</f>
        <v>0</v>
      </c>
      <c r="CA29" s="3">
        <f>CALCS!Q2546</f>
        <v>0</v>
      </c>
      <c r="CB29" s="3">
        <f>CALCS!Q2577</f>
        <v>0</v>
      </c>
      <c r="CC29" s="3">
        <f>CALCS!Q2608</f>
        <v>0</v>
      </c>
      <c r="CD29" s="3">
        <f>CALCS!Q2639</f>
        <v>0</v>
      </c>
      <c r="CE29" s="3">
        <f>CALCS!Q2670</f>
        <v>0</v>
      </c>
      <c r="CF29" s="3">
        <f>CALCS!Q2701</f>
        <v>0</v>
      </c>
      <c r="CG29" s="3">
        <f>CALCS!Q2732</f>
        <v>0</v>
      </c>
      <c r="CH29" s="3">
        <f>CALCS!Q2763</f>
        <v>0</v>
      </c>
      <c r="CI29" s="3">
        <f>CALCS!Q2794</f>
        <v>0</v>
      </c>
      <c r="CJ29" s="3">
        <f>CALCS!Q2825</f>
        <v>0</v>
      </c>
      <c r="CK29" s="3">
        <f>CALCS!Q2856</f>
        <v>0</v>
      </c>
      <c r="CL29" s="3">
        <f>CALCS!Q2887</f>
        <v>0</v>
      </c>
      <c r="CM29" s="3">
        <f>CALCS!Q2918</f>
        <v>0</v>
      </c>
      <c r="CN29" s="3">
        <f>CALCS!Q2949</f>
        <v>0</v>
      </c>
      <c r="CO29" s="3">
        <f>CALCS!Q2980</f>
        <v>0</v>
      </c>
      <c r="CP29" s="3">
        <f>CALCS!Q3011</f>
        <v>0</v>
      </c>
      <c r="CQ29" s="3">
        <f>CALCS!Q3042</f>
        <v>0</v>
      </c>
      <c r="CR29" s="3">
        <f>CALCS!Q3073</f>
        <v>0</v>
      </c>
      <c r="CS29" s="3">
        <f>CALCS!Q3104</f>
        <v>0</v>
      </c>
      <c r="CT29" s="3">
        <f>CALCS!Q3135</f>
        <v>0</v>
      </c>
      <c r="CU29" s="3">
        <f>CALCS!Q3166</f>
        <v>0</v>
      </c>
      <c r="CV29" s="3">
        <f>CALCS!Q3197</f>
        <v>0</v>
      </c>
      <c r="CW29" s="3">
        <f>CALCS!Q3228</f>
        <v>0</v>
      </c>
      <c r="CX29" s="3">
        <f>CALCS!Q3259</f>
        <v>0</v>
      </c>
      <c r="CY29" s="3">
        <f>CALCS!Q3290</f>
        <v>0</v>
      </c>
      <c r="CZ29" s="3">
        <f>CALCS!Q3321</f>
        <v>0</v>
      </c>
      <c r="DA29" s="3">
        <f>CALCS!Q3352</f>
        <v>0</v>
      </c>
      <c r="DB29" s="3">
        <f>CALCS!Q3383</f>
        <v>0</v>
      </c>
      <c r="DC29" s="3">
        <f>CALCS!Q3414</f>
        <v>0</v>
      </c>
      <c r="DD29" s="3">
        <f>CALCS!Q3445</f>
        <v>0</v>
      </c>
      <c r="DE29" s="3">
        <f>CALCS!Q3476</f>
        <v>0</v>
      </c>
      <c r="DF29" s="3">
        <f>CALCS!Q3507</f>
        <v>0</v>
      </c>
      <c r="DG29" s="3">
        <f>CALCS!Q3538</f>
        <v>0</v>
      </c>
      <c r="DH29" s="3">
        <f>CALCS!Q3569</f>
        <v>0</v>
      </c>
      <c r="DI29" s="3">
        <f>CALCS!Q3600</f>
        <v>0</v>
      </c>
      <c r="DJ29" s="3">
        <f>CALCS!Q3631</f>
        <v>0</v>
      </c>
      <c r="DK29" s="3">
        <f>CALCS!Q3662</f>
        <v>0</v>
      </c>
      <c r="DL29" s="3">
        <f>CALCS!Q3693</f>
        <v>0</v>
      </c>
      <c r="DM29" s="3">
        <f>CALCS!Q3724</f>
        <v>0</v>
      </c>
      <c r="DN29" s="3">
        <f>CALCS!Q3755</f>
        <v>0</v>
      </c>
      <c r="DO29" s="3">
        <f>CALCS!Q3786</f>
        <v>0</v>
      </c>
      <c r="DP29" s="3">
        <f>CALCS!Q3817</f>
        <v>0</v>
      </c>
      <c r="DQ29" s="3">
        <f>CALCS!Q3848</f>
        <v>0</v>
      </c>
    </row>
    <row r="30" spans="1:121" x14ac:dyDescent="0.2">
      <c r="A30" s="3">
        <f>A29+1</f>
        <v>109</v>
      </c>
      <c r="B30" s="3">
        <f>CALCS!Q160</f>
        <v>0</v>
      </c>
      <c r="C30" s="3">
        <f>CALCS!Q191</f>
        <v>0.52383000000000002</v>
      </c>
      <c r="D30" s="3">
        <f>CALCS!Q222</f>
        <v>0.52383000000000002</v>
      </c>
      <c r="E30" s="3">
        <f>CALCS!Q253</f>
        <v>0.52383000000000002</v>
      </c>
      <c r="F30" s="3">
        <f>CALCS!Q284</f>
        <v>0.52383000000000002</v>
      </c>
      <c r="G30" s="3">
        <f>CALCS!Q315</f>
        <v>0.52383000000000002</v>
      </c>
      <c r="H30" s="3">
        <f>CALCS!Q346</f>
        <v>0.52383000000000002</v>
      </c>
      <c r="I30" s="3">
        <f>CALCS!Q377</f>
        <v>0.52383000000000002</v>
      </c>
      <c r="J30" s="3">
        <f>CALCS!Q408</f>
        <v>0.52383000000000002</v>
      </c>
      <c r="K30" s="3">
        <f>CALCS!Q439</f>
        <v>0</v>
      </c>
      <c r="L30" s="3">
        <f>CALCS!Q470</f>
        <v>0.52383000000000002</v>
      </c>
      <c r="M30" s="3">
        <f>CALCS!Q501</f>
        <v>0.52383000000000002</v>
      </c>
      <c r="N30" s="3">
        <f>CALCS!Q532</f>
        <v>0.52383000000000002</v>
      </c>
      <c r="O30" s="3">
        <f>CALCS!Q563</f>
        <v>0.52383000000000002</v>
      </c>
      <c r="P30" s="3">
        <f>CALCS!Q594</f>
        <v>0.52383000000000002</v>
      </c>
      <c r="Q30" s="3">
        <f>CALCS!Q625</f>
        <v>0.52383000000000002</v>
      </c>
      <c r="R30" s="3">
        <f>CALCS!Q656</f>
        <v>0</v>
      </c>
      <c r="S30" s="3">
        <f>CALCS!Q687</f>
        <v>0</v>
      </c>
      <c r="T30" s="3">
        <f>CALCS!Q718</f>
        <v>0</v>
      </c>
      <c r="U30" s="3">
        <f>CALCS!Q749</f>
        <v>0</v>
      </c>
      <c r="V30" s="3">
        <f>CALCS!Q780</f>
        <v>0</v>
      </c>
      <c r="W30" s="3">
        <f>CALCS!Q811</f>
        <v>0</v>
      </c>
      <c r="X30" s="3">
        <f>CALCS!Q842</f>
        <v>0</v>
      </c>
      <c r="Y30" s="3">
        <f>CALCS!Q873</f>
        <v>0</v>
      </c>
      <c r="Z30" s="3">
        <f>CALCS!Q904</f>
        <v>0</v>
      </c>
      <c r="AA30" s="3">
        <f>CALCS!Q935</f>
        <v>0</v>
      </c>
      <c r="AB30" s="3">
        <f>CALCS!Q966</f>
        <v>0</v>
      </c>
      <c r="AC30" s="3">
        <f>CALCS!Q997</f>
        <v>0</v>
      </c>
      <c r="AD30" s="3">
        <f>CALCS!Q1028</f>
        <v>0</v>
      </c>
      <c r="AE30" s="3">
        <f>CALCS!Q1059</f>
        <v>0</v>
      </c>
      <c r="AF30" s="3">
        <f>CALCS!Q1090</f>
        <v>0</v>
      </c>
      <c r="AG30" s="3">
        <f>CALCS!Q1121</f>
        <v>0</v>
      </c>
      <c r="AH30" s="3">
        <f>CALCS!Q1152</f>
        <v>0</v>
      </c>
      <c r="AI30" s="3">
        <f>CALCS!Q1183</f>
        <v>0</v>
      </c>
      <c r="AJ30" s="3">
        <f>CALCS!Q1214</f>
        <v>0</v>
      </c>
      <c r="AK30" s="3">
        <f>CALCS!Q1245</f>
        <v>0</v>
      </c>
      <c r="AL30" s="3">
        <f>CALCS!Q1276</f>
        <v>0</v>
      </c>
      <c r="AM30" s="3">
        <f>CALCS!Q1307</f>
        <v>0</v>
      </c>
      <c r="AN30" s="3">
        <f>CALCS!Q1338</f>
        <v>0</v>
      </c>
      <c r="AO30" s="3">
        <f>CALCS!Q1369</f>
        <v>0</v>
      </c>
      <c r="AP30" s="3">
        <f>CALCS!Q1400</f>
        <v>0</v>
      </c>
      <c r="AQ30" s="3">
        <f>CALCS!Q1431</f>
        <v>0</v>
      </c>
      <c r="AR30" s="3">
        <f>CALCS!Q1462</f>
        <v>0</v>
      </c>
      <c r="AS30" s="3">
        <f>CALCS!Q1493</f>
        <v>0</v>
      </c>
      <c r="AT30" s="3">
        <f>CALCS!Q1524</f>
        <v>0</v>
      </c>
      <c r="AU30" s="3">
        <f>CALCS!Q1555</f>
        <v>0</v>
      </c>
      <c r="AV30" s="3">
        <f>CALCS!Q1586</f>
        <v>0</v>
      </c>
      <c r="AW30" s="3">
        <f>CALCS!Q1617</f>
        <v>0</v>
      </c>
      <c r="AX30" s="3">
        <f>CALCS!Q1648</f>
        <v>0</v>
      </c>
      <c r="AY30" s="3">
        <f>CALCS!Q1679</f>
        <v>0</v>
      </c>
      <c r="AZ30" s="3">
        <f>CALCS!Q1710</f>
        <v>0</v>
      </c>
      <c r="BA30" s="3">
        <f>CALCS!Q1741</f>
        <v>0</v>
      </c>
      <c r="BB30" s="3">
        <f>CALCS!Q1772</f>
        <v>0</v>
      </c>
      <c r="BC30" s="3">
        <f>CALCS!Q1803</f>
        <v>0</v>
      </c>
      <c r="BD30" s="3">
        <f>CALCS!Q1834</f>
        <v>0</v>
      </c>
      <c r="BE30" s="3">
        <f>CALCS!Q1865</f>
        <v>0</v>
      </c>
      <c r="BF30" s="3">
        <f>CALCS!Q1896</f>
        <v>0</v>
      </c>
      <c r="BG30" s="3">
        <f>CALCS!Q1927</f>
        <v>0</v>
      </c>
      <c r="BH30" s="3">
        <f>CALCS!Q1958</f>
        <v>0</v>
      </c>
      <c r="BI30" s="3">
        <f>CALCS!Q1989</f>
        <v>0</v>
      </c>
      <c r="BJ30" s="3">
        <f>CALCS!Q2020</f>
        <v>0</v>
      </c>
      <c r="BK30" s="3">
        <f>CALCS!Q2051</f>
        <v>0</v>
      </c>
      <c r="BL30" s="3">
        <f>CALCS!Q2082</f>
        <v>0</v>
      </c>
      <c r="BM30" s="3">
        <f>CALCS!Q2113</f>
        <v>0</v>
      </c>
      <c r="BN30" s="3">
        <f>CALCS!Q2144</f>
        <v>0</v>
      </c>
      <c r="BO30" s="3">
        <f>CALCS!Q2175</f>
        <v>0</v>
      </c>
      <c r="BP30" s="3">
        <f>CALCS!Q2206</f>
        <v>0</v>
      </c>
      <c r="BQ30" s="3">
        <f>CALCS!Q2237</f>
        <v>0</v>
      </c>
      <c r="BR30" s="3">
        <f>CALCS!Q2268</f>
        <v>0</v>
      </c>
      <c r="BS30" s="3">
        <f>CALCS!Q2299</f>
        <v>0</v>
      </c>
      <c r="BT30" s="3">
        <f>CALCS!Q2330</f>
        <v>0</v>
      </c>
      <c r="BU30" s="3">
        <f>CALCS!Q2361</f>
        <v>0</v>
      </c>
      <c r="BV30" s="3">
        <f>CALCS!Q2392</f>
        <v>0</v>
      </c>
      <c r="BW30" s="3">
        <f>CALCS!Q2423</f>
        <v>0</v>
      </c>
      <c r="BX30" s="3">
        <f>CALCS!Q2454</f>
        <v>0</v>
      </c>
      <c r="BY30" s="3">
        <f>CALCS!Q2485</f>
        <v>0</v>
      </c>
      <c r="BZ30" s="3">
        <f>CALCS!Q2516</f>
        <v>0</v>
      </c>
      <c r="CA30" s="3">
        <f>CALCS!Q2547</f>
        <v>0</v>
      </c>
      <c r="CB30" s="3">
        <f>CALCS!Q2578</f>
        <v>0</v>
      </c>
      <c r="CC30" s="3">
        <f>CALCS!Q2609</f>
        <v>0</v>
      </c>
      <c r="CD30" s="3">
        <f>CALCS!Q2640</f>
        <v>0</v>
      </c>
      <c r="CE30" s="3">
        <f>CALCS!Q2671</f>
        <v>0</v>
      </c>
      <c r="CF30" s="3">
        <f>CALCS!Q2702</f>
        <v>0</v>
      </c>
      <c r="CG30" s="3">
        <f>CALCS!Q2733</f>
        <v>0</v>
      </c>
      <c r="CH30" s="3">
        <f>CALCS!Q2764</f>
        <v>0</v>
      </c>
      <c r="CI30" s="3">
        <f>CALCS!Q2795</f>
        <v>0</v>
      </c>
      <c r="CJ30" s="3">
        <f>CALCS!Q2826</f>
        <v>0</v>
      </c>
      <c r="CK30" s="3">
        <f>CALCS!Q2857</f>
        <v>0</v>
      </c>
      <c r="CL30" s="3">
        <f>CALCS!Q2888</f>
        <v>0</v>
      </c>
      <c r="CM30" s="3">
        <f>CALCS!Q2919</f>
        <v>0</v>
      </c>
      <c r="CN30" s="3">
        <f>CALCS!Q2950</f>
        <v>0</v>
      </c>
      <c r="CO30" s="3">
        <f>CALCS!Q2981</f>
        <v>0</v>
      </c>
      <c r="CP30" s="3">
        <f>CALCS!Q3012</f>
        <v>0</v>
      </c>
      <c r="CQ30" s="3">
        <f>CALCS!Q3043</f>
        <v>0</v>
      </c>
      <c r="CR30" s="3">
        <f>CALCS!Q3074</f>
        <v>0</v>
      </c>
      <c r="CS30" s="3">
        <f>CALCS!Q3105</f>
        <v>0</v>
      </c>
      <c r="CT30" s="3">
        <f>CALCS!Q3136</f>
        <v>0</v>
      </c>
      <c r="CU30" s="3">
        <f>CALCS!Q3167</f>
        <v>0</v>
      </c>
      <c r="CV30" s="3">
        <f>CALCS!Q3198</f>
        <v>0</v>
      </c>
      <c r="CW30" s="3">
        <f>CALCS!Q3229</f>
        <v>0</v>
      </c>
      <c r="CX30" s="3">
        <f>CALCS!Q3260</f>
        <v>0</v>
      </c>
      <c r="CY30" s="3">
        <f>CALCS!Q3291</f>
        <v>0</v>
      </c>
      <c r="CZ30" s="3">
        <f>CALCS!Q3322</f>
        <v>0</v>
      </c>
      <c r="DA30" s="3">
        <f>CALCS!Q3353</f>
        <v>0</v>
      </c>
      <c r="DB30" s="3">
        <f>CALCS!Q3384</f>
        <v>0</v>
      </c>
      <c r="DC30" s="3">
        <f>CALCS!Q3415</f>
        <v>0</v>
      </c>
      <c r="DD30" s="3">
        <f>CALCS!Q3446</f>
        <v>0</v>
      </c>
      <c r="DE30" s="3">
        <f>CALCS!Q3477</f>
        <v>0</v>
      </c>
      <c r="DF30" s="3">
        <f>CALCS!Q3508</f>
        <v>0</v>
      </c>
      <c r="DG30" s="3">
        <f>CALCS!Q3539</f>
        <v>0</v>
      </c>
      <c r="DH30" s="3">
        <f>CALCS!Q3570</f>
        <v>0</v>
      </c>
      <c r="DI30" s="3">
        <f>CALCS!Q3601</f>
        <v>0</v>
      </c>
      <c r="DJ30" s="3">
        <f>CALCS!Q3632</f>
        <v>0</v>
      </c>
      <c r="DK30" s="3">
        <f>CALCS!Q3663</f>
        <v>0</v>
      </c>
      <c r="DL30" s="3">
        <f>CALCS!Q3694</f>
        <v>0</v>
      </c>
      <c r="DM30" s="3">
        <f>CALCS!Q3725</f>
        <v>0</v>
      </c>
      <c r="DN30" s="3">
        <f>CALCS!Q3756</f>
        <v>0</v>
      </c>
      <c r="DO30" s="3">
        <f>CALCS!Q3787</f>
        <v>0</v>
      </c>
      <c r="DP30" s="3">
        <f>CALCS!Q3818</f>
        <v>0</v>
      </c>
      <c r="DQ30" s="3">
        <f>CALCS!Q3849</f>
        <v>0</v>
      </c>
    </row>
    <row r="31" spans="1:121" x14ac:dyDescent="0.2">
      <c r="A31" s="3">
        <f>A30+1</f>
        <v>110</v>
      </c>
      <c r="B31" s="3">
        <f>CALCS!Q161</f>
        <v>0</v>
      </c>
      <c r="C31" s="3">
        <f>CALCS!Q192</f>
        <v>0.31394</v>
      </c>
      <c r="D31" s="3">
        <f>CALCS!Q223</f>
        <v>0.31394</v>
      </c>
      <c r="E31" s="3">
        <f>CALCS!Q254</f>
        <v>0.31394</v>
      </c>
      <c r="F31" s="3">
        <f>CALCS!Q285</f>
        <v>0.31394</v>
      </c>
      <c r="G31" s="3">
        <f>CALCS!Q316</f>
        <v>0.31394</v>
      </c>
      <c r="H31" s="3">
        <f>CALCS!Q347</f>
        <v>0.31394</v>
      </c>
      <c r="I31" s="3">
        <f>CALCS!Q378</f>
        <v>0.31394</v>
      </c>
      <c r="J31" s="3">
        <f>CALCS!Q409</f>
        <v>0.31394</v>
      </c>
      <c r="K31" s="3">
        <f>CALCS!Q440</f>
        <v>0</v>
      </c>
      <c r="L31" s="3">
        <f>CALCS!Q471</f>
        <v>0.31394</v>
      </c>
      <c r="M31" s="3">
        <f>CALCS!Q502</f>
        <v>0.31394</v>
      </c>
      <c r="N31" s="3">
        <f>CALCS!Q533</f>
        <v>0.31394</v>
      </c>
      <c r="O31" s="3">
        <f>CALCS!Q564</f>
        <v>0.31394</v>
      </c>
      <c r="P31" s="3">
        <f>CALCS!Q595</f>
        <v>0.31394</v>
      </c>
      <c r="Q31" s="3">
        <f>CALCS!Q626</f>
        <v>0.31394</v>
      </c>
      <c r="R31" s="3">
        <f>CALCS!Q657</f>
        <v>0</v>
      </c>
      <c r="S31" s="3">
        <f>CALCS!Q688</f>
        <v>0</v>
      </c>
      <c r="T31" s="3">
        <f>CALCS!Q719</f>
        <v>0</v>
      </c>
      <c r="U31" s="3">
        <f>CALCS!Q750</f>
        <v>0</v>
      </c>
      <c r="V31" s="3">
        <f>CALCS!Q781</f>
        <v>0</v>
      </c>
      <c r="W31" s="3">
        <f>CALCS!Q812</f>
        <v>0</v>
      </c>
      <c r="X31" s="3">
        <f>CALCS!Q843</f>
        <v>0</v>
      </c>
      <c r="Y31" s="3">
        <f>CALCS!Q874</f>
        <v>0</v>
      </c>
      <c r="Z31" s="3">
        <f>CALCS!Q905</f>
        <v>0</v>
      </c>
      <c r="AA31" s="3">
        <f>CALCS!Q936</f>
        <v>0</v>
      </c>
      <c r="AB31" s="3">
        <f>CALCS!Q967</f>
        <v>0</v>
      </c>
      <c r="AC31" s="3">
        <f>CALCS!Q998</f>
        <v>0</v>
      </c>
      <c r="AD31" s="3">
        <f>CALCS!Q1029</f>
        <v>0</v>
      </c>
      <c r="AE31" s="3">
        <f>CALCS!Q1060</f>
        <v>0</v>
      </c>
      <c r="AF31" s="3">
        <f>CALCS!Q1091</f>
        <v>0</v>
      </c>
      <c r="AG31" s="3">
        <f>CALCS!Q1122</f>
        <v>0</v>
      </c>
      <c r="AH31" s="3">
        <f>CALCS!Q1153</f>
        <v>0</v>
      </c>
      <c r="AI31" s="3">
        <f>CALCS!Q1184</f>
        <v>0</v>
      </c>
      <c r="AJ31" s="3">
        <f>CALCS!Q1215</f>
        <v>0</v>
      </c>
      <c r="AK31" s="3">
        <f>CALCS!Q1246</f>
        <v>0</v>
      </c>
      <c r="AL31" s="3">
        <f>CALCS!Q1277</f>
        <v>0</v>
      </c>
      <c r="AM31" s="3">
        <f>CALCS!Q1308</f>
        <v>0</v>
      </c>
      <c r="AN31" s="3">
        <f>CALCS!Q1339</f>
        <v>0</v>
      </c>
      <c r="AO31" s="3">
        <f>CALCS!Q1370</f>
        <v>0</v>
      </c>
      <c r="AP31" s="3">
        <f>CALCS!Q1401</f>
        <v>0</v>
      </c>
      <c r="AQ31" s="3">
        <f>CALCS!Q1432</f>
        <v>0</v>
      </c>
      <c r="AR31" s="3">
        <f>CALCS!Q1463</f>
        <v>0</v>
      </c>
      <c r="AS31" s="3">
        <f>CALCS!Q1494</f>
        <v>0</v>
      </c>
      <c r="AT31" s="3">
        <f>CALCS!Q1525</f>
        <v>0</v>
      </c>
      <c r="AU31" s="3">
        <f>CALCS!Q1556</f>
        <v>0</v>
      </c>
      <c r="AV31" s="3">
        <f>CALCS!Q1587</f>
        <v>0</v>
      </c>
      <c r="AW31" s="3">
        <f>CALCS!Q1618</f>
        <v>0</v>
      </c>
      <c r="AX31" s="3">
        <f>CALCS!Q1649</f>
        <v>0</v>
      </c>
      <c r="AY31" s="3">
        <f>CALCS!Q1680</f>
        <v>0</v>
      </c>
      <c r="AZ31" s="3">
        <f>CALCS!Q1711</f>
        <v>0</v>
      </c>
      <c r="BA31" s="3">
        <f>CALCS!Q1742</f>
        <v>0</v>
      </c>
      <c r="BB31" s="3">
        <f>CALCS!Q1773</f>
        <v>0</v>
      </c>
      <c r="BC31" s="3">
        <f>CALCS!Q1804</f>
        <v>0</v>
      </c>
      <c r="BD31" s="3">
        <f>CALCS!Q1835</f>
        <v>0</v>
      </c>
      <c r="BE31" s="3">
        <f>CALCS!Q1866</f>
        <v>0</v>
      </c>
      <c r="BF31" s="3">
        <f>CALCS!Q1897</f>
        <v>0</v>
      </c>
      <c r="BG31" s="3">
        <f>CALCS!Q1928</f>
        <v>0</v>
      </c>
      <c r="BH31" s="3">
        <f>CALCS!Q1959</f>
        <v>0</v>
      </c>
      <c r="BI31" s="3">
        <f>CALCS!Q1990</f>
        <v>0</v>
      </c>
      <c r="BJ31" s="3">
        <f>CALCS!Q2021</f>
        <v>0</v>
      </c>
      <c r="BK31" s="3">
        <f>CALCS!Q2052</f>
        <v>0</v>
      </c>
      <c r="BL31" s="3">
        <f>CALCS!Q2083</f>
        <v>0</v>
      </c>
      <c r="BM31" s="3">
        <f>CALCS!Q2114</f>
        <v>0</v>
      </c>
      <c r="BN31" s="3">
        <f>CALCS!Q2145</f>
        <v>0</v>
      </c>
      <c r="BO31" s="3">
        <f>CALCS!Q2176</f>
        <v>0</v>
      </c>
      <c r="BP31" s="3">
        <f>CALCS!Q2207</f>
        <v>0</v>
      </c>
      <c r="BQ31" s="3">
        <f>CALCS!Q2238</f>
        <v>0</v>
      </c>
      <c r="BR31" s="3">
        <f>CALCS!Q2269</f>
        <v>0</v>
      </c>
      <c r="BS31" s="3">
        <f>CALCS!Q2300</f>
        <v>0</v>
      </c>
      <c r="BT31" s="3">
        <f>CALCS!Q2331</f>
        <v>0</v>
      </c>
      <c r="BU31" s="3">
        <f>CALCS!Q2362</f>
        <v>0</v>
      </c>
      <c r="BV31" s="3">
        <f>CALCS!Q2393</f>
        <v>0</v>
      </c>
      <c r="BW31" s="3">
        <f>CALCS!Q2424</f>
        <v>0</v>
      </c>
      <c r="BX31" s="3">
        <f>CALCS!Q2455</f>
        <v>0</v>
      </c>
      <c r="BY31" s="3">
        <f>CALCS!Q2486</f>
        <v>0</v>
      </c>
      <c r="BZ31" s="3">
        <f>CALCS!Q2517</f>
        <v>0</v>
      </c>
      <c r="CA31" s="3">
        <f>CALCS!Q2548</f>
        <v>0</v>
      </c>
      <c r="CB31" s="3">
        <f>CALCS!Q2579</f>
        <v>0</v>
      </c>
      <c r="CC31" s="3">
        <f>CALCS!Q2610</f>
        <v>0</v>
      </c>
      <c r="CD31" s="3">
        <f>CALCS!Q2641</f>
        <v>0</v>
      </c>
      <c r="CE31" s="3">
        <f>CALCS!Q2672</f>
        <v>0</v>
      </c>
      <c r="CF31" s="3">
        <f>CALCS!Q2703</f>
        <v>0</v>
      </c>
      <c r="CG31" s="3">
        <f>CALCS!Q2734</f>
        <v>0</v>
      </c>
      <c r="CH31" s="3">
        <f>CALCS!Q2765</f>
        <v>0</v>
      </c>
      <c r="CI31" s="3">
        <f>CALCS!Q2796</f>
        <v>0</v>
      </c>
      <c r="CJ31" s="3">
        <f>CALCS!Q2827</f>
        <v>0</v>
      </c>
      <c r="CK31" s="3">
        <f>CALCS!Q2858</f>
        <v>0</v>
      </c>
      <c r="CL31" s="3">
        <f>CALCS!Q2889</f>
        <v>0</v>
      </c>
      <c r="CM31" s="3">
        <f>CALCS!Q2920</f>
        <v>0</v>
      </c>
      <c r="CN31" s="3">
        <f>CALCS!Q2951</f>
        <v>0</v>
      </c>
      <c r="CO31" s="3">
        <f>CALCS!Q2982</f>
        <v>0</v>
      </c>
      <c r="CP31" s="3">
        <f>CALCS!Q3013</f>
        <v>0</v>
      </c>
      <c r="CQ31" s="3">
        <f>CALCS!Q3044</f>
        <v>0</v>
      </c>
      <c r="CR31" s="3">
        <f>CALCS!Q3075</f>
        <v>0</v>
      </c>
      <c r="CS31" s="3">
        <f>CALCS!Q3106</f>
        <v>0</v>
      </c>
      <c r="CT31" s="3">
        <f>CALCS!Q3137</f>
        <v>0</v>
      </c>
      <c r="CU31" s="3">
        <f>CALCS!Q3168</f>
        <v>0</v>
      </c>
      <c r="CV31" s="3">
        <f>CALCS!Q3199</f>
        <v>0</v>
      </c>
      <c r="CW31" s="3">
        <f>CALCS!Q3230</f>
        <v>0</v>
      </c>
      <c r="CX31" s="3">
        <f>CALCS!Q3261</f>
        <v>0</v>
      </c>
      <c r="CY31" s="3">
        <f>CALCS!Q3292</f>
        <v>0</v>
      </c>
      <c r="CZ31" s="3">
        <f>CALCS!Q3323</f>
        <v>0</v>
      </c>
      <c r="DA31" s="3">
        <f>CALCS!Q3354</f>
        <v>0</v>
      </c>
      <c r="DB31" s="3">
        <f>CALCS!Q3385</f>
        <v>0</v>
      </c>
      <c r="DC31" s="3">
        <f>CALCS!Q3416</f>
        <v>0</v>
      </c>
      <c r="DD31" s="3">
        <f>CALCS!Q3447</f>
        <v>0</v>
      </c>
      <c r="DE31" s="3">
        <f>CALCS!Q3478</f>
        <v>0</v>
      </c>
      <c r="DF31" s="3">
        <f>CALCS!Q3509</f>
        <v>0</v>
      </c>
      <c r="DG31" s="3">
        <f>CALCS!Q3540</f>
        <v>0</v>
      </c>
      <c r="DH31" s="3">
        <f>CALCS!Q3571</f>
        <v>0</v>
      </c>
      <c r="DI31" s="3">
        <f>CALCS!Q3602</f>
        <v>0</v>
      </c>
      <c r="DJ31" s="3">
        <f>CALCS!Q3633</f>
        <v>0</v>
      </c>
      <c r="DK31" s="3">
        <f>CALCS!Q3664</f>
        <v>0</v>
      </c>
      <c r="DL31" s="3">
        <f>CALCS!Q3695</f>
        <v>0</v>
      </c>
      <c r="DM31" s="3">
        <f>CALCS!Q3726</f>
        <v>0</v>
      </c>
      <c r="DN31" s="3">
        <f>CALCS!Q3757</f>
        <v>0</v>
      </c>
      <c r="DO31" s="3">
        <f>CALCS!Q3788</f>
        <v>0</v>
      </c>
      <c r="DP31" s="3">
        <f>CALCS!Q3819</f>
        <v>0</v>
      </c>
      <c r="DQ31" s="3">
        <f>CALCS!Q3850</f>
        <v>0</v>
      </c>
    </row>
    <row r="32" spans="1:121" x14ac:dyDescent="0.2">
      <c r="A32" s="3">
        <f>A31+1</f>
        <v>111</v>
      </c>
      <c r="B32" s="3">
        <f>CALCS!Q162</f>
        <v>0</v>
      </c>
      <c r="C32" s="3">
        <f>CALCS!Q193</f>
        <v>0.294348</v>
      </c>
      <c r="D32" s="3">
        <f>CALCS!Q224</f>
        <v>0.294348</v>
      </c>
      <c r="E32" s="3">
        <f>CALCS!Q255</f>
        <v>0.294348</v>
      </c>
      <c r="F32" s="3">
        <f>CALCS!Q286</f>
        <v>0.29434799999999994</v>
      </c>
      <c r="G32" s="3">
        <f>CALCS!Q317</f>
        <v>0.294348</v>
      </c>
      <c r="H32" s="3">
        <f>CALCS!Q348</f>
        <v>0.294348</v>
      </c>
      <c r="I32" s="3">
        <f>CALCS!Q379</f>
        <v>0.294348</v>
      </c>
      <c r="J32" s="3">
        <f>CALCS!Q410</f>
        <v>0.294348</v>
      </c>
      <c r="K32" s="3">
        <f>CALCS!Q441</f>
        <v>0</v>
      </c>
      <c r="L32" s="3">
        <f>CALCS!Q472</f>
        <v>0.294348</v>
      </c>
      <c r="M32" s="3">
        <f>CALCS!Q503</f>
        <v>0.294348</v>
      </c>
      <c r="N32" s="3">
        <f>CALCS!Q534</f>
        <v>0.294348</v>
      </c>
      <c r="O32" s="3">
        <f>CALCS!Q565</f>
        <v>0.294348</v>
      </c>
      <c r="P32" s="3">
        <f>CALCS!Q596</f>
        <v>0.294348</v>
      </c>
      <c r="Q32" s="3">
        <f>CALCS!Q627</f>
        <v>0.294348</v>
      </c>
      <c r="R32" s="3">
        <f>CALCS!Q658</f>
        <v>0</v>
      </c>
      <c r="S32" s="3">
        <f>CALCS!Q689</f>
        <v>0</v>
      </c>
      <c r="T32" s="3">
        <f>CALCS!Q720</f>
        <v>0</v>
      </c>
      <c r="U32" s="3">
        <f>CALCS!Q751</f>
        <v>0</v>
      </c>
      <c r="V32" s="3">
        <f>CALCS!Q782</f>
        <v>0</v>
      </c>
      <c r="W32" s="3">
        <f>CALCS!Q813</f>
        <v>0</v>
      </c>
      <c r="X32" s="3">
        <f>CALCS!Q844</f>
        <v>0</v>
      </c>
      <c r="Y32" s="3">
        <f>CALCS!Q875</f>
        <v>0</v>
      </c>
      <c r="Z32" s="3">
        <f>CALCS!Q906</f>
        <v>0</v>
      </c>
      <c r="AA32" s="3">
        <f>CALCS!Q937</f>
        <v>0</v>
      </c>
      <c r="AB32" s="3">
        <f>CALCS!Q968</f>
        <v>0</v>
      </c>
      <c r="AC32" s="3">
        <f>CALCS!Q999</f>
        <v>0</v>
      </c>
      <c r="AD32" s="3">
        <f>CALCS!Q1030</f>
        <v>0</v>
      </c>
      <c r="AE32" s="3">
        <f>CALCS!Q1061</f>
        <v>0</v>
      </c>
      <c r="AF32" s="3">
        <f>CALCS!Q1092</f>
        <v>0</v>
      </c>
      <c r="AG32" s="3">
        <f>CALCS!Q1123</f>
        <v>0</v>
      </c>
      <c r="AH32" s="3">
        <f>CALCS!Q1154</f>
        <v>0</v>
      </c>
      <c r="AI32" s="3">
        <f>CALCS!Q1185</f>
        <v>0</v>
      </c>
      <c r="AJ32" s="3">
        <f>CALCS!Q1216</f>
        <v>0</v>
      </c>
      <c r="AK32" s="3">
        <f>CALCS!Q1247</f>
        <v>0</v>
      </c>
      <c r="AL32" s="3">
        <f>CALCS!Q1278</f>
        <v>0</v>
      </c>
      <c r="AM32" s="3">
        <f>CALCS!Q1309</f>
        <v>0</v>
      </c>
      <c r="AN32" s="3">
        <f>CALCS!Q1340</f>
        <v>0</v>
      </c>
      <c r="AO32" s="3">
        <f>CALCS!Q1371</f>
        <v>0</v>
      </c>
      <c r="AP32" s="3">
        <f>CALCS!Q1402</f>
        <v>0</v>
      </c>
      <c r="AQ32" s="3">
        <f>CALCS!Q1433</f>
        <v>0</v>
      </c>
      <c r="AR32" s="3">
        <f>CALCS!Q1464</f>
        <v>0</v>
      </c>
      <c r="AS32" s="3">
        <f>CALCS!Q1495</f>
        <v>0</v>
      </c>
      <c r="AT32" s="3">
        <f>CALCS!Q1526</f>
        <v>0</v>
      </c>
      <c r="AU32" s="3">
        <f>CALCS!Q1557</f>
        <v>0</v>
      </c>
      <c r="AV32" s="3">
        <f>CALCS!Q1588</f>
        <v>0</v>
      </c>
      <c r="AW32" s="3">
        <f>CALCS!Q1619</f>
        <v>0</v>
      </c>
      <c r="AX32" s="3">
        <f>CALCS!Q1650</f>
        <v>0</v>
      </c>
      <c r="AY32" s="3">
        <f>CALCS!Q1681</f>
        <v>0</v>
      </c>
      <c r="AZ32" s="3">
        <f>CALCS!Q1712</f>
        <v>0</v>
      </c>
      <c r="BA32" s="3">
        <f>CALCS!Q1743</f>
        <v>0</v>
      </c>
      <c r="BB32" s="3">
        <f>CALCS!Q1774</f>
        <v>0</v>
      </c>
      <c r="BC32" s="3">
        <f>CALCS!Q1805</f>
        <v>0</v>
      </c>
      <c r="BD32" s="3">
        <f>CALCS!Q1836</f>
        <v>0</v>
      </c>
      <c r="BE32" s="3">
        <f>CALCS!Q1867</f>
        <v>0</v>
      </c>
      <c r="BF32" s="3">
        <f>CALCS!Q1898</f>
        <v>0</v>
      </c>
      <c r="BG32" s="3">
        <f>CALCS!Q1929</f>
        <v>0</v>
      </c>
      <c r="BH32" s="3">
        <f>CALCS!Q1960</f>
        <v>0</v>
      </c>
      <c r="BI32" s="3">
        <f>CALCS!Q1991</f>
        <v>0</v>
      </c>
      <c r="BJ32" s="3">
        <f>CALCS!Q2022</f>
        <v>0</v>
      </c>
      <c r="BK32" s="3">
        <f>CALCS!Q2053</f>
        <v>0</v>
      </c>
      <c r="BL32" s="3">
        <f>CALCS!Q2084</f>
        <v>0</v>
      </c>
      <c r="BM32" s="3">
        <f>CALCS!Q2115</f>
        <v>0</v>
      </c>
      <c r="BN32" s="3">
        <f>CALCS!Q2146</f>
        <v>0</v>
      </c>
      <c r="BO32" s="3">
        <f>CALCS!Q2177</f>
        <v>0</v>
      </c>
      <c r="BP32" s="3">
        <f>CALCS!Q2208</f>
        <v>0</v>
      </c>
      <c r="BQ32" s="3">
        <f>CALCS!Q2239</f>
        <v>0</v>
      </c>
      <c r="BR32" s="3">
        <f>CALCS!Q2270</f>
        <v>0</v>
      </c>
      <c r="BS32" s="3">
        <f>CALCS!Q2301</f>
        <v>0</v>
      </c>
      <c r="BT32" s="3">
        <f>CALCS!Q2332</f>
        <v>0</v>
      </c>
      <c r="BU32" s="3">
        <f>CALCS!Q2363</f>
        <v>0</v>
      </c>
      <c r="BV32" s="3">
        <f>CALCS!Q2394</f>
        <v>0</v>
      </c>
      <c r="BW32" s="3">
        <f>CALCS!Q2425</f>
        <v>0</v>
      </c>
      <c r="BX32" s="3">
        <f>CALCS!Q2456</f>
        <v>0</v>
      </c>
      <c r="BY32" s="3">
        <f>CALCS!Q2487</f>
        <v>0</v>
      </c>
      <c r="BZ32" s="3">
        <f>CALCS!Q2518</f>
        <v>0</v>
      </c>
      <c r="CA32" s="3">
        <f>CALCS!Q2549</f>
        <v>0</v>
      </c>
      <c r="CB32" s="3">
        <f>CALCS!Q2580</f>
        <v>0</v>
      </c>
      <c r="CC32" s="3">
        <f>CALCS!Q2611</f>
        <v>0</v>
      </c>
      <c r="CD32" s="3">
        <f>CALCS!Q2642</f>
        <v>0</v>
      </c>
      <c r="CE32" s="3">
        <f>CALCS!Q2673</f>
        <v>0</v>
      </c>
      <c r="CF32" s="3">
        <f>CALCS!Q2704</f>
        <v>0</v>
      </c>
      <c r="CG32" s="3">
        <f>CALCS!Q2735</f>
        <v>0</v>
      </c>
      <c r="CH32" s="3">
        <f>CALCS!Q2766</f>
        <v>0</v>
      </c>
      <c r="CI32" s="3">
        <f>CALCS!Q2797</f>
        <v>0</v>
      </c>
      <c r="CJ32" s="3">
        <f>CALCS!Q2828</f>
        <v>0</v>
      </c>
      <c r="CK32" s="3">
        <f>CALCS!Q2859</f>
        <v>0</v>
      </c>
      <c r="CL32" s="3">
        <f>CALCS!Q2890</f>
        <v>0</v>
      </c>
      <c r="CM32" s="3">
        <f>CALCS!Q2921</f>
        <v>0</v>
      </c>
      <c r="CN32" s="3">
        <f>CALCS!Q2952</f>
        <v>0</v>
      </c>
      <c r="CO32" s="3">
        <f>CALCS!Q2983</f>
        <v>0</v>
      </c>
      <c r="CP32" s="3">
        <f>CALCS!Q3014</f>
        <v>0</v>
      </c>
      <c r="CQ32" s="3">
        <f>CALCS!Q3045</f>
        <v>0</v>
      </c>
      <c r="CR32" s="3">
        <f>CALCS!Q3076</f>
        <v>0</v>
      </c>
      <c r="CS32" s="3">
        <f>CALCS!Q3107</f>
        <v>0</v>
      </c>
      <c r="CT32" s="3">
        <f>CALCS!Q3138</f>
        <v>0</v>
      </c>
      <c r="CU32" s="3">
        <f>CALCS!Q3169</f>
        <v>0</v>
      </c>
      <c r="CV32" s="3">
        <f>CALCS!Q3200</f>
        <v>0</v>
      </c>
      <c r="CW32" s="3">
        <f>CALCS!Q3231</f>
        <v>0</v>
      </c>
      <c r="CX32" s="3">
        <f>CALCS!Q3262</f>
        <v>0</v>
      </c>
      <c r="CY32" s="3">
        <f>CALCS!Q3293</f>
        <v>0</v>
      </c>
      <c r="CZ32" s="3">
        <f>CALCS!Q3324</f>
        <v>0</v>
      </c>
      <c r="DA32" s="3">
        <f>CALCS!Q3355</f>
        <v>0</v>
      </c>
      <c r="DB32" s="3">
        <f>CALCS!Q3386</f>
        <v>0</v>
      </c>
      <c r="DC32" s="3">
        <f>CALCS!Q3417</f>
        <v>0</v>
      </c>
      <c r="DD32" s="3">
        <f>CALCS!Q3448</f>
        <v>0</v>
      </c>
      <c r="DE32" s="3">
        <f>CALCS!Q3479</f>
        <v>0</v>
      </c>
      <c r="DF32" s="3">
        <f>CALCS!Q3510</f>
        <v>0</v>
      </c>
      <c r="DG32" s="3">
        <f>CALCS!Q3541</f>
        <v>0</v>
      </c>
      <c r="DH32" s="3">
        <f>CALCS!Q3572</f>
        <v>0</v>
      </c>
      <c r="DI32" s="3">
        <f>CALCS!Q3603</f>
        <v>0</v>
      </c>
      <c r="DJ32" s="3">
        <f>CALCS!Q3634</f>
        <v>0</v>
      </c>
      <c r="DK32" s="3">
        <f>CALCS!Q3665</f>
        <v>0</v>
      </c>
      <c r="DL32" s="3">
        <f>CALCS!Q3696</f>
        <v>0</v>
      </c>
      <c r="DM32" s="3">
        <f>CALCS!Q3727</f>
        <v>0</v>
      </c>
      <c r="DN32" s="3">
        <f>CALCS!Q3758</f>
        <v>0</v>
      </c>
      <c r="DO32" s="3">
        <f>CALCS!Q3789</f>
        <v>0</v>
      </c>
      <c r="DP32" s="3">
        <f>CALCS!Q3820</f>
        <v>0</v>
      </c>
      <c r="DQ32" s="3">
        <f>CALCS!Q3851</f>
        <v>0</v>
      </c>
    </row>
    <row r="33" spans="1:121" x14ac:dyDescent="0.2">
      <c r="A33" s="3">
        <f>A32+1</f>
        <v>112</v>
      </c>
      <c r="B33" s="3">
        <f>CALCS!Q163</f>
        <v>0</v>
      </c>
      <c r="C33" s="3">
        <f>CALCS!Q194</f>
        <v>0.34784100000000001</v>
      </c>
      <c r="D33" s="3">
        <f>CALCS!Q225</f>
        <v>0.34784100000000001</v>
      </c>
      <c r="E33" s="3">
        <f>CALCS!Q256</f>
        <v>0.34784100000000001</v>
      </c>
      <c r="F33" s="3">
        <f>CALCS!Q287</f>
        <v>0.34784100000000001</v>
      </c>
      <c r="G33" s="3">
        <f>CALCS!Q318</f>
        <v>0.34784100000000001</v>
      </c>
      <c r="H33" s="3">
        <f>CALCS!Q349</f>
        <v>0.34784100000000001</v>
      </c>
      <c r="I33" s="3">
        <f>CALCS!Q380</f>
        <v>0.34784100000000001</v>
      </c>
      <c r="J33" s="3">
        <f>CALCS!Q411</f>
        <v>0.34784100000000001</v>
      </c>
      <c r="K33" s="3">
        <f>CALCS!Q442</f>
        <v>0</v>
      </c>
      <c r="L33" s="3">
        <f>CALCS!Q473</f>
        <v>0.34784100000000001</v>
      </c>
      <c r="M33" s="3">
        <f>CALCS!Q504</f>
        <v>0.34784100000000001</v>
      </c>
      <c r="N33" s="3">
        <f>CALCS!Q535</f>
        <v>0.34784100000000001</v>
      </c>
      <c r="O33" s="3">
        <f>CALCS!Q566</f>
        <v>0.34784100000000001</v>
      </c>
      <c r="P33" s="3">
        <f>CALCS!Q597</f>
        <v>0.34784100000000001</v>
      </c>
      <c r="Q33" s="3">
        <f>CALCS!Q628</f>
        <v>0.34784100000000001</v>
      </c>
      <c r="R33" s="3">
        <f>CALCS!Q659</f>
        <v>0</v>
      </c>
      <c r="S33" s="3">
        <f>CALCS!Q690</f>
        <v>0</v>
      </c>
      <c r="T33" s="3">
        <f>CALCS!Q721</f>
        <v>0</v>
      </c>
      <c r="U33" s="3">
        <f>CALCS!Q752</f>
        <v>0</v>
      </c>
      <c r="V33" s="3">
        <f>CALCS!Q783</f>
        <v>0</v>
      </c>
      <c r="W33" s="3">
        <f>CALCS!Q814</f>
        <v>0</v>
      </c>
      <c r="X33" s="3">
        <f>CALCS!Q845</f>
        <v>0</v>
      </c>
      <c r="Y33" s="3">
        <f>CALCS!Q876</f>
        <v>0</v>
      </c>
      <c r="Z33" s="3">
        <f>CALCS!Q907</f>
        <v>0</v>
      </c>
      <c r="AA33" s="3">
        <f>CALCS!Q938</f>
        <v>0</v>
      </c>
      <c r="AB33" s="3">
        <f>CALCS!Q969</f>
        <v>0</v>
      </c>
      <c r="AC33" s="3">
        <f>CALCS!Q1000</f>
        <v>0</v>
      </c>
      <c r="AD33" s="3">
        <f>CALCS!Q1031</f>
        <v>0</v>
      </c>
      <c r="AE33" s="3">
        <f>CALCS!Q1062</f>
        <v>0</v>
      </c>
      <c r="AF33" s="3">
        <f>CALCS!Q1093</f>
        <v>0</v>
      </c>
      <c r="AG33" s="3">
        <f>CALCS!Q1124</f>
        <v>0</v>
      </c>
      <c r="AH33" s="3">
        <f>CALCS!Q1155</f>
        <v>0</v>
      </c>
      <c r="AI33" s="3">
        <f>CALCS!Q1186</f>
        <v>0</v>
      </c>
      <c r="AJ33" s="3">
        <f>CALCS!Q1217</f>
        <v>0</v>
      </c>
      <c r="AK33" s="3">
        <f>CALCS!Q1248</f>
        <v>0</v>
      </c>
      <c r="AL33" s="3">
        <f>CALCS!Q1279</f>
        <v>0</v>
      </c>
      <c r="AM33" s="3">
        <f>CALCS!Q1310</f>
        <v>0</v>
      </c>
      <c r="AN33" s="3">
        <f>CALCS!Q1341</f>
        <v>0</v>
      </c>
      <c r="AO33" s="3">
        <f>CALCS!Q1372</f>
        <v>0</v>
      </c>
      <c r="AP33" s="3">
        <f>CALCS!Q1403</f>
        <v>0</v>
      </c>
      <c r="AQ33" s="3">
        <f>CALCS!Q1434</f>
        <v>0</v>
      </c>
      <c r="AR33" s="3">
        <f>CALCS!Q1465</f>
        <v>0</v>
      </c>
      <c r="AS33" s="3">
        <f>CALCS!Q1496</f>
        <v>0</v>
      </c>
      <c r="AT33" s="3">
        <f>CALCS!Q1527</f>
        <v>0</v>
      </c>
      <c r="AU33" s="3">
        <f>CALCS!Q1558</f>
        <v>0</v>
      </c>
      <c r="AV33" s="3">
        <f>CALCS!Q1589</f>
        <v>0</v>
      </c>
      <c r="AW33" s="3">
        <f>CALCS!Q1620</f>
        <v>0</v>
      </c>
      <c r="AX33" s="3">
        <f>CALCS!Q1651</f>
        <v>0</v>
      </c>
      <c r="AY33" s="3">
        <f>CALCS!Q1682</f>
        <v>0</v>
      </c>
      <c r="AZ33" s="3">
        <f>CALCS!Q1713</f>
        <v>0</v>
      </c>
      <c r="BA33" s="3">
        <f>CALCS!Q1744</f>
        <v>0</v>
      </c>
      <c r="BB33" s="3">
        <f>CALCS!Q1775</f>
        <v>0</v>
      </c>
      <c r="BC33" s="3">
        <f>CALCS!Q1806</f>
        <v>0</v>
      </c>
      <c r="BD33" s="3">
        <f>CALCS!Q1837</f>
        <v>0</v>
      </c>
      <c r="BE33" s="3">
        <f>CALCS!Q1868</f>
        <v>0</v>
      </c>
      <c r="BF33" s="3">
        <f>CALCS!Q1899</f>
        <v>0</v>
      </c>
      <c r="BG33" s="3">
        <f>CALCS!Q1930</f>
        <v>0</v>
      </c>
      <c r="BH33" s="3">
        <f>CALCS!Q1961</f>
        <v>0</v>
      </c>
      <c r="BI33" s="3">
        <f>CALCS!Q1992</f>
        <v>0</v>
      </c>
      <c r="BJ33" s="3">
        <f>CALCS!Q2023</f>
        <v>0</v>
      </c>
      <c r="BK33" s="3">
        <f>CALCS!Q2054</f>
        <v>0</v>
      </c>
      <c r="BL33" s="3">
        <f>CALCS!Q2085</f>
        <v>0</v>
      </c>
      <c r="BM33" s="3">
        <f>CALCS!Q2116</f>
        <v>0</v>
      </c>
      <c r="BN33" s="3">
        <f>CALCS!Q2147</f>
        <v>0</v>
      </c>
      <c r="BO33" s="3">
        <f>CALCS!Q2178</f>
        <v>0</v>
      </c>
      <c r="BP33" s="3">
        <f>CALCS!Q2209</f>
        <v>0</v>
      </c>
      <c r="BQ33" s="3">
        <f>CALCS!Q2240</f>
        <v>0</v>
      </c>
      <c r="BR33" s="3">
        <f>CALCS!Q2271</f>
        <v>0</v>
      </c>
      <c r="BS33" s="3">
        <f>CALCS!Q2302</f>
        <v>0</v>
      </c>
      <c r="BT33" s="3">
        <f>CALCS!Q2333</f>
        <v>0</v>
      </c>
      <c r="BU33" s="3">
        <f>CALCS!Q2364</f>
        <v>0</v>
      </c>
      <c r="BV33" s="3">
        <f>CALCS!Q2395</f>
        <v>0</v>
      </c>
      <c r="BW33" s="3">
        <f>CALCS!Q2426</f>
        <v>0</v>
      </c>
      <c r="BX33" s="3">
        <f>CALCS!Q2457</f>
        <v>0</v>
      </c>
      <c r="BY33" s="3">
        <f>CALCS!Q2488</f>
        <v>0</v>
      </c>
      <c r="BZ33" s="3">
        <f>CALCS!Q2519</f>
        <v>0</v>
      </c>
      <c r="CA33" s="3">
        <f>CALCS!Q2550</f>
        <v>0</v>
      </c>
      <c r="CB33" s="3">
        <f>CALCS!Q2581</f>
        <v>0</v>
      </c>
      <c r="CC33" s="3">
        <f>CALCS!Q2612</f>
        <v>0</v>
      </c>
      <c r="CD33" s="3">
        <f>CALCS!Q2643</f>
        <v>0</v>
      </c>
      <c r="CE33" s="3">
        <f>CALCS!Q2674</f>
        <v>0</v>
      </c>
      <c r="CF33" s="3">
        <f>CALCS!Q2705</f>
        <v>0</v>
      </c>
      <c r="CG33" s="3">
        <f>CALCS!Q2736</f>
        <v>0</v>
      </c>
      <c r="CH33" s="3">
        <f>CALCS!Q2767</f>
        <v>0</v>
      </c>
      <c r="CI33" s="3">
        <f>CALCS!Q2798</f>
        <v>0</v>
      </c>
      <c r="CJ33" s="3">
        <f>CALCS!Q2829</f>
        <v>0</v>
      </c>
      <c r="CK33" s="3">
        <f>CALCS!Q2860</f>
        <v>0</v>
      </c>
      <c r="CL33" s="3">
        <f>CALCS!Q2891</f>
        <v>0</v>
      </c>
      <c r="CM33" s="3">
        <f>CALCS!Q2922</f>
        <v>0</v>
      </c>
      <c r="CN33" s="3">
        <f>CALCS!Q2953</f>
        <v>0</v>
      </c>
      <c r="CO33" s="3">
        <f>CALCS!Q2984</f>
        <v>0</v>
      </c>
      <c r="CP33" s="3">
        <f>CALCS!Q3015</f>
        <v>0</v>
      </c>
      <c r="CQ33" s="3">
        <f>CALCS!Q3046</f>
        <v>0</v>
      </c>
      <c r="CR33" s="3">
        <f>CALCS!Q3077</f>
        <v>0</v>
      </c>
      <c r="CS33" s="3">
        <f>CALCS!Q3108</f>
        <v>0</v>
      </c>
      <c r="CT33" s="3">
        <f>CALCS!Q3139</f>
        <v>0</v>
      </c>
      <c r="CU33" s="3">
        <f>CALCS!Q3170</f>
        <v>0</v>
      </c>
      <c r="CV33" s="3">
        <f>CALCS!Q3201</f>
        <v>0</v>
      </c>
      <c r="CW33" s="3">
        <f>CALCS!Q3232</f>
        <v>0</v>
      </c>
      <c r="CX33" s="3">
        <f>CALCS!Q3263</f>
        <v>0</v>
      </c>
      <c r="CY33" s="3">
        <f>CALCS!Q3294</f>
        <v>0</v>
      </c>
      <c r="CZ33" s="3">
        <f>CALCS!Q3325</f>
        <v>0</v>
      </c>
      <c r="DA33" s="3">
        <f>CALCS!Q3356</f>
        <v>0</v>
      </c>
      <c r="DB33" s="3">
        <f>CALCS!Q3387</f>
        <v>0</v>
      </c>
      <c r="DC33" s="3">
        <f>CALCS!Q3418</f>
        <v>0</v>
      </c>
      <c r="DD33" s="3">
        <f>CALCS!Q3449</f>
        <v>0</v>
      </c>
      <c r="DE33" s="3">
        <f>CALCS!Q3480</f>
        <v>0</v>
      </c>
      <c r="DF33" s="3">
        <f>CALCS!Q3511</f>
        <v>0</v>
      </c>
      <c r="DG33" s="3">
        <f>CALCS!Q3542</f>
        <v>0</v>
      </c>
      <c r="DH33" s="3">
        <f>CALCS!Q3573</f>
        <v>0</v>
      </c>
      <c r="DI33" s="3">
        <f>CALCS!Q3604</f>
        <v>0</v>
      </c>
      <c r="DJ33" s="3">
        <f>CALCS!Q3635</f>
        <v>0</v>
      </c>
      <c r="DK33" s="3">
        <f>CALCS!Q3666</f>
        <v>0</v>
      </c>
      <c r="DL33" s="3">
        <f>CALCS!Q3697</f>
        <v>0</v>
      </c>
      <c r="DM33" s="3">
        <f>CALCS!Q3728</f>
        <v>0</v>
      </c>
      <c r="DN33" s="3">
        <f>CALCS!Q3759</f>
        <v>0</v>
      </c>
      <c r="DO33" s="3">
        <f>CALCS!Q3790</f>
        <v>0</v>
      </c>
      <c r="DP33" s="3">
        <f>CALCS!Q3821</f>
        <v>0</v>
      </c>
      <c r="DQ33" s="3">
        <f>CALCS!Q3852</f>
        <v>0</v>
      </c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L117"/>
  <sheetViews>
    <sheetView workbookViewId="0">
      <selection activeCell="E5" sqref="E5"/>
    </sheetView>
  </sheetViews>
  <sheetFormatPr defaultColWidth="9.33203125" defaultRowHeight="12.75" x14ac:dyDescent="0.2"/>
  <cols>
    <col min="1" max="1" width="5.83203125" style="23" bestFit="1" customWidth="1"/>
    <col min="2" max="27" width="9.33203125" style="3"/>
    <col min="28" max="28" width="9.6640625" style="3" bestFit="1" customWidth="1"/>
    <col min="29" max="16384" width="9.33203125" style="3"/>
  </cols>
  <sheetData>
    <row r="1" spans="1:142" x14ac:dyDescent="0.2">
      <c r="A1" s="23" t="s">
        <v>49</v>
      </c>
      <c r="B1" s="3" t="s">
        <v>49</v>
      </c>
      <c r="C1" s="41" t="s">
        <v>89</v>
      </c>
    </row>
    <row r="2" spans="1:142" x14ac:dyDescent="0.2">
      <c r="A2" s="23">
        <v>1979</v>
      </c>
    </row>
    <row r="3" spans="1:142" x14ac:dyDescent="0.2">
      <c r="A3" s="23">
        <v>2015</v>
      </c>
    </row>
    <row r="4" spans="1:142" x14ac:dyDescent="0.2">
      <c r="A4" s="23" t="s">
        <v>50</v>
      </c>
      <c r="B4" s="37">
        <v>79</v>
      </c>
      <c r="C4" s="37">
        <v>80</v>
      </c>
      <c r="D4" s="37">
        <v>81</v>
      </c>
      <c r="E4" s="37">
        <v>82</v>
      </c>
      <c r="F4" s="37">
        <v>83</v>
      </c>
      <c r="G4" s="37">
        <v>84</v>
      </c>
      <c r="H4" s="37">
        <v>85</v>
      </c>
      <c r="I4" s="37">
        <v>86</v>
      </c>
      <c r="J4" s="37">
        <v>87</v>
      </c>
      <c r="K4" s="37">
        <v>88</v>
      </c>
      <c r="L4" s="37">
        <v>89</v>
      </c>
      <c r="M4" s="37">
        <v>90</v>
      </c>
      <c r="N4" s="37">
        <v>91</v>
      </c>
      <c r="O4" s="37">
        <v>92</v>
      </c>
      <c r="P4" s="37">
        <v>93</v>
      </c>
      <c r="Q4" s="37">
        <v>94</v>
      </c>
      <c r="R4" s="37">
        <v>95</v>
      </c>
      <c r="S4" s="37">
        <v>96</v>
      </c>
      <c r="T4" s="37">
        <v>97</v>
      </c>
      <c r="U4" s="37">
        <v>98</v>
      </c>
      <c r="V4" s="37">
        <v>99</v>
      </c>
      <c r="W4" s="37" t="s">
        <v>51</v>
      </c>
      <c r="X4" s="37" t="s">
        <v>52</v>
      </c>
      <c r="Y4" s="37" t="s">
        <v>53</v>
      </c>
      <c r="Z4" s="37" t="s">
        <v>54</v>
      </c>
      <c r="AA4" s="37" t="s">
        <v>55</v>
      </c>
      <c r="AB4" s="37" t="s">
        <v>56</v>
      </c>
      <c r="AC4" s="37" t="s">
        <v>67</v>
      </c>
      <c r="AD4" s="37" t="s">
        <v>68</v>
      </c>
      <c r="AE4" s="37" t="s">
        <v>70</v>
      </c>
      <c r="AF4" s="42" t="s">
        <v>71</v>
      </c>
      <c r="AG4" s="42" t="s">
        <v>73</v>
      </c>
      <c r="AH4" s="42" t="s">
        <v>74</v>
      </c>
      <c r="AI4" s="42" t="s">
        <v>75</v>
      </c>
      <c r="AJ4" s="3">
        <v>13</v>
      </c>
      <c r="AK4" s="3">
        <v>14</v>
      </c>
      <c r="AL4" s="3">
        <v>15</v>
      </c>
    </row>
    <row r="5" spans="1:142" x14ac:dyDescent="0.2">
      <c r="A5" s="23">
        <v>0</v>
      </c>
      <c r="B5" s="32">
        <v>1</v>
      </c>
      <c r="C5" s="32">
        <v>1</v>
      </c>
      <c r="D5" s="32">
        <v>1</v>
      </c>
      <c r="E5" s="32">
        <f>SPFI_CLB14!$B$5</f>
        <v>0.98153299999999999</v>
      </c>
      <c r="F5" s="32">
        <f>SPFI_CLB14!$B$6</f>
        <v>0.93659899999999996</v>
      </c>
      <c r="G5" s="32">
        <f>SPFI_CLB14!$B$7</f>
        <v>0.92793599999999998</v>
      </c>
      <c r="H5" s="32">
        <f>SPFI_CLB14!$B$8</f>
        <v>0.90386500000000003</v>
      </c>
      <c r="I5" s="32">
        <f>SPFI_CLB14!$B$9</f>
        <v>0.73087500000000005</v>
      </c>
      <c r="J5" s="32">
        <f>SPFI_CLB14!$B$10</f>
        <v>0.71733499999999994</v>
      </c>
      <c r="K5" s="32">
        <f>SPFI_CLB14!$B$11</f>
        <v>0.64558800000000005</v>
      </c>
      <c r="L5" s="32">
        <f>SPFI_CLB14!$B$12</f>
        <v>0.65287700000000004</v>
      </c>
      <c r="M5" s="32">
        <f>SPFI_CLB14!$B$13</f>
        <v>0.56965100000000002</v>
      </c>
      <c r="N5" s="32">
        <f>SPFI_CLB14!$B$14</f>
        <v>0.62776900000000002</v>
      </c>
      <c r="O5" s="32">
        <f>SPFI_CLB14!$B$15</f>
        <v>0.43504100000000001</v>
      </c>
      <c r="P5" s="32">
        <f>SPFI_CLB14!$B$16</f>
        <v>0.499164</v>
      </c>
      <c r="Q5" s="32">
        <f>SPFI_CLB14!$B$17</f>
        <v>0.59591300000000003</v>
      </c>
      <c r="R5" s="32">
        <f>SPFI_CLB14!$B$18</f>
        <v>0.25400800000000001</v>
      </c>
      <c r="S5" s="32">
        <f>SPFI_CLB14!$B$19</f>
        <v>0</v>
      </c>
      <c r="T5" s="32">
        <f>SPFI_CLB14!$B$20</f>
        <v>0.201487</v>
      </c>
      <c r="U5" s="32">
        <f>SPFI_CLB14!$B$21</f>
        <v>0.37506400000000001</v>
      </c>
      <c r="V5" s="32">
        <f>SPFI_CLB14!$B$22</f>
        <v>0.29823699999999997</v>
      </c>
      <c r="W5" s="32">
        <f>SPFI_CLB14!$B$23</f>
        <v>8.4414000000000003E-2</v>
      </c>
      <c r="X5" s="32">
        <f>SPFI_CLB14!$B$24</f>
        <v>7.8909000000000007E-2</v>
      </c>
      <c r="Y5" s="32">
        <f>SPFI_CLB14!$B$25</f>
        <v>0.29974699999999999</v>
      </c>
      <c r="Z5" s="32">
        <f>SPFI_CLB14!$B$26</f>
        <v>0.20691100000000001</v>
      </c>
      <c r="AA5" s="32">
        <f>SPFI_CLB14!$B$27</f>
        <v>0.269237</v>
      </c>
      <c r="AB5" s="32">
        <f>SPFI_CLB14!$B$28</f>
        <v>0.37848700000000002</v>
      </c>
      <c r="AC5" s="32">
        <f>SPFI_CLB14!$B$29</f>
        <v>0.381023</v>
      </c>
      <c r="AD5" s="32">
        <f>SPFI_CLB14!$B$30</f>
        <v>0.356512</v>
      </c>
      <c r="AE5" s="32">
        <f>SPFI_CLB14!$B$31</f>
        <v>0.25494499999999998</v>
      </c>
      <c r="AF5" s="32">
        <f>SPFI_CLB14!$B$32</f>
        <v>0.52383000000000002</v>
      </c>
      <c r="AG5" s="32">
        <f>SPFI_CLB14!$B$33</f>
        <v>0.31394</v>
      </c>
      <c r="AH5" s="32">
        <f>SPFI_CLB14!$B$34</f>
        <v>0.294348</v>
      </c>
      <c r="AI5" s="32">
        <f>SPFI_CLB14!$B$35</f>
        <v>0.34784100000000001</v>
      </c>
      <c r="AJ5" s="32">
        <f>AVERAGE($AG5:$AI5)</f>
        <v>0.31870966666666667</v>
      </c>
      <c r="AK5" s="32">
        <f t="shared" ref="AK5:AL68" si="0">AVERAGE($AG5:$AI5)</f>
        <v>0.31870966666666667</v>
      </c>
      <c r="AL5" s="32">
        <f t="shared" si="0"/>
        <v>0.31870966666666667</v>
      </c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32"/>
      <c r="DN5" s="32"/>
      <c r="DO5" s="32"/>
      <c r="DP5" s="32"/>
      <c r="DQ5" s="32"/>
      <c r="DR5" s="32"/>
      <c r="DS5" s="32"/>
      <c r="DT5" s="32"/>
      <c r="DU5" s="32"/>
      <c r="DV5" s="32"/>
      <c r="DW5" s="32"/>
      <c r="DX5" s="32"/>
      <c r="DY5" s="32"/>
      <c r="DZ5" s="32"/>
      <c r="EA5" s="32"/>
      <c r="EB5" s="32"/>
      <c r="EC5" s="32"/>
      <c r="ED5" s="32"/>
      <c r="EE5" s="32"/>
      <c r="EF5" s="32"/>
      <c r="EG5" s="32"/>
      <c r="EH5" s="32"/>
      <c r="EI5" s="32"/>
      <c r="EJ5" s="32"/>
      <c r="EK5" s="32"/>
      <c r="EL5" s="32"/>
    </row>
    <row r="6" spans="1:142" x14ac:dyDescent="0.2">
      <c r="B6" s="32">
        <v>1</v>
      </c>
      <c r="C6" s="32">
        <v>1</v>
      </c>
      <c r="D6" s="32">
        <v>1</v>
      </c>
      <c r="E6" s="32">
        <f>SPFI_CLB14!$B$5</f>
        <v>0.98153299999999999</v>
      </c>
      <c r="F6" s="32">
        <f>SPFI_CLB14!$B$6</f>
        <v>0.93659899999999996</v>
      </c>
      <c r="G6" s="32">
        <f>SPFI_CLB14!$B$7</f>
        <v>0.92793599999999998</v>
      </c>
      <c r="H6" s="32">
        <f>SPFI_CLB14!$B$8</f>
        <v>0.90386500000000003</v>
      </c>
      <c r="I6" s="32">
        <f>SPFI_CLB14!$B$9</f>
        <v>0.73087500000000005</v>
      </c>
      <c r="J6" s="32">
        <f>SPFI_CLB14!$B$10</f>
        <v>0.71733499999999994</v>
      </c>
      <c r="K6" s="32">
        <f>SPFI_CLB14!$B$11</f>
        <v>0.64558800000000005</v>
      </c>
      <c r="L6" s="32">
        <f>SPFI_CLB14!$B$12</f>
        <v>0.65287700000000004</v>
      </c>
      <c r="M6" s="32">
        <f>SPFI_CLB14!$B$13</f>
        <v>0.56965100000000002</v>
      </c>
      <c r="N6" s="32">
        <f>SPFI_CLB14!$B$14</f>
        <v>0.62776900000000002</v>
      </c>
      <c r="O6" s="32">
        <f>SPFI_CLB14!$B$15</f>
        <v>0.43504100000000001</v>
      </c>
      <c r="P6" s="32">
        <f>SPFI_CLB14!$B$16</f>
        <v>0.499164</v>
      </c>
      <c r="Q6" s="32">
        <f>SPFI_CLB14!$B$17</f>
        <v>0.59591300000000003</v>
      </c>
      <c r="R6" s="32">
        <f>SPFI_CLB14!$B$18</f>
        <v>0.25400800000000001</v>
      </c>
      <c r="S6" s="32">
        <f>SPFI_CLB14!$B$19</f>
        <v>0</v>
      </c>
      <c r="T6" s="32">
        <f>SPFI_CLB14!$B$20</f>
        <v>0.201487</v>
      </c>
      <c r="U6" s="32">
        <f>SPFI_CLB14!$B$21</f>
        <v>0.37506400000000001</v>
      </c>
      <c r="V6" s="32">
        <f>SPFI_CLB14!$B$22</f>
        <v>0.29823699999999997</v>
      </c>
      <c r="W6" s="32">
        <f>SPFI_CLB14!$B$23</f>
        <v>8.4414000000000003E-2</v>
      </c>
      <c r="X6" s="32">
        <f>SPFI_CLB14!$B$24</f>
        <v>7.8909000000000007E-2</v>
      </c>
      <c r="Y6" s="32">
        <f>SPFI_CLB14!$B$25</f>
        <v>0.29974699999999999</v>
      </c>
      <c r="Z6" s="32">
        <f>SPFI_CLB14!$B$26</f>
        <v>0.20691100000000001</v>
      </c>
      <c r="AA6" s="32">
        <f>SPFI_CLB14!$B$27</f>
        <v>0.269237</v>
      </c>
      <c r="AB6" s="32">
        <f>SPFI_CLB14!$B$28</f>
        <v>0.37848700000000002</v>
      </c>
      <c r="AC6" s="32">
        <f>SPFI_CLB14!$B$29</f>
        <v>0.381023</v>
      </c>
      <c r="AD6" s="32">
        <f>SPFI_CLB14!$B$30</f>
        <v>0.356512</v>
      </c>
      <c r="AE6" s="32">
        <f>SPFI_CLB14!$B$31</f>
        <v>0.25494499999999998</v>
      </c>
      <c r="AF6" s="32">
        <f>SPFI_CLB14!$B$32</f>
        <v>0.52383000000000002</v>
      </c>
      <c r="AG6" s="32">
        <f>SPFI_CLB14!$B$33</f>
        <v>0.31394</v>
      </c>
      <c r="AH6" s="32">
        <f>SPFI_CLB14!$B$34</f>
        <v>0.294348</v>
      </c>
      <c r="AI6" s="32">
        <f>SPFI_CLB14!$B$35</f>
        <v>0.34784100000000001</v>
      </c>
      <c r="AJ6" s="32">
        <f t="shared" ref="AJ6:AJ25" si="1">AVERAGE($AG6:$AI6)</f>
        <v>0.31870966666666667</v>
      </c>
      <c r="AK6" s="32">
        <f t="shared" si="0"/>
        <v>0.31870966666666667</v>
      </c>
      <c r="AL6" s="32">
        <f t="shared" si="0"/>
        <v>0.31870966666666667</v>
      </c>
    </row>
    <row r="7" spans="1:142" x14ac:dyDescent="0.2">
      <c r="B7" s="32">
        <v>1</v>
      </c>
      <c r="C7" s="32">
        <v>1</v>
      </c>
      <c r="D7" s="32">
        <v>1</v>
      </c>
      <c r="E7" s="32">
        <f>SPFI_CLB14!$B$5</f>
        <v>0.98153299999999999</v>
      </c>
      <c r="F7" s="32">
        <f>SPFI_CLB14!$B$6</f>
        <v>0.93659899999999996</v>
      </c>
      <c r="G7" s="32">
        <f>SPFI_CLB14!$B$7</f>
        <v>0.92793599999999998</v>
      </c>
      <c r="H7" s="32">
        <f>SPFI_CLB14!$B$8</f>
        <v>0.90386500000000003</v>
      </c>
      <c r="I7" s="32">
        <f>SPFI_CLB14!$B$9</f>
        <v>0.73087500000000005</v>
      </c>
      <c r="J7" s="32">
        <f>SPFI_CLB14!$B$10</f>
        <v>0.71733499999999994</v>
      </c>
      <c r="K7" s="32">
        <f>SPFI_CLB14!$B$11</f>
        <v>0.64558800000000005</v>
      </c>
      <c r="L7" s="32">
        <f>SPFI_CLB14!$B$12</f>
        <v>0.65287700000000004</v>
      </c>
      <c r="M7" s="32">
        <f>SPFI_CLB14!$B$13</f>
        <v>0.56965100000000002</v>
      </c>
      <c r="N7" s="32">
        <f>SPFI_CLB14!$B$14</f>
        <v>0.62776900000000002</v>
      </c>
      <c r="O7" s="32">
        <f>SPFI_CLB14!$B$15</f>
        <v>0.43504100000000001</v>
      </c>
      <c r="P7" s="32">
        <f>SPFI_CLB14!$B$16</f>
        <v>0.499164</v>
      </c>
      <c r="Q7" s="32">
        <f>SPFI_CLB14!$B$17</f>
        <v>0.59591300000000003</v>
      </c>
      <c r="R7" s="32">
        <f>SPFI_CLB14!$B$18</f>
        <v>0.25400800000000001</v>
      </c>
      <c r="S7" s="32">
        <f>SPFI_CLB14!$B$19</f>
        <v>0</v>
      </c>
      <c r="T7" s="32">
        <f>SPFI_CLB14!$B$20</f>
        <v>0.201487</v>
      </c>
      <c r="U7" s="32">
        <f>SPFI_CLB14!$B$21</f>
        <v>0.37506400000000001</v>
      </c>
      <c r="V7" s="32">
        <f>SPFI_CLB14!$B$22</f>
        <v>0.29823699999999997</v>
      </c>
      <c r="W7" s="32">
        <f>SPFI_CLB14!$B$23</f>
        <v>8.4414000000000003E-2</v>
      </c>
      <c r="X7" s="32">
        <f>SPFI_CLB14!$B$24</f>
        <v>7.8909000000000007E-2</v>
      </c>
      <c r="Y7" s="32">
        <f>SPFI_CLB14!$B$25</f>
        <v>0.29974699999999999</v>
      </c>
      <c r="Z7" s="32">
        <f>SPFI_CLB14!$B$26</f>
        <v>0.20691100000000001</v>
      </c>
      <c r="AA7" s="32">
        <f>SPFI_CLB14!$B$27</f>
        <v>0.269237</v>
      </c>
      <c r="AB7" s="32">
        <f>SPFI_CLB14!$B$28</f>
        <v>0.37848700000000002</v>
      </c>
      <c r="AC7" s="32">
        <f>SPFI_CLB14!$B$29</f>
        <v>0.381023</v>
      </c>
      <c r="AD7" s="32">
        <f>SPFI_CLB14!$B$30</f>
        <v>0.356512</v>
      </c>
      <c r="AE7" s="32">
        <f>SPFI_CLB14!$B$31</f>
        <v>0.25494499999999998</v>
      </c>
      <c r="AF7" s="32">
        <f>SPFI_CLB14!$B$32</f>
        <v>0.52383000000000002</v>
      </c>
      <c r="AG7" s="32">
        <f>SPFI_CLB14!$B$33</f>
        <v>0.31394</v>
      </c>
      <c r="AH7" s="32">
        <f>SPFI_CLB14!$B$34</f>
        <v>0.294348</v>
      </c>
      <c r="AI7" s="32">
        <f>SPFI_CLB14!$B$35</f>
        <v>0.34784100000000001</v>
      </c>
      <c r="AJ7" s="32">
        <f t="shared" si="1"/>
        <v>0.31870966666666667</v>
      </c>
      <c r="AK7" s="32">
        <f t="shared" si="0"/>
        <v>0.31870966666666667</v>
      </c>
      <c r="AL7" s="32">
        <f t="shared" si="0"/>
        <v>0.31870966666666667</v>
      </c>
    </row>
    <row r="8" spans="1:142" x14ac:dyDescent="0.2">
      <c r="B8" s="32">
        <v>1</v>
      </c>
      <c r="C8" s="32">
        <v>1</v>
      </c>
      <c r="D8" s="32">
        <v>1</v>
      </c>
      <c r="E8" s="32">
        <f>SPFI_CLB14!$B$5</f>
        <v>0.98153299999999999</v>
      </c>
      <c r="F8" s="32">
        <f>SPFI_CLB14!$B$6</f>
        <v>0.93659899999999996</v>
      </c>
      <c r="G8" s="32">
        <f>SPFI_CLB14!$B$7</f>
        <v>0.92793599999999998</v>
      </c>
      <c r="H8" s="32">
        <f>SPFI_CLB14!$B$8</f>
        <v>0.90386500000000003</v>
      </c>
      <c r="I8" s="32">
        <f>SPFI_CLB14!$B$9</f>
        <v>0.73087500000000005</v>
      </c>
      <c r="J8" s="32">
        <f>SPFI_CLB14!$B$10</f>
        <v>0.71733499999999994</v>
      </c>
      <c r="K8" s="32">
        <f>SPFI_CLB14!$B$11</f>
        <v>0.64558800000000005</v>
      </c>
      <c r="L8" s="32">
        <f>SPFI_CLB14!$B$12</f>
        <v>0.65287700000000004</v>
      </c>
      <c r="M8" s="32">
        <f>SPFI_CLB14!$B$13</f>
        <v>0.56965100000000002</v>
      </c>
      <c r="N8" s="32">
        <f>SPFI_CLB14!$B$14</f>
        <v>0.62776900000000002</v>
      </c>
      <c r="O8" s="32">
        <f>SPFI_CLB14!$B$15</f>
        <v>0.43504100000000001</v>
      </c>
      <c r="P8" s="32">
        <f>SPFI_CLB14!$B$16</f>
        <v>0.499164</v>
      </c>
      <c r="Q8" s="32">
        <f>SPFI_CLB14!$B$17</f>
        <v>0.59591300000000003</v>
      </c>
      <c r="R8" s="32">
        <f>SPFI_CLB14!$B$18</f>
        <v>0.25400800000000001</v>
      </c>
      <c r="S8" s="32">
        <f>SPFI_CLB14!$B$19</f>
        <v>0</v>
      </c>
      <c r="T8" s="32">
        <f>SPFI_CLB14!$B$20</f>
        <v>0.201487</v>
      </c>
      <c r="U8" s="32">
        <f>SPFI_CLB14!$B$21</f>
        <v>0.37506400000000001</v>
      </c>
      <c r="V8" s="32">
        <f>SPFI_CLB14!$B$22</f>
        <v>0.29823699999999997</v>
      </c>
      <c r="W8" s="32">
        <f>SPFI_CLB14!$B$23</f>
        <v>8.4414000000000003E-2</v>
      </c>
      <c r="X8" s="32">
        <f>SPFI_CLB14!$B$24</f>
        <v>7.8909000000000007E-2</v>
      </c>
      <c r="Y8" s="32">
        <f>SPFI_CLB14!$B$25</f>
        <v>0.29974699999999999</v>
      </c>
      <c r="Z8" s="32">
        <f>SPFI_CLB14!$B$26</f>
        <v>0.20691100000000001</v>
      </c>
      <c r="AA8" s="32">
        <f>SPFI_CLB14!$B$27</f>
        <v>0.269237</v>
      </c>
      <c r="AB8" s="32">
        <f>SPFI_CLB14!$B$28</f>
        <v>0.37848700000000002</v>
      </c>
      <c r="AC8" s="32">
        <f>SPFI_CLB14!$B$29</f>
        <v>0.381023</v>
      </c>
      <c r="AD8" s="32">
        <f>SPFI_CLB14!$B$30</f>
        <v>0.356512</v>
      </c>
      <c r="AE8" s="32">
        <f>SPFI_CLB14!$B$31</f>
        <v>0.25494499999999998</v>
      </c>
      <c r="AF8" s="32">
        <f>SPFI_CLB14!$B$32</f>
        <v>0.52383000000000002</v>
      </c>
      <c r="AG8" s="32">
        <f>SPFI_CLB14!$B$33</f>
        <v>0.31394</v>
      </c>
      <c r="AH8" s="32">
        <f>SPFI_CLB14!$B$34</f>
        <v>0.294348</v>
      </c>
      <c r="AI8" s="32">
        <f>SPFI_CLB14!$B$35</f>
        <v>0.34784100000000001</v>
      </c>
      <c r="AJ8" s="32">
        <f t="shared" si="1"/>
        <v>0.31870966666666667</v>
      </c>
      <c r="AK8" s="32">
        <f t="shared" si="0"/>
        <v>0.31870966666666667</v>
      </c>
      <c r="AL8" s="32">
        <f t="shared" si="0"/>
        <v>0.31870966666666667</v>
      </c>
    </row>
    <row r="9" spans="1:142" x14ac:dyDescent="0.2">
      <c r="A9" s="23">
        <v>1</v>
      </c>
      <c r="B9" s="32">
        <v>1</v>
      </c>
      <c r="C9" s="32">
        <v>1</v>
      </c>
      <c r="D9" s="32">
        <v>1</v>
      </c>
      <c r="E9" s="32">
        <f>FPS!B3</f>
        <v>0</v>
      </c>
      <c r="F9" s="32">
        <f>FPS!B4</f>
        <v>0</v>
      </c>
      <c r="G9" s="32">
        <f>FPS!B5</f>
        <v>0</v>
      </c>
      <c r="H9" s="32">
        <f>FPS!B6</f>
        <v>0</v>
      </c>
      <c r="I9" s="32">
        <f>FPS!B7</f>
        <v>0</v>
      </c>
      <c r="J9" s="32">
        <f>FPS!B8</f>
        <v>0</v>
      </c>
      <c r="K9" s="32">
        <f>FPS!B9</f>
        <v>0</v>
      </c>
      <c r="L9" s="32">
        <f>FPS!B10</f>
        <v>0</v>
      </c>
      <c r="M9" s="32">
        <f>FPS!B11</f>
        <v>0</v>
      </c>
      <c r="N9" s="32">
        <f>FPS!B12</f>
        <v>0</v>
      </c>
      <c r="O9" s="32">
        <f>FPS!B13</f>
        <v>0</v>
      </c>
      <c r="P9" s="32">
        <f>FPS!B14</f>
        <v>0</v>
      </c>
      <c r="Q9" s="32">
        <f>FPS!B15</f>
        <v>0</v>
      </c>
      <c r="R9" s="32">
        <f>FPS!B16</f>
        <v>0</v>
      </c>
      <c r="S9" s="32">
        <f>FPS!B17</f>
        <v>0</v>
      </c>
      <c r="T9" s="32">
        <f>FPS!B18</f>
        <v>0</v>
      </c>
      <c r="U9" s="32">
        <f>FPS!B19</f>
        <v>0</v>
      </c>
      <c r="V9" s="32">
        <f>FPS!B20</f>
        <v>0</v>
      </c>
      <c r="W9" s="32">
        <f>FPS!B21</f>
        <v>0</v>
      </c>
      <c r="X9" s="32">
        <f>FPS!B22</f>
        <v>0</v>
      </c>
      <c r="Y9" s="32">
        <f>FPS!B23</f>
        <v>0</v>
      </c>
      <c r="Z9" s="32">
        <f>FPS!B24</f>
        <v>0</v>
      </c>
      <c r="AA9" s="32">
        <f>FPS!B25</f>
        <v>0</v>
      </c>
      <c r="AB9" s="32">
        <f>FPS!B26</f>
        <v>0</v>
      </c>
      <c r="AC9" s="32">
        <f>FPS!B27</f>
        <v>0</v>
      </c>
      <c r="AD9" s="32">
        <f>FPS!B28</f>
        <v>0</v>
      </c>
      <c r="AE9" s="32">
        <f>FPS!B29</f>
        <v>0</v>
      </c>
      <c r="AF9" s="32">
        <f>FPS!B30</f>
        <v>0</v>
      </c>
      <c r="AG9" s="32">
        <f>FPS!B31</f>
        <v>0</v>
      </c>
      <c r="AH9" s="32">
        <f>FPS!B32</f>
        <v>0</v>
      </c>
      <c r="AI9" s="32">
        <f>FPS!B33</f>
        <v>0</v>
      </c>
      <c r="AJ9" s="32">
        <f t="shared" si="1"/>
        <v>0</v>
      </c>
      <c r="AK9" s="32">
        <f t="shared" si="0"/>
        <v>0</v>
      </c>
      <c r="AL9" s="32">
        <f t="shared" si="0"/>
        <v>0</v>
      </c>
    </row>
    <row r="10" spans="1:142" x14ac:dyDescent="0.2">
      <c r="B10" s="32">
        <v>1</v>
      </c>
      <c r="C10" s="32">
        <v>1</v>
      </c>
      <c r="D10" s="32">
        <v>1</v>
      </c>
      <c r="E10" s="32">
        <f>FPS!C3</f>
        <v>0.98153299999999999</v>
      </c>
      <c r="F10" s="32">
        <f>FPS!C4</f>
        <v>0.93659899999999996</v>
      </c>
      <c r="G10" s="32">
        <f>FPS!C5</f>
        <v>0.92793599999999987</v>
      </c>
      <c r="H10" s="32">
        <f>FPS!C6</f>
        <v>0.90386500000000014</v>
      </c>
      <c r="I10" s="32">
        <f>FPS!C7</f>
        <v>0.73087500000000005</v>
      </c>
      <c r="J10" s="32">
        <f>FPS!C8</f>
        <v>0.71733499999999994</v>
      </c>
      <c r="K10" s="32">
        <f>FPS!C9</f>
        <v>0.64558800000000005</v>
      </c>
      <c r="L10" s="32">
        <f>FPS!C10</f>
        <v>0.65287700000000004</v>
      </c>
      <c r="M10" s="32">
        <f>FPS!C11</f>
        <v>0.56965100000000002</v>
      </c>
      <c r="N10" s="32">
        <f>FPS!C12</f>
        <v>0.62776900000000002</v>
      </c>
      <c r="O10" s="32">
        <f>FPS!C13</f>
        <v>0.43504100000000001</v>
      </c>
      <c r="P10" s="32">
        <f>FPS!C14</f>
        <v>0.499164</v>
      </c>
      <c r="Q10" s="32">
        <f>FPS!C15</f>
        <v>0.59591300000000003</v>
      </c>
      <c r="R10" s="32">
        <f>FPS!C16</f>
        <v>0.25400800000000001</v>
      </c>
      <c r="S10" s="32">
        <f>FPS!C17</f>
        <v>0</v>
      </c>
      <c r="T10" s="32">
        <f>FPS!C18</f>
        <v>0.20148700000000003</v>
      </c>
      <c r="U10" s="32">
        <f>FPS!C19</f>
        <v>0.37506400000000001</v>
      </c>
      <c r="V10" s="32">
        <f>FPS!C20</f>
        <v>0.29823699999999997</v>
      </c>
      <c r="W10" s="32">
        <f>FPS!C21</f>
        <v>8.4414000000000003E-2</v>
      </c>
      <c r="X10" s="32">
        <f>FPS!C22</f>
        <v>7.8909000000000007E-2</v>
      </c>
      <c r="Y10" s="32">
        <f>FPS!C23</f>
        <v>0.29974699999999999</v>
      </c>
      <c r="Z10" s="32">
        <f>FPS!C24</f>
        <v>0.20691100000000001</v>
      </c>
      <c r="AA10" s="32">
        <f>FPS!C25</f>
        <v>0.269237</v>
      </c>
      <c r="AB10" s="32">
        <f>FPS!C26</f>
        <v>0.37848700000000002</v>
      </c>
      <c r="AC10" s="32">
        <f>FPS!C27</f>
        <v>0.381023</v>
      </c>
      <c r="AD10" s="32">
        <f>FPS!C28</f>
        <v>0.35651199999999994</v>
      </c>
      <c r="AE10" s="32">
        <f>FPS!C29</f>
        <v>0.25494499999999998</v>
      </c>
      <c r="AF10" s="32">
        <f>FPS!C30</f>
        <v>0.52383000000000002</v>
      </c>
      <c r="AG10" s="32">
        <f>FPS!C31</f>
        <v>0.31394</v>
      </c>
      <c r="AH10" s="32">
        <f>FPS!C32</f>
        <v>0.294348</v>
      </c>
      <c r="AI10" s="32">
        <f>FPS!C33</f>
        <v>0.34784100000000001</v>
      </c>
      <c r="AJ10" s="32">
        <f t="shared" si="1"/>
        <v>0.31870966666666667</v>
      </c>
      <c r="AK10" s="32">
        <f t="shared" si="0"/>
        <v>0.31870966666666667</v>
      </c>
      <c r="AL10" s="32">
        <f t="shared" si="0"/>
        <v>0.31870966666666667</v>
      </c>
    </row>
    <row r="11" spans="1:142" x14ac:dyDescent="0.2">
      <c r="B11" s="32">
        <v>1</v>
      </c>
      <c r="C11" s="32">
        <v>1</v>
      </c>
      <c r="D11" s="32">
        <v>1</v>
      </c>
      <c r="E11" s="32">
        <f>FPS!D3</f>
        <v>0.9815330000000001</v>
      </c>
      <c r="F11" s="32">
        <f>FPS!D4</f>
        <v>0.93659899999999996</v>
      </c>
      <c r="G11" s="32">
        <f>FPS!D5</f>
        <v>0.92793600000000009</v>
      </c>
      <c r="H11" s="32">
        <f>FPS!D6</f>
        <v>0.90386500000000003</v>
      </c>
      <c r="I11" s="32">
        <f>FPS!D7</f>
        <v>0.73087500000000005</v>
      </c>
      <c r="J11" s="32">
        <f>FPS!D8</f>
        <v>0.71733500000000006</v>
      </c>
      <c r="K11" s="32">
        <f>FPS!D9</f>
        <v>0.64558800000000005</v>
      </c>
      <c r="L11" s="32">
        <f>FPS!D10</f>
        <v>0.65287700000000004</v>
      </c>
      <c r="M11" s="32">
        <f>FPS!D11</f>
        <v>0.56965100000000002</v>
      </c>
      <c r="N11" s="32">
        <f>FPS!D12</f>
        <v>0.62776900000000002</v>
      </c>
      <c r="O11" s="32">
        <f>FPS!D13</f>
        <v>0.43504100000000001</v>
      </c>
      <c r="P11" s="32">
        <f>FPS!D14</f>
        <v>0.49916399999999994</v>
      </c>
      <c r="Q11" s="32">
        <f>FPS!D15</f>
        <v>0.59591300000000003</v>
      </c>
      <c r="R11" s="32">
        <f>FPS!D16</f>
        <v>0.25400800000000001</v>
      </c>
      <c r="S11" s="32">
        <f>FPS!D17</f>
        <v>0</v>
      </c>
      <c r="T11" s="32">
        <f>FPS!D18</f>
        <v>0.201487</v>
      </c>
      <c r="U11" s="32">
        <f>FPS!D19</f>
        <v>0.37506400000000001</v>
      </c>
      <c r="V11" s="32">
        <f>FPS!D20</f>
        <v>0.29823699999999997</v>
      </c>
      <c r="W11" s="32">
        <f>FPS!D21</f>
        <v>8.4414000000000003E-2</v>
      </c>
      <c r="X11" s="32">
        <f>FPS!D22</f>
        <v>7.8909000000000007E-2</v>
      </c>
      <c r="Y11" s="32">
        <f>FPS!D23</f>
        <v>0.29974699999999999</v>
      </c>
      <c r="Z11" s="32">
        <f>FPS!D24</f>
        <v>0.20691100000000001</v>
      </c>
      <c r="AA11" s="32">
        <f>FPS!D25</f>
        <v>0.269237</v>
      </c>
      <c r="AB11" s="32">
        <f>FPS!D26</f>
        <v>0.37848700000000002</v>
      </c>
      <c r="AC11" s="32">
        <f>FPS!D27</f>
        <v>0.38102300000000006</v>
      </c>
      <c r="AD11" s="32">
        <f>FPS!D28</f>
        <v>0.356512</v>
      </c>
      <c r="AE11" s="32">
        <f>FPS!D29</f>
        <v>0.25494499999999998</v>
      </c>
      <c r="AF11" s="32">
        <f>FPS!D30</f>
        <v>0.52383000000000002</v>
      </c>
      <c r="AG11" s="32">
        <f>FPS!D31</f>
        <v>0.31394</v>
      </c>
      <c r="AH11" s="32">
        <f>FPS!D32</f>
        <v>0.294348</v>
      </c>
      <c r="AI11" s="32">
        <f>FPS!D33</f>
        <v>0.34784100000000001</v>
      </c>
      <c r="AJ11" s="32">
        <f t="shared" si="1"/>
        <v>0.31870966666666667</v>
      </c>
      <c r="AK11" s="32">
        <f t="shared" si="0"/>
        <v>0.31870966666666667</v>
      </c>
      <c r="AL11" s="32">
        <f t="shared" si="0"/>
        <v>0.31870966666666667</v>
      </c>
    </row>
    <row r="12" spans="1:142" x14ac:dyDescent="0.2">
      <c r="B12" s="32">
        <v>1</v>
      </c>
      <c r="C12" s="32">
        <v>1</v>
      </c>
      <c r="D12" s="32">
        <v>1</v>
      </c>
      <c r="E12" s="32">
        <f>FPS!E3</f>
        <v>0.98153299999999988</v>
      </c>
      <c r="F12" s="32">
        <f>FPS!E4</f>
        <v>0.93659899999999996</v>
      </c>
      <c r="G12" s="32">
        <f>FPS!E5</f>
        <v>0.92793599999999998</v>
      </c>
      <c r="H12" s="32">
        <f>FPS!E6</f>
        <v>0.90386500000000003</v>
      </c>
      <c r="I12" s="32">
        <f>FPS!E7</f>
        <v>0.73087500000000005</v>
      </c>
      <c r="J12" s="32">
        <f>FPS!E8</f>
        <v>0.71733499999999994</v>
      </c>
      <c r="K12" s="32">
        <f>FPS!E9</f>
        <v>0.64558800000000005</v>
      </c>
      <c r="L12" s="32">
        <f>FPS!E10</f>
        <v>0.65287699999999993</v>
      </c>
      <c r="M12" s="32">
        <f>FPS!E11</f>
        <v>0.56965100000000002</v>
      </c>
      <c r="N12" s="32">
        <f>FPS!E12</f>
        <v>0.62776900000000002</v>
      </c>
      <c r="O12" s="32">
        <f>FPS!E13</f>
        <v>0.43504100000000001</v>
      </c>
      <c r="P12" s="32">
        <f>FPS!E14</f>
        <v>0.499164</v>
      </c>
      <c r="Q12" s="32">
        <f>FPS!E15</f>
        <v>0.59591300000000003</v>
      </c>
      <c r="R12" s="32">
        <f>FPS!E16</f>
        <v>0.25400800000000001</v>
      </c>
      <c r="S12" s="32">
        <f>FPS!E17</f>
        <v>0</v>
      </c>
      <c r="T12" s="32">
        <f>FPS!E18</f>
        <v>0.201487</v>
      </c>
      <c r="U12" s="32">
        <f>FPS!E19</f>
        <v>0.37506400000000006</v>
      </c>
      <c r="V12" s="32">
        <f>FPS!E20</f>
        <v>0.29823699999999997</v>
      </c>
      <c r="W12" s="32">
        <f>FPS!E21</f>
        <v>8.4414000000000003E-2</v>
      </c>
      <c r="X12" s="32">
        <f>FPS!E22</f>
        <v>7.8909000000000007E-2</v>
      </c>
      <c r="Y12" s="32">
        <f>FPS!E23</f>
        <v>0.29974699999999999</v>
      </c>
      <c r="Z12" s="32">
        <f>FPS!E24</f>
        <v>0.20691100000000001</v>
      </c>
      <c r="AA12" s="32">
        <f>FPS!E25</f>
        <v>0.269237</v>
      </c>
      <c r="AB12" s="32">
        <f>FPS!E26</f>
        <v>0.37848700000000002</v>
      </c>
      <c r="AC12" s="32">
        <f>FPS!E27</f>
        <v>0.38102299999999995</v>
      </c>
      <c r="AD12" s="32">
        <f>FPS!E28</f>
        <v>0.356512</v>
      </c>
      <c r="AE12" s="32">
        <f>FPS!E29</f>
        <v>0.25494499999999998</v>
      </c>
      <c r="AF12" s="32">
        <f>FPS!E30</f>
        <v>0.52383000000000002</v>
      </c>
      <c r="AG12" s="32">
        <f>FPS!E31</f>
        <v>0.31394</v>
      </c>
      <c r="AH12" s="32">
        <f>FPS!E32</f>
        <v>0.294348</v>
      </c>
      <c r="AI12" s="32">
        <f>FPS!E33</f>
        <v>0.34784100000000001</v>
      </c>
      <c r="AJ12" s="32">
        <f t="shared" si="1"/>
        <v>0.31870966666666667</v>
      </c>
      <c r="AK12" s="32">
        <f t="shared" si="0"/>
        <v>0.31870966666666667</v>
      </c>
      <c r="AL12" s="32">
        <f t="shared" si="0"/>
        <v>0.31870966666666667</v>
      </c>
    </row>
    <row r="13" spans="1:142" x14ac:dyDescent="0.2">
      <c r="A13" s="23">
        <v>2</v>
      </c>
      <c r="B13" s="32">
        <v>1</v>
      </c>
      <c r="C13" s="32">
        <v>1</v>
      </c>
      <c r="D13" s="32">
        <v>1</v>
      </c>
      <c r="E13" s="32">
        <f>FPS!F3</f>
        <v>0.98153299999999999</v>
      </c>
      <c r="F13" s="32">
        <f>FPS!F4</f>
        <v>0.93659900000000007</v>
      </c>
      <c r="G13" s="32">
        <f>FPS!F5</f>
        <v>0.92793599999999998</v>
      </c>
      <c r="H13" s="32">
        <f>FPS!F6</f>
        <v>0.90386500000000003</v>
      </c>
      <c r="I13" s="32">
        <f>FPS!F7</f>
        <v>0.73087500000000016</v>
      </c>
      <c r="J13" s="32">
        <f>FPS!F8</f>
        <v>0.71733499999999994</v>
      </c>
      <c r="K13" s="32">
        <f>FPS!F9</f>
        <v>0.64558800000000005</v>
      </c>
      <c r="L13" s="32">
        <f>FPS!F10</f>
        <v>0.65287700000000004</v>
      </c>
      <c r="M13" s="32">
        <f>FPS!F11</f>
        <v>0.56965100000000002</v>
      </c>
      <c r="N13" s="32">
        <f>FPS!F12</f>
        <v>0.62776900000000002</v>
      </c>
      <c r="O13" s="32">
        <f>FPS!F13</f>
        <v>0.43504100000000001</v>
      </c>
      <c r="P13" s="32">
        <f>FPS!F14</f>
        <v>0.499164</v>
      </c>
      <c r="Q13" s="32">
        <f>FPS!F15</f>
        <v>0.59591300000000003</v>
      </c>
      <c r="R13" s="32">
        <f>FPS!F16</f>
        <v>0.25400800000000001</v>
      </c>
      <c r="S13" s="32">
        <f>FPS!F17</f>
        <v>0</v>
      </c>
      <c r="T13" s="32">
        <f>FPS!F18</f>
        <v>0.201487</v>
      </c>
      <c r="U13" s="32">
        <f>FPS!F19</f>
        <v>0.37506400000000001</v>
      </c>
      <c r="V13" s="32">
        <f>FPS!F20</f>
        <v>0.29823699999999997</v>
      </c>
      <c r="W13" s="32">
        <f>FPS!F21</f>
        <v>8.4414000000000003E-2</v>
      </c>
      <c r="X13" s="32">
        <f>FPS!F22</f>
        <v>7.8909000000000021E-2</v>
      </c>
      <c r="Y13" s="32">
        <f>FPS!F23</f>
        <v>0.29974699999999999</v>
      </c>
      <c r="Z13" s="32">
        <f>FPS!F24</f>
        <v>0.20691100000000001</v>
      </c>
      <c r="AA13" s="32">
        <f>FPS!F25</f>
        <v>0.269237</v>
      </c>
      <c r="AB13" s="32">
        <f>FPS!F26</f>
        <v>0.37848700000000007</v>
      </c>
      <c r="AC13" s="32">
        <f>FPS!F27</f>
        <v>0.381023</v>
      </c>
      <c r="AD13" s="32">
        <f>FPS!F28</f>
        <v>0.356512</v>
      </c>
      <c r="AE13" s="32">
        <f>FPS!F29</f>
        <v>0.25494499999999998</v>
      </c>
      <c r="AF13" s="32">
        <f>FPS!F30</f>
        <v>0.52383000000000002</v>
      </c>
      <c r="AG13" s="32">
        <f>FPS!F31</f>
        <v>0.31394</v>
      </c>
      <c r="AH13" s="32">
        <f>FPS!F32</f>
        <v>0.29434799999999994</v>
      </c>
      <c r="AI13" s="32">
        <f>FPS!F33</f>
        <v>0.34784100000000001</v>
      </c>
      <c r="AJ13" s="32">
        <f t="shared" si="1"/>
        <v>0.31870966666666667</v>
      </c>
      <c r="AK13" s="32">
        <f t="shared" si="0"/>
        <v>0.31870966666666667</v>
      </c>
      <c r="AL13" s="32">
        <f t="shared" si="0"/>
        <v>0.31870966666666667</v>
      </c>
    </row>
    <row r="14" spans="1:142" x14ac:dyDescent="0.2">
      <c r="B14" s="32">
        <v>1</v>
      </c>
      <c r="C14" s="32">
        <v>1</v>
      </c>
      <c r="D14" s="32">
        <v>1</v>
      </c>
      <c r="E14" s="32">
        <f>FPS!G3</f>
        <v>0.98153299999999988</v>
      </c>
      <c r="F14" s="32">
        <f>FPS!G4</f>
        <v>0.93659899999999996</v>
      </c>
      <c r="G14" s="32">
        <f>FPS!G5</f>
        <v>0.92793600000000009</v>
      </c>
      <c r="H14" s="32">
        <f>FPS!G6</f>
        <v>0.90386499999999992</v>
      </c>
      <c r="I14" s="32">
        <f>FPS!G7</f>
        <v>0.73087500000000005</v>
      </c>
      <c r="J14" s="32">
        <f>FPS!G8</f>
        <v>0.71733499999999994</v>
      </c>
      <c r="K14" s="32">
        <f>FPS!G9</f>
        <v>0.64558800000000005</v>
      </c>
      <c r="L14" s="32">
        <f>FPS!G10</f>
        <v>0.65287700000000004</v>
      </c>
      <c r="M14" s="32">
        <f>FPS!G11</f>
        <v>0.56965100000000002</v>
      </c>
      <c r="N14" s="32">
        <f>FPS!G12</f>
        <v>0.62776900000000002</v>
      </c>
      <c r="O14" s="32">
        <f>FPS!G13</f>
        <v>0.43504099999999996</v>
      </c>
      <c r="P14" s="32">
        <f>FPS!G14</f>
        <v>0.499164</v>
      </c>
      <c r="Q14" s="32">
        <f>FPS!G15</f>
        <v>0.59591300000000003</v>
      </c>
      <c r="R14" s="32">
        <f>FPS!G16</f>
        <v>0.25400800000000001</v>
      </c>
      <c r="S14" s="32">
        <f>FPS!G17</f>
        <v>0</v>
      </c>
      <c r="T14" s="32">
        <f>FPS!G18</f>
        <v>0.201487</v>
      </c>
      <c r="U14" s="32">
        <f>FPS!G19</f>
        <v>0.37506400000000001</v>
      </c>
      <c r="V14" s="32">
        <f>FPS!G20</f>
        <v>0.29823699999999997</v>
      </c>
      <c r="W14" s="32">
        <f>FPS!G21</f>
        <v>8.4414000000000003E-2</v>
      </c>
      <c r="X14" s="32">
        <f>FPS!G22</f>
        <v>7.8909000000000007E-2</v>
      </c>
      <c r="Y14" s="32">
        <f>FPS!G23</f>
        <v>0.29974699999999999</v>
      </c>
      <c r="Z14" s="32">
        <f>FPS!G24</f>
        <v>0.20691100000000001</v>
      </c>
      <c r="AA14" s="32">
        <f>FPS!G25</f>
        <v>0.269237</v>
      </c>
      <c r="AB14" s="32">
        <f>FPS!G26</f>
        <v>0.37848700000000002</v>
      </c>
      <c r="AC14" s="32">
        <f>FPS!G27</f>
        <v>0.381023</v>
      </c>
      <c r="AD14" s="32">
        <f>FPS!G28</f>
        <v>0.356512</v>
      </c>
      <c r="AE14" s="32">
        <f>FPS!G29</f>
        <v>0.25494499999999998</v>
      </c>
      <c r="AF14" s="32">
        <f>FPS!G30</f>
        <v>0.52383000000000002</v>
      </c>
      <c r="AG14" s="32">
        <f>FPS!G31</f>
        <v>0.31394</v>
      </c>
      <c r="AH14" s="32">
        <f>FPS!G32</f>
        <v>0.294348</v>
      </c>
      <c r="AI14" s="32">
        <f>FPS!G33</f>
        <v>0.34784100000000001</v>
      </c>
      <c r="AJ14" s="32">
        <f t="shared" si="1"/>
        <v>0.31870966666666667</v>
      </c>
      <c r="AK14" s="32">
        <f t="shared" si="0"/>
        <v>0.31870966666666667</v>
      </c>
      <c r="AL14" s="32">
        <f t="shared" si="0"/>
        <v>0.31870966666666667</v>
      </c>
    </row>
    <row r="15" spans="1:142" x14ac:dyDescent="0.2">
      <c r="B15" s="32">
        <v>1</v>
      </c>
      <c r="C15" s="32">
        <v>1</v>
      </c>
      <c r="D15" s="32">
        <v>1</v>
      </c>
      <c r="E15" s="32">
        <f>FPS!H3</f>
        <v>0.98153299999999999</v>
      </c>
      <c r="F15" s="32">
        <f>FPS!H4</f>
        <v>0.93659899999999996</v>
      </c>
      <c r="G15" s="32">
        <f>FPS!H5</f>
        <v>0.92793599999999998</v>
      </c>
      <c r="H15" s="32">
        <f>FPS!H6</f>
        <v>0.90386500000000003</v>
      </c>
      <c r="I15" s="32">
        <f>FPS!H7</f>
        <v>0.73087500000000005</v>
      </c>
      <c r="J15" s="32">
        <f>FPS!H8</f>
        <v>0.71733499999999994</v>
      </c>
      <c r="K15" s="32">
        <f>FPS!H9</f>
        <v>0.64558800000000005</v>
      </c>
      <c r="L15" s="32">
        <f>FPS!H10</f>
        <v>0.65287700000000004</v>
      </c>
      <c r="M15" s="32">
        <f>FPS!H11</f>
        <v>0.56965100000000002</v>
      </c>
      <c r="N15" s="32">
        <f>FPS!H12</f>
        <v>0.62776900000000002</v>
      </c>
      <c r="O15" s="32">
        <f>FPS!H13</f>
        <v>0.43504100000000001</v>
      </c>
      <c r="P15" s="32">
        <f>FPS!H14</f>
        <v>0.499164</v>
      </c>
      <c r="Q15" s="32">
        <f>FPS!H15</f>
        <v>0.59591300000000003</v>
      </c>
      <c r="R15" s="32">
        <f>FPS!H16</f>
        <v>0.25400800000000001</v>
      </c>
      <c r="S15" s="32">
        <f>FPS!H17</f>
        <v>0</v>
      </c>
      <c r="T15" s="32">
        <f>FPS!H18</f>
        <v>0.20148700000000003</v>
      </c>
      <c r="U15" s="32">
        <f>FPS!H19</f>
        <v>0.37506400000000006</v>
      </c>
      <c r="V15" s="32">
        <f>FPS!H20</f>
        <v>0.29823699999999997</v>
      </c>
      <c r="W15" s="32">
        <f>FPS!H21</f>
        <v>8.4414000000000003E-2</v>
      </c>
      <c r="X15" s="32">
        <f>FPS!H22</f>
        <v>7.8909000000000007E-2</v>
      </c>
      <c r="Y15" s="32">
        <f>FPS!H23</f>
        <v>0.29974699999999999</v>
      </c>
      <c r="Z15" s="32">
        <f>FPS!H24</f>
        <v>0.20691100000000001</v>
      </c>
      <c r="AA15" s="32">
        <f>FPS!H25</f>
        <v>0.269237</v>
      </c>
      <c r="AB15" s="32">
        <f>FPS!H26</f>
        <v>0.37848700000000007</v>
      </c>
      <c r="AC15" s="32">
        <f>FPS!H27</f>
        <v>0.38102299999999995</v>
      </c>
      <c r="AD15" s="32">
        <f>FPS!H28</f>
        <v>0.356512</v>
      </c>
      <c r="AE15" s="32">
        <f>FPS!H29</f>
        <v>0.25494499999999998</v>
      </c>
      <c r="AF15" s="32">
        <f>FPS!H30</f>
        <v>0.52383000000000002</v>
      </c>
      <c r="AG15" s="32">
        <f>FPS!H31</f>
        <v>0.31394</v>
      </c>
      <c r="AH15" s="32">
        <f>FPS!H32</f>
        <v>0.294348</v>
      </c>
      <c r="AI15" s="32">
        <f>FPS!H33</f>
        <v>0.34784100000000001</v>
      </c>
      <c r="AJ15" s="32">
        <f t="shared" si="1"/>
        <v>0.31870966666666667</v>
      </c>
      <c r="AK15" s="32">
        <f t="shared" si="0"/>
        <v>0.31870966666666667</v>
      </c>
      <c r="AL15" s="32">
        <f t="shared" si="0"/>
        <v>0.31870966666666667</v>
      </c>
    </row>
    <row r="16" spans="1:142" x14ac:dyDescent="0.2">
      <c r="B16" s="32">
        <v>1</v>
      </c>
      <c r="C16" s="32">
        <v>1</v>
      </c>
      <c r="D16" s="32">
        <v>1</v>
      </c>
      <c r="E16" s="32">
        <f>FPS!I3</f>
        <v>0.9815330000000001</v>
      </c>
      <c r="F16" s="32">
        <f>FPS!I4</f>
        <v>0.93659899999999996</v>
      </c>
      <c r="G16" s="32">
        <f>FPS!I5</f>
        <v>0.92793599999999998</v>
      </c>
      <c r="H16" s="32">
        <f>FPS!I6</f>
        <v>0.90386500000000003</v>
      </c>
      <c r="I16" s="32">
        <f>FPS!I7</f>
        <v>0.73087500000000016</v>
      </c>
      <c r="J16" s="32">
        <f>FPS!I8</f>
        <v>0.71733499999999994</v>
      </c>
      <c r="K16" s="32">
        <f>FPS!I9</f>
        <v>0.64558800000000005</v>
      </c>
      <c r="L16" s="32">
        <f>FPS!I10</f>
        <v>0.65287700000000004</v>
      </c>
      <c r="M16" s="32">
        <f>FPS!I11</f>
        <v>0.56965100000000002</v>
      </c>
      <c r="N16" s="32">
        <f>FPS!I12</f>
        <v>0.62776900000000002</v>
      </c>
      <c r="O16" s="32">
        <f>FPS!I13</f>
        <v>0.43504100000000001</v>
      </c>
      <c r="P16" s="32">
        <f>FPS!I14</f>
        <v>0.499164</v>
      </c>
      <c r="Q16" s="32">
        <f>FPS!I15</f>
        <v>0.59591300000000003</v>
      </c>
      <c r="R16" s="32">
        <f>FPS!I16</f>
        <v>0.25400800000000001</v>
      </c>
      <c r="S16" s="32">
        <f>FPS!I17</f>
        <v>0</v>
      </c>
      <c r="T16" s="32">
        <f>FPS!I18</f>
        <v>0.201487</v>
      </c>
      <c r="U16" s="32">
        <f>FPS!I19</f>
        <v>0.37506400000000006</v>
      </c>
      <c r="V16" s="32">
        <f>FPS!I20</f>
        <v>0.29823699999999997</v>
      </c>
      <c r="W16" s="32">
        <f>FPS!I21</f>
        <v>8.4414000000000003E-2</v>
      </c>
      <c r="X16" s="32">
        <f>FPS!I22</f>
        <v>7.8909000000000007E-2</v>
      </c>
      <c r="Y16" s="32">
        <f>FPS!I23</f>
        <v>0.29974699999999999</v>
      </c>
      <c r="Z16" s="32">
        <f>FPS!I24</f>
        <v>0.20691100000000001</v>
      </c>
      <c r="AA16" s="32">
        <f>FPS!I25</f>
        <v>0.269237</v>
      </c>
      <c r="AB16" s="32">
        <f>FPS!I26</f>
        <v>0.37848700000000002</v>
      </c>
      <c r="AC16" s="32">
        <f>FPS!I27</f>
        <v>0.38102299999999995</v>
      </c>
      <c r="AD16" s="32">
        <f>FPS!I28</f>
        <v>0.356512</v>
      </c>
      <c r="AE16" s="32">
        <f>FPS!I29</f>
        <v>0.25494499999999998</v>
      </c>
      <c r="AF16" s="32">
        <f>FPS!I30</f>
        <v>0.52383000000000002</v>
      </c>
      <c r="AG16" s="32">
        <f>FPS!I31</f>
        <v>0.31394</v>
      </c>
      <c r="AH16" s="32">
        <f>FPS!I32</f>
        <v>0.294348</v>
      </c>
      <c r="AI16" s="32">
        <f>FPS!I33</f>
        <v>0.34784100000000001</v>
      </c>
      <c r="AJ16" s="32">
        <f t="shared" si="1"/>
        <v>0.31870966666666667</v>
      </c>
      <c r="AK16" s="32">
        <f t="shared" si="0"/>
        <v>0.31870966666666667</v>
      </c>
      <c r="AL16" s="32">
        <f t="shared" si="0"/>
        <v>0.31870966666666667</v>
      </c>
    </row>
    <row r="17" spans="1:38" x14ac:dyDescent="0.2">
      <c r="A17" s="23">
        <v>3</v>
      </c>
      <c r="B17" s="32">
        <v>1</v>
      </c>
      <c r="C17" s="32">
        <v>1</v>
      </c>
      <c r="D17" s="32">
        <v>1</v>
      </c>
      <c r="E17" s="32">
        <f>FPS!J3</f>
        <v>0.98153299999999999</v>
      </c>
      <c r="F17" s="32">
        <f>FPS!J4</f>
        <v>0.93659899999999996</v>
      </c>
      <c r="G17" s="32">
        <f>FPS!J5</f>
        <v>0.92793600000000009</v>
      </c>
      <c r="H17" s="32">
        <f>FPS!J6</f>
        <v>0.90386500000000003</v>
      </c>
      <c r="I17" s="32">
        <f>FPS!J7</f>
        <v>0.73087500000000005</v>
      </c>
      <c r="J17" s="32">
        <f>FPS!J8</f>
        <v>0.71733499999999994</v>
      </c>
      <c r="K17" s="32">
        <f>FPS!J9</f>
        <v>0.64558800000000005</v>
      </c>
      <c r="L17" s="32">
        <f>FPS!J10</f>
        <v>0.65287700000000004</v>
      </c>
      <c r="M17" s="32">
        <f>FPS!J11</f>
        <v>0.56965100000000002</v>
      </c>
      <c r="N17" s="32">
        <f>FPS!J12</f>
        <v>0.62776900000000002</v>
      </c>
      <c r="O17" s="32">
        <f>FPS!J13</f>
        <v>0.43504100000000001</v>
      </c>
      <c r="P17" s="32">
        <f>FPS!J14</f>
        <v>0.499164</v>
      </c>
      <c r="Q17" s="32">
        <f>FPS!J15</f>
        <v>0.59591300000000003</v>
      </c>
      <c r="R17" s="32">
        <f>FPS!J16</f>
        <v>0.25400800000000001</v>
      </c>
      <c r="S17" s="32">
        <f>FPS!J17</f>
        <v>0</v>
      </c>
      <c r="T17" s="32">
        <f>FPS!J18</f>
        <v>0.201487</v>
      </c>
      <c r="U17" s="32">
        <f>FPS!J19</f>
        <v>0.37506400000000001</v>
      </c>
      <c r="V17" s="32">
        <f>FPS!J20</f>
        <v>0.29823699999999997</v>
      </c>
      <c r="W17" s="32">
        <f>FPS!J21</f>
        <v>8.4414000000000003E-2</v>
      </c>
      <c r="X17" s="32">
        <f>FPS!J22</f>
        <v>7.8909000000000007E-2</v>
      </c>
      <c r="Y17" s="32">
        <f>FPS!J23</f>
        <v>0.29974699999999999</v>
      </c>
      <c r="Z17" s="32">
        <f>FPS!J24</f>
        <v>0.20691099999999998</v>
      </c>
      <c r="AA17" s="32">
        <f>FPS!J25</f>
        <v>0.269237</v>
      </c>
      <c r="AB17" s="32">
        <f>FPS!J26</f>
        <v>0.37848700000000002</v>
      </c>
      <c r="AC17" s="32">
        <f>FPS!J27</f>
        <v>0.38102300000000006</v>
      </c>
      <c r="AD17" s="32">
        <f>FPS!J28</f>
        <v>0.356512</v>
      </c>
      <c r="AE17" s="32">
        <f>FPS!J29</f>
        <v>0.25494499999999998</v>
      </c>
      <c r="AF17" s="32">
        <f>FPS!J30</f>
        <v>0.52383000000000002</v>
      </c>
      <c r="AG17" s="32">
        <f>FPS!J31</f>
        <v>0.31394</v>
      </c>
      <c r="AH17" s="32">
        <f>FPS!J32</f>
        <v>0.294348</v>
      </c>
      <c r="AI17" s="32">
        <f>FPS!J33</f>
        <v>0.34784100000000001</v>
      </c>
      <c r="AJ17" s="32">
        <f t="shared" si="1"/>
        <v>0.31870966666666667</v>
      </c>
      <c r="AK17" s="32">
        <f t="shared" si="0"/>
        <v>0.31870966666666667</v>
      </c>
      <c r="AL17" s="32">
        <f t="shared" si="0"/>
        <v>0.31870966666666667</v>
      </c>
    </row>
    <row r="18" spans="1:38" x14ac:dyDescent="0.2">
      <c r="B18" s="32">
        <v>1</v>
      </c>
      <c r="C18" s="32">
        <v>1</v>
      </c>
      <c r="D18" s="32">
        <v>1</v>
      </c>
      <c r="E18" s="32">
        <f>FPS!K3</f>
        <v>0</v>
      </c>
      <c r="F18" s="32">
        <f>FPS!K4</f>
        <v>0</v>
      </c>
      <c r="G18" s="32">
        <f>FPS!K5</f>
        <v>0</v>
      </c>
      <c r="H18" s="32">
        <f>FPS!K6</f>
        <v>0</v>
      </c>
      <c r="I18" s="32">
        <f>FPS!K7</f>
        <v>0</v>
      </c>
      <c r="J18" s="32">
        <f>FPS!K8</f>
        <v>0</v>
      </c>
      <c r="K18" s="32">
        <f>FPS!K9</f>
        <v>0</v>
      </c>
      <c r="L18" s="32">
        <f>FPS!K10</f>
        <v>0</v>
      </c>
      <c r="M18" s="32">
        <f>FPS!K11</f>
        <v>0</v>
      </c>
      <c r="N18" s="32">
        <f>FPS!K12</f>
        <v>0</v>
      </c>
      <c r="O18" s="32">
        <f>FPS!K13</f>
        <v>0</v>
      </c>
      <c r="P18" s="32">
        <f>FPS!K14</f>
        <v>0</v>
      </c>
      <c r="Q18" s="32">
        <f>FPS!K15</f>
        <v>0</v>
      </c>
      <c r="R18" s="32">
        <f>FPS!K16</f>
        <v>0</v>
      </c>
      <c r="S18" s="32">
        <f>FPS!K17</f>
        <v>0</v>
      </c>
      <c r="T18" s="32">
        <f>FPS!K18</f>
        <v>0</v>
      </c>
      <c r="U18" s="32">
        <f>FPS!K19</f>
        <v>0</v>
      </c>
      <c r="V18" s="32">
        <f>FPS!K20</f>
        <v>0</v>
      </c>
      <c r="W18" s="32">
        <f>FPS!K21</f>
        <v>0</v>
      </c>
      <c r="X18" s="32">
        <f>FPS!K22</f>
        <v>0</v>
      </c>
      <c r="Y18" s="32">
        <f>FPS!K23</f>
        <v>0</v>
      </c>
      <c r="Z18" s="32">
        <f>FPS!K24</f>
        <v>0</v>
      </c>
      <c r="AA18" s="32">
        <f>FPS!K25</f>
        <v>0</v>
      </c>
      <c r="AB18" s="32">
        <f>FPS!K26</f>
        <v>0</v>
      </c>
      <c r="AC18" s="32">
        <f>FPS!K27</f>
        <v>0</v>
      </c>
      <c r="AD18" s="32">
        <f>FPS!K28</f>
        <v>0</v>
      </c>
      <c r="AE18" s="32">
        <f>FPS!K29</f>
        <v>0</v>
      </c>
      <c r="AF18" s="32">
        <f>FPS!K30</f>
        <v>0</v>
      </c>
      <c r="AG18" s="32">
        <f>FPS!K31</f>
        <v>0</v>
      </c>
      <c r="AH18" s="32">
        <f>FPS!K32</f>
        <v>0</v>
      </c>
      <c r="AI18" s="32">
        <f>FPS!K33</f>
        <v>0</v>
      </c>
      <c r="AJ18" s="32">
        <f t="shared" si="1"/>
        <v>0</v>
      </c>
      <c r="AK18" s="32">
        <f t="shared" si="0"/>
        <v>0</v>
      </c>
      <c r="AL18" s="32">
        <f t="shared" si="0"/>
        <v>0</v>
      </c>
    </row>
    <row r="19" spans="1:38" x14ac:dyDescent="0.2">
      <c r="B19" s="32">
        <v>1</v>
      </c>
      <c r="C19" s="32">
        <v>1</v>
      </c>
      <c r="D19" s="32">
        <v>1</v>
      </c>
      <c r="E19" s="32">
        <f>FPS!L3</f>
        <v>0.98153299999999999</v>
      </c>
      <c r="F19" s="32">
        <f>FPS!L4</f>
        <v>0.93659899999999996</v>
      </c>
      <c r="G19" s="32">
        <f>FPS!L5</f>
        <v>0.92793599999999998</v>
      </c>
      <c r="H19" s="32">
        <f>FPS!L6</f>
        <v>0.90386500000000003</v>
      </c>
      <c r="I19" s="32">
        <f>FPS!L7</f>
        <v>0.73087500000000005</v>
      </c>
      <c r="J19" s="32">
        <f>FPS!L8</f>
        <v>0.71733499999999994</v>
      </c>
      <c r="K19" s="32">
        <f>FPS!L9</f>
        <v>0.64558800000000005</v>
      </c>
      <c r="L19" s="32">
        <f>FPS!L10</f>
        <v>0.65287700000000004</v>
      </c>
      <c r="M19" s="32">
        <f>FPS!L11</f>
        <v>0.56965100000000002</v>
      </c>
      <c r="N19" s="32">
        <f>FPS!L12</f>
        <v>0.62776900000000002</v>
      </c>
      <c r="O19" s="32">
        <f>FPS!L13</f>
        <v>0.43504100000000001</v>
      </c>
      <c r="P19" s="32">
        <f>FPS!L14</f>
        <v>0.499164</v>
      </c>
      <c r="Q19" s="32">
        <f>FPS!L15</f>
        <v>0.59591300000000003</v>
      </c>
      <c r="R19" s="32">
        <f>FPS!L16</f>
        <v>0.25400800000000001</v>
      </c>
      <c r="S19" s="32">
        <f>FPS!L17</f>
        <v>0</v>
      </c>
      <c r="T19" s="32">
        <f>FPS!L18</f>
        <v>0.201487</v>
      </c>
      <c r="U19" s="32">
        <f>FPS!L19</f>
        <v>0.37506400000000001</v>
      </c>
      <c r="V19" s="32">
        <f>FPS!L20</f>
        <v>0.29823699999999997</v>
      </c>
      <c r="W19" s="32">
        <f>FPS!L21</f>
        <v>8.4414000000000003E-2</v>
      </c>
      <c r="X19" s="32">
        <f>FPS!L22</f>
        <v>7.8909000000000007E-2</v>
      </c>
      <c r="Y19" s="32">
        <f>FPS!L23</f>
        <v>0.29974699999999999</v>
      </c>
      <c r="Z19" s="32">
        <f>FPS!L24</f>
        <v>0.20691100000000001</v>
      </c>
      <c r="AA19" s="32">
        <f>FPS!L25</f>
        <v>0.269237</v>
      </c>
      <c r="AB19" s="32">
        <f>FPS!L26</f>
        <v>0.37848700000000007</v>
      </c>
      <c r="AC19" s="32">
        <f>FPS!L27</f>
        <v>0.381023</v>
      </c>
      <c r="AD19" s="32">
        <f>FPS!L28</f>
        <v>0.35651199999999994</v>
      </c>
      <c r="AE19" s="32">
        <f>FPS!L29</f>
        <v>0.25494499999999998</v>
      </c>
      <c r="AF19" s="32">
        <f>FPS!L30</f>
        <v>0.52383000000000002</v>
      </c>
      <c r="AG19" s="32">
        <f>FPS!L31</f>
        <v>0.31394</v>
      </c>
      <c r="AH19" s="32">
        <f>FPS!L32</f>
        <v>0.294348</v>
      </c>
      <c r="AI19" s="32">
        <f>FPS!L33</f>
        <v>0.34784100000000001</v>
      </c>
      <c r="AJ19" s="32">
        <f t="shared" si="1"/>
        <v>0.31870966666666667</v>
      </c>
      <c r="AK19" s="32">
        <f t="shared" si="0"/>
        <v>0.31870966666666667</v>
      </c>
      <c r="AL19" s="32">
        <f t="shared" si="0"/>
        <v>0.31870966666666667</v>
      </c>
    </row>
    <row r="20" spans="1:38" x14ac:dyDescent="0.2">
      <c r="B20" s="32">
        <v>1</v>
      </c>
      <c r="C20" s="32">
        <v>1</v>
      </c>
      <c r="D20" s="32">
        <v>1</v>
      </c>
      <c r="E20" s="32">
        <f>FPS!M3</f>
        <v>0.98153299999999999</v>
      </c>
      <c r="F20" s="32">
        <f>FPS!M4</f>
        <v>0.93659899999999996</v>
      </c>
      <c r="G20" s="32">
        <f>FPS!M5</f>
        <v>0.92793599999999998</v>
      </c>
      <c r="H20" s="32">
        <f>FPS!M6</f>
        <v>0.90386500000000003</v>
      </c>
      <c r="I20" s="32">
        <f>FPS!M7</f>
        <v>0.73087500000000005</v>
      </c>
      <c r="J20" s="32">
        <f>FPS!M8</f>
        <v>0.71733499999999994</v>
      </c>
      <c r="K20" s="32">
        <f>FPS!M9</f>
        <v>0.64558800000000005</v>
      </c>
      <c r="L20" s="32">
        <f>FPS!M10</f>
        <v>0.65287700000000004</v>
      </c>
      <c r="M20" s="32">
        <f>FPS!M11</f>
        <v>0.56965100000000002</v>
      </c>
      <c r="N20" s="32">
        <f>FPS!M12</f>
        <v>0.62776900000000002</v>
      </c>
      <c r="O20" s="32">
        <f>FPS!M13</f>
        <v>0.43504100000000001</v>
      </c>
      <c r="P20" s="32">
        <f>FPS!M14</f>
        <v>0.49916400000000005</v>
      </c>
      <c r="Q20" s="32">
        <f>FPS!M15</f>
        <v>0.59591300000000003</v>
      </c>
      <c r="R20" s="32">
        <f>FPS!M16</f>
        <v>0.25400800000000001</v>
      </c>
      <c r="S20" s="32">
        <f>FPS!M17</f>
        <v>0</v>
      </c>
      <c r="T20" s="32">
        <f>FPS!M18</f>
        <v>0.201487</v>
      </c>
      <c r="U20" s="32">
        <f>FPS!M19</f>
        <v>0.37506400000000001</v>
      </c>
      <c r="V20" s="32">
        <f>FPS!M20</f>
        <v>0.29823699999999997</v>
      </c>
      <c r="W20" s="32">
        <f>FPS!M21</f>
        <v>8.4414000000000003E-2</v>
      </c>
      <c r="X20" s="32">
        <f>FPS!M22</f>
        <v>7.8909000000000007E-2</v>
      </c>
      <c r="Y20" s="32">
        <f>FPS!M23</f>
        <v>0.29974699999999999</v>
      </c>
      <c r="Z20" s="32">
        <f>FPS!M24</f>
        <v>0.20691100000000001</v>
      </c>
      <c r="AA20" s="32">
        <f>FPS!M25</f>
        <v>0.269237</v>
      </c>
      <c r="AB20" s="32">
        <f>FPS!M26</f>
        <v>0.37848700000000002</v>
      </c>
      <c r="AC20" s="32">
        <f>FPS!M27</f>
        <v>0.381023</v>
      </c>
      <c r="AD20" s="32">
        <f>FPS!M28</f>
        <v>0.356512</v>
      </c>
      <c r="AE20" s="32">
        <f>FPS!M29</f>
        <v>0.25494499999999998</v>
      </c>
      <c r="AF20" s="32">
        <f>FPS!M30</f>
        <v>0.52383000000000002</v>
      </c>
      <c r="AG20" s="32">
        <f>FPS!M31</f>
        <v>0.31394</v>
      </c>
      <c r="AH20" s="32">
        <f>FPS!M32</f>
        <v>0.294348</v>
      </c>
      <c r="AI20" s="32">
        <f>FPS!M33</f>
        <v>0.34784100000000001</v>
      </c>
      <c r="AJ20" s="32">
        <f t="shared" si="1"/>
        <v>0.31870966666666667</v>
      </c>
      <c r="AK20" s="32">
        <f t="shared" si="0"/>
        <v>0.31870966666666667</v>
      </c>
      <c r="AL20" s="32">
        <f t="shared" si="0"/>
        <v>0.31870966666666667</v>
      </c>
    </row>
    <row r="21" spans="1:38" x14ac:dyDescent="0.2">
      <c r="A21" s="23">
        <v>4</v>
      </c>
      <c r="B21" s="32">
        <v>1</v>
      </c>
      <c r="C21" s="32">
        <v>1</v>
      </c>
      <c r="D21" s="32">
        <v>1</v>
      </c>
      <c r="E21" s="32">
        <f>FPS!N3</f>
        <v>0.98153299999999999</v>
      </c>
      <c r="F21" s="32">
        <f>FPS!N4</f>
        <v>0.93659899999999985</v>
      </c>
      <c r="G21" s="32">
        <f>FPS!N5</f>
        <v>0.92793599999999998</v>
      </c>
      <c r="H21" s="32">
        <f>FPS!N6</f>
        <v>0.90386500000000014</v>
      </c>
      <c r="I21" s="32">
        <f>FPS!N7</f>
        <v>0.73087500000000005</v>
      </c>
      <c r="J21" s="32">
        <f>FPS!N8</f>
        <v>0.71733499999999983</v>
      </c>
      <c r="K21" s="32">
        <f>FPS!N9</f>
        <v>0.64558800000000005</v>
      </c>
      <c r="L21" s="32">
        <f>FPS!N10</f>
        <v>0.65287700000000004</v>
      </c>
      <c r="M21" s="32">
        <f>FPS!N11</f>
        <v>0.56965100000000002</v>
      </c>
      <c r="N21" s="32">
        <f>FPS!N12</f>
        <v>0.62776900000000002</v>
      </c>
      <c r="O21" s="32">
        <f>FPS!N13</f>
        <v>0.43504100000000001</v>
      </c>
      <c r="P21" s="32">
        <f>FPS!N14</f>
        <v>0.49916399999999994</v>
      </c>
      <c r="Q21" s="32">
        <f>FPS!N15</f>
        <v>0.59591300000000003</v>
      </c>
      <c r="R21" s="32">
        <f>FPS!N16</f>
        <v>0.25400800000000001</v>
      </c>
      <c r="S21" s="32">
        <f>FPS!N17</f>
        <v>0</v>
      </c>
      <c r="T21" s="32">
        <f>FPS!N18</f>
        <v>0.20148700000000003</v>
      </c>
      <c r="U21" s="32">
        <f>FPS!N19</f>
        <v>0.37506400000000001</v>
      </c>
      <c r="V21" s="32">
        <f>FPS!N20</f>
        <v>0.29823699999999997</v>
      </c>
      <c r="W21" s="32">
        <f>FPS!N21</f>
        <v>8.4414000000000003E-2</v>
      </c>
      <c r="X21" s="32">
        <f>FPS!N22</f>
        <v>7.8909000000000007E-2</v>
      </c>
      <c r="Y21" s="32">
        <f>FPS!N23</f>
        <v>0.29974699999999999</v>
      </c>
      <c r="Z21" s="32">
        <f>FPS!N24</f>
        <v>0.20691100000000001</v>
      </c>
      <c r="AA21" s="32">
        <f>FPS!N25</f>
        <v>0.269237</v>
      </c>
      <c r="AB21" s="32">
        <f>FPS!N26</f>
        <v>0.37848700000000002</v>
      </c>
      <c r="AC21" s="32">
        <f>FPS!N27</f>
        <v>0.381023</v>
      </c>
      <c r="AD21" s="32">
        <f>FPS!N28</f>
        <v>0.356512</v>
      </c>
      <c r="AE21" s="32">
        <f>FPS!N29</f>
        <v>0.25494499999999998</v>
      </c>
      <c r="AF21" s="32">
        <f>FPS!N30</f>
        <v>0.52383000000000002</v>
      </c>
      <c r="AG21" s="32">
        <f>FPS!N31</f>
        <v>0.31394</v>
      </c>
      <c r="AH21" s="32">
        <f>FPS!N32</f>
        <v>0.294348</v>
      </c>
      <c r="AI21" s="32">
        <f>FPS!N33</f>
        <v>0.34784100000000001</v>
      </c>
      <c r="AJ21" s="32">
        <f t="shared" si="1"/>
        <v>0.31870966666666667</v>
      </c>
      <c r="AK21" s="32">
        <f t="shared" si="0"/>
        <v>0.31870966666666667</v>
      </c>
      <c r="AL21" s="32">
        <f t="shared" si="0"/>
        <v>0.31870966666666667</v>
      </c>
    </row>
    <row r="22" spans="1:38" x14ac:dyDescent="0.2">
      <c r="B22" s="32">
        <v>1</v>
      </c>
      <c r="C22" s="32">
        <v>1</v>
      </c>
      <c r="D22" s="32">
        <v>1</v>
      </c>
      <c r="E22" s="32">
        <f>FPS!O3</f>
        <v>0.98153299999999999</v>
      </c>
      <c r="F22" s="32">
        <f>FPS!O4</f>
        <v>0.93659899999999996</v>
      </c>
      <c r="G22" s="32">
        <f>FPS!O5</f>
        <v>0.92793599999999998</v>
      </c>
      <c r="H22" s="32">
        <f>FPS!O6</f>
        <v>0.90386499999999992</v>
      </c>
      <c r="I22" s="32">
        <f>FPS!O7</f>
        <v>0.73087500000000005</v>
      </c>
      <c r="J22" s="32">
        <f>FPS!O8</f>
        <v>0.71733499999999994</v>
      </c>
      <c r="K22" s="32">
        <f>FPS!O9</f>
        <v>0.64558800000000005</v>
      </c>
      <c r="L22" s="32">
        <f>FPS!O10</f>
        <v>0.65287700000000004</v>
      </c>
      <c r="M22" s="32">
        <f>FPS!O11</f>
        <v>0.56965100000000002</v>
      </c>
      <c r="N22" s="32">
        <f>FPS!O12</f>
        <v>0.62776900000000002</v>
      </c>
      <c r="O22" s="32">
        <f>FPS!O13</f>
        <v>0.43504100000000001</v>
      </c>
      <c r="P22" s="32">
        <f>FPS!O14</f>
        <v>0.499164</v>
      </c>
      <c r="Q22" s="32">
        <f>FPS!O15</f>
        <v>0.59591300000000003</v>
      </c>
      <c r="R22" s="32">
        <f>FPS!O16</f>
        <v>0.25400800000000001</v>
      </c>
      <c r="S22" s="32">
        <f>FPS!O17</f>
        <v>0</v>
      </c>
      <c r="T22" s="32">
        <f>FPS!O18</f>
        <v>0.201487</v>
      </c>
      <c r="U22" s="32">
        <f>FPS!O19</f>
        <v>0.37506400000000001</v>
      </c>
      <c r="V22" s="32">
        <f>FPS!O20</f>
        <v>0.29823699999999997</v>
      </c>
      <c r="W22" s="32">
        <f>FPS!O21</f>
        <v>8.4414000000000003E-2</v>
      </c>
      <c r="X22" s="32">
        <f>FPS!O22</f>
        <v>7.8909000000000007E-2</v>
      </c>
      <c r="Y22" s="32">
        <f>FPS!O23</f>
        <v>0.29974699999999999</v>
      </c>
      <c r="Z22" s="32">
        <f>FPS!O24</f>
        <v>0.20691100000000001</v>
      </c>
      <c r="AA22" s="32">
        <f>FPS!O25</f>
        <v>0.269237</v>
      </c>
      <c r="AB22" s="32">
        <f>FPS!O26</f>
        <v>0.37848700000000002</v>
      </c>
      <c r="AC22" s="32">
        <f>FPS!O27</f>
        <v>0.381023</v>
      </c>
      <c r="AD22" s="32">
        <f>FPS!O28</f>
        <v>0.356512</v>
      </c>
      <c r="AE22" s="32">
        <f>FPS!O29</f>
        <v>0.25494499999999998</v>
      </c>
      <c r="AF22" s="32">
        <f>FPS!O30</f>
        <v>0.52383000000000002</v>
      </c>
      <c r="AG22" s="32">
        <f>FPS!O31</f>
        <v>0.31394</v>
      </c>
      <c r="AH22" s="32">
        <f>FPS!O32</f>
        <v>0.294348</v>
      </c>
      <c r="AI22" s="32">
        <f>FPS!O33</f>
        <v>0.34784100000000001</v>
      </c>
      <c r="AJ22" s="32">
        <f t="shared" si="1"/>
        <v>0.31870966666666667</v>
      </c>
      <c r="AK22" s="32">
        <f t="shared" si="0"/>
        <v>0.31870966666666667</v>
      </c>
      <c r="AL22" s="32">
        <f t="shared" si="0"/>
        <v>0.31870966666666667</v>
      </c>
    </row>
    <row r="23" spans="1:38" x14ac:dyDescent="0.2">
      <c r="B23" s="32">
        <v>1</v>
      </c>
      <c r="C23" s="32">
        <v>1</v>
      </c>
      <c r="D23" s="32">
        <v>1</v>
      </c>
      <c r="E23" s="32">
        <f>FPS!P3</f>
        <v>0.98153299999999999</v>
      </c>
      <c r="F23" s="32">
        <f>FPS!P4</f>
        <v>0.93659899999999996</v>
      </c>
      <c r="G23" s="32">
        <f>FPS!P5</f>
        <v>0.92793599999999998</v>
      </c>
      <c r="H23" s="32">
        <f>FPS!P6</f>
        <v>0.90386500000000003</v>
      </c>
      <c r="I23" s="32">
        <f>FPS!P7</f>
        <v>0.73087500000000005</v>
      </c>
      <c r="J23" s="32">
        <f>FPS!P8</f>
        <v>0.71733499999999994</v>
      </c>
      <c r="K23" s="32">
        <f>FPS!P9</f>
        <v>0.64558800000000005</v>
      </c>
      <c r="L23" s="32">
        <f>FPS!P10</f>
        <v>0.65287700000000004</v>
      </c>
      <c r="M23" s="32">
        <f>FPS!P11</f>
        <v>0.56965100000000002</v>
      </c>
      <c r="N23" s="32">
        <f>FPS!P12</f>
        <v>0.62776900000000002</v>
      </c>
      <c r="O23" s="32">
        <f>FPS!P13</f>
        <v>0.43504100000000001</v>
      </c>
      <c r="P23" s="32">
        <f>FPS!P14</f>
        <v>0.499164</v>
      </c>
      <c r="Q23" s="32">
        <f>FPS!P15</f>
        <v>0.59591300000000003</v>
      </c>
      <c r="R23" s="32">
        <f>FPS!P16</f>
        <v>0.25400800000000001</v>
      </c>
      <c r="S23" s="32">
        <f>FPS!P17</f>
        <v>0</v>
      </c>
      <c r="T23" s="32">
        <f>FPS!P18</f>
        <v>0.201487</v>
      </c>
      <c r="U23" s="32">
        <f>FPS!P19</f>
        <v>0.37506400000000001</v>
      </c>
      <c r="V23" s="32">
        <f>FPS!P20</f>
        <v>0.29823699999999997</v>
      </c>
      <c r="W23" s="32">
        <f>FPS!P21</f>
        <v>8.4414000000000003E-2</v>
      </c>
      <c r="X23" s="32">
        <f>FPS!P22</f>
        <v>7.8909000000000007E-2</v>
      </c>
      <c r="Y23" s="32">
        <f>FPS!P23</f>
        <v>0.29974699999999999</v>
      </c>
      <c r="Z23" s="32">
        <f>FPS!P24</f>
        <v>0.20691100000000001</v>
      </c>
      <c r="AA23" s="32">
        <f>FPS!P25</f>
        <v>0.269237</v>
      </c>
      <c r="AB23" s="32">
        <f>FPS!P26</f>
        <v>0.37848700000000002</v>
      </c>
      <c r="AC23" s="32">
        <f>FPS!P27</f>
        <v>0.381023</v>
      </c>
      <c r="AD23" s="32">
        <f>FPS!P28</f>
        <v>0.356512</v>
      </c>
      <c r="AE23" s="32">
        <f>FPS!P29</f>
        <v>0.25494499999999998</v>
      </c>
      <c r="AF23" s="32">
        <f>FPS!P30</f>
        <v>0.52383000000000002</v>
      </c>
      <c r="AG23" s="32">
        <f>FPS!P31</f>
        <v>0.31394</v>
      </c>
      <c r="AH23" s="32">
        <f>FPS!P32</f>
        <v>0.294348</v>
      </c>
      <c r="AI23" s="32">
        <f>FPS!P33</f>
        <v>0.34784100000000001</v>
      </c>
      <c r="AJ23" s="32">
        <f t="shared" si="1"/>
        <v>0.31870966666666667</v>
      </c>
      <c r="AK23" s="32">
        <f t="shared" si="0"/>
        <v>0.31870966666666667</v>
      </c>
      <c r="AL23" s="32">
        <f t="shared" si="0"/>
        <v>0.31870966666666667</v>
      </c>
    </row>
    <row r="24" spans="1:38" x14ac:dyDescent="0.2">
      <c r="B24" s="32">
        <v>1</v>
      </c>
      <c r="C24" s="32">
        <v>1</v>
      </c>
      <c r="D24" s="32">
        <v>1</v>
      </c>
      <c r="E24" s="32">
        <f>FPS!Q3</f>
        <v>0.98153299999999999</v>
      </c>
      <c r="F24" s="32">
        <f>FPS!Q4</f>
        <v>0.93659899999999996</v>
      </c>
      <c r="G24" s="32">
        <f>FPS!Q5</f>
        <v>0.92793599999999998</v>
      </c>
      <c r="H24" s="32">
        <f>FPS!Q6</f>
        <v>0.90386500000000014</v>
      </c>
      <c r="I24" s="32">
        <f>FPS!Q7</f>
        <v>0.73087500000000005</v>
      </c>
      <c r="J24" s="32">
        <f>FPS!Q8</f>
        <v>0.71733499999999994</v>
      </c>
      <c r="K24" s="32">
        <f>FPS!Q9</f>
        <v>0.64558800000000005</v>
      </c>
      <c r="L24" s="32">
        <f>FPS!Q10</f>
        <v>0.65287700000000004</v>
      </c>
      <c r="M24" s="32">
        <f>FPS!Q11</f>
        <v>0.56965100000000002</v>
      </c>
      <c r="N24" s="32">
        <f>FPS!Q12</f>
        <v>0.62776900000000002</v>
      </c>
      <c r="O24" s="32">
        <f>FPS!Q13</f>
        <v>0.43504100000000001</v>
      </c>
      <c r="P24" s="32">
        <f>FPS!Q14</f>
        <v>0.49916399999999994</v>
      </c>
      <c r="Q24" s="32">
        <f>FPS!Q15</f>
        <v>0.59591300000000003</v>
      </c>
      <c r="R24" s="32">
        <f>FPS!Q16</f>
        <v>0.25400800000000001</v>
      </c>
      <c r="S24" s="32">
        <f>FPS!Q17</f>
        <v>0</v>
      </c>
      <c r="T24" s="32">
        <f>FPS!Q18</f>
        <v>0.201487</v>
      </c>
      <c r="U24" s="32">
        <f>FPS!Q19</f>
        <v>0.37506400000000001</v>
      </c>
      <c r="V24" s="32">
        <f>FPS!Q20</f>
        <v>0.29823699999999997</v>
      </c>
      <c r="W24" s="32">
        <f>FPS!Q21</f>
        <v>8.4414000000000003E-2</v>
      </c>
      <c r="X24" s="32">
        <f>FPS!Q22</f>
        <v>7.8909000000000007E-2</v>
      </c>
      <c r="Y24" s="32">
        <f>FPS!Q23</f>
        <v>0.29974699999999999</v>
      </c>
      <c r="Z24" s="32">
        <f>FPS!Q24</f>
        <v>0.20691100000000001</v>
      </c>
      <c r="AA24" s="32">
        <f>FPS!Q25</f>
        <v>0.269237</v>
      </c>
      <c r="AB24" s="32">
        <f>FPS!Q26</f>
        <v>0.37848700000000002</v>
      </c>
      <c r="AC24" s="32">
        <f>FPS!Q27</f>
        <v>0.381023</v>
      </c>
      <c r="AD24" s="32">
        <f>FPS!Q28</f>
        <v>0.356512</v>
      </c>
      <c r="AE24" s="32">
        <f>FPS!Q29</f>
        <v>0.25494499999999998</v>
      </c>
      <c r="AF24" s="32">
        <f>FPS!Q30</f>
        <v>0.52383000000000002</v>
      </c>
      <c r="AG24" s="32">
        <f>FPS!Q31</f>
        <v>0.31394</v>
      </c>
      <c r="AH24" s="32">
        <f>FPS!Q32</f>
        <v>0.294348</v>
      </c>
      <c r="AI24" s="32">
        <f>FPS!Q33</f>
        <v>0.34784100000000001</v>
      </c>
      <c r="AJ24" s="32">
        <f t="shared" si="1"/>
        <v>0.31870966666666667</v>
      </c>
      <c r="AK24" s="32">
        <f t="shared" si="0"/>
        <v>0.31870966666666667</v>
      </c>
      <c r="AL24" s="32">
        <f t="shared" si="0"/>
        <v>0.31870966666666667</v>
      </c>
    </row>
    <row r="25" spans="1:38" x14ac:dyDescent="0.2">
      <c r="A25" s="23">
        <v>5</v>
      </c>
      <c r="B25" s="32">
        <v>1</v>
      </c>
      <c r="C25" s="32">
        <v>1</v>
      </c>
      <c r="D25" s="32">
        <v>1</v>
      </c>
      <c r="E25" s="32">
        <f>FPS!R3</f>
        <v>0</v>
      </c>
      <c r="F25" s="32">
        <f>FPS!R4</f>
        <v>0</v>
      </c>
      <c r="G25" s="32">
        <f>FPS!R5</f>
        <v>0</v>
      </c>
      <c r="H25" s="32">
        <f>FPS!R6</f>
        <v>0</v>
      </c>
      <c r="I25" s="32">
        <f>FPS!R7</f>
        <v>0</v>
      </c>
      <c r="J25" s="32">
        <f>FPS!R8</f>
        <v>0</v>
      </c>
      <c r="K25" s="32">
        <f>FPS!R9</f>
        <v>0</v>
      </c>
      <c r="L25" s="32">
        <f>FPS!R10</f>
        <v>0</v>
      </c>
      <c r="M25" s="32">
        <f>FPS!R11</f>
        <v>0</v>
      </c>
      <c r="N25" s="32">
        <f>FPS!R12</f>
        <v>0</v>
      </c>
      <c r="O25" s="32">
        <f>FPS!R13</f>
        <v>0</v>
      </c>
      <c r="P25" s="32">
        <f>FPS!R14</f>
        <v>0</v>
      </c>
      <c r="Q25" s="32">
        <f>FPS!R15</f>
        <v>0</v>
      </c>
      <c r="R25" s="32">
        <f>FPS!R16</f>
        <v>0</v>
      </c>
      <c r="S25" s="32">
        <f>FPS!R17</f>
        <v>0</v>
      </c>
      <c r="T25" s="32">
        <f>FPS!R18</f>
        <v>0</v>
      </c>
      <c r="U25" s="32">
        <f>FPS!R19</f>
        <v>0</v>
      </c>
      <c r="V25" s="32">
        <f>FPS!R20</f>
        <v>0</v>
      </c>
      <c r="W25" s="32">
        <f>FPS!R21</f>
        <v>0</v>
      </c>
      <c r="X25" s="32">
        <f>FPS!R22</f>
        <v>0</v>
      </c>
      <c r="Y25" s="32">
        <f>FPS!R23</f>
        <v>0</v>
      </c>
      <c r="Z25" s="32">
        <f>FPS!R24</f>
        <v>0</v>
      </c>
      <c r="AA25" s="32">
        <f>FPS!R25</f>
        <v>0</v>
      </c>
      <c r="AB25" s="32">
        <f>FPS!R26</f>
        <v>0</v>
      </c>
      <c r="AC25" s="32">
        <f>FPS!R27</f>
        <v>0</v>
      </c>
      <c r="AD25" s="32">
        <f>FPS!R28</f>
        <v>0</v>
      </c>
      <c r="AE25" s="32">
        <f>FPS!R29</f>
        <v>0</v>
      </c>
      <c r="AF25" s="32">
        <f>FPS!R30</f>
        <v>0</v>
      </c>
      <c r="AG25" s="32">
        <f>FPS!R31</f>
        <v>0</v>
      </c>
      <c r="AH25" s="32">
        <f>FPS!R32</f>
        <v>0</v>
      </c>
      <c r="AI25" s="32">
        <f>FPS!R33</f>
        <v>0</v>
      </c>
      <c r="AJ25" s="32">
        <f t="shared" si="1"/>
        <v>0</v>
      </c>
      <c r="AK25" s="32">
        <f t="shared" si="0"/>
        <v>0</v>
      </c>
      <c r="AL25" s="32">
        <f t="shared" si="0"/>
        <v>0</v>
      </c>
    </row>
    <row r="26" spans="1:38" x14ac:dyDescent="0.2">
      <c r="B26" s="32">
        <v>1</v>
      </c>
      <c r="C26" s="32">
        <v>1</v>
      </c>
      <c r="D26" s="32">
        <v>1</v>
      </c>
      <c r="E26" s="32">
        <f>FPS!S3</f>
        <v>0</v>
      </c>
      <c r="F26" s="32">
        <f>FPS!S4</f>
        <v>0</v>
      </c>
      <c r="G26" s="32">
        <f>FPS!S5</f>
        <v>0</v>
      </c>
      <c r="H26" s="32">
        <f>FPS!S6</f>
        <v>0</v>
      </c>
      <c r="I26" s="32">
        <f>FPS!S7</f>
        <v>0</v>
      </c>
      <c r="J26" s="32">
        <f>FPS!S8</f>
        <v>0</v>
      </c>
      <c r="K26" s="32">
        <f>FPS!S9</f>
        <v>0</v>
      </c>
      <c r="L26" s="32">
        <f>FPS!S10</f>
        <v>0</v>
      </c>
      <c r="M26" s="32">
        <f>FPS!S11</f>
        <v>0</v>
      </c>
      <c r="N26" s="32">
        <f>FPS!S12</f>
        <v>0</v>
      </c>
      <c r="O26" s="32">
        <f>FPS!S13</f>
        <v>0</v>
      </c>
      <c r="P26" s="32">
        <f>FPS!S14</f>
        <v>0</v>
      </c>
      <c r="Q26" s="32">
        <f>FPS!S15</f>
        <v>0</v>
      </c>
      <c r="R26" s="32">
        <f>FPS!S16</f>
        <v>0</v>
      </c>
      <c r="S26" s="32">
        <f>FPS!S17</f>
        <v>0</v>
      </c>
      <c r="T26" s="32">
        <f>FPS!S18</f>
        <v>0</v>
      </c>
      <c r="U26" s="32">
        <f>FPS!S19</f>
        <v>0</v>
      </c>
      <c r="V26" s="32">
        <f>FPS!S20</f>
        <v>0</v>
      </c>
      <c r="W26" s="32">
        <f>FPS!S21</f>
        <v>0</v>
      </c>
      <c r="X26" s="32">
        <f>FPS!S22</f>
        <v>0</v>
      </c>
      <c r="Y26" s="32">
        <f>FPS!S23</f>
        <v>0</v>
      </c>
      <c r="Z26" s="32">
        <f>FPS!S24</f>
        <v>0</v>
      </c>
      <c r="AA26" s="32">
        <f>FPS!S25</f>
        <v>0</v>
      </c>
      <c r="AB26" s="32">
        <f>FPS!S26</f>
        <v>0</v>
      </c>
      <c r="AC26" s="32">
        <f>FPS!S27</f>
        <v>0</v>
      </c>
      <c r="AD26" s="32">
        <f>FPS!S28</f>
        <v>0</v>
      </c>
      <c r="AE26" s="32">
        <f>FPS!S29</f>
        <v>0</v>
      </c>
      <c r="AF26" s="32">
        <f>FPS!S30</f>
        <v>0</v>
      </c>
      <c r="AG26" s="32">
        <f>FPS!S31</f>
        <v>0</v>
      </c>
      <c r="AH26" s="32">
        <f>FPS!S32</f>
        <v>0</v>
      </c>
      <c r="AI26" s="32">
        <f>FPS!S33</f>
        <v>0</v>
      </c>
      <c r="AJ26" s="32">
        <f t="shared" ref="AJ26:AJ45" si="2">AVERAGE($AG26:$AI26)</f>
        <v>0</v>
      </c>
      <c r="AK26" s="32">
        <f t="shared" si="0"/>
        <v>0</v>
      </c>
      <c r="AL26" s="32">
        <f t="shared" si="0"/>
        <v>0</v>
      </c>
    </row>
    <row r="27" spans="1:38" x14ac:dyDescent="0.2">
      <c r="B27" s="32">
        <v>1</v>
      </c>
      <c r="C27" s="32">
        <v>1</v>
      </c>
      <c r="D27" s="32">
        <v>1</v>
      </c>
      <c r="E27" s="32">
        <f>FPS!T3</f>
        <v>0</v>
      </c>
      <c r="F27" s="32">
        <f>FPS!T4</f>
        <v>0</v>
      </c>
      <c r="G27" s="32">
        <f>FPS!T5</f>
        <v>0</v>
      </c>
      <c r="H27" s="32">
        <f>FPS!T6</f>
        <v>0</v>
      </c>
      <c r="I27" s="32">
        <f>FPS!T7</f>
        <v>0</v>
      </c>
      <c r="J27" s="32">
        <f>FPS!T8</f>
        <v>0</v>
      </c>
      <c r="K27" s="32">
        <f>FPS!T9</f>
        <v>0</v>
      </c>
      <c r="L27" s="32">
        <f>FPS!T10</f>
        <v>0</v>
      </c>
      <c r="M27" s="32">
        <f>FPS!T11</f>
        <v>0</v>
      </c>
      <c r="N27" s="32">
        <f>FPS!T12</f>
        <v>0</v>
      </c>
      <c r="O27" s="32">
        <f>FPS!T13</f>
        <v>0</v>
      </c>
      <c r="P27" s="32">
        <f>FPS!T14</f>
        <v>0</v>
      </c>
      <c r="Q27" s="32">
        <f>FPS!T15</f>
        <v>0</v>
      </c>
      <c r="R27" s="32">
        <f>FPS!T16</f>
        <v>0</v>
      </c>
      <c r="S27" s="32">
        <f>FPS!T17</f>
        <v>0</v>
      </c>
      <c r="T27" s="32">
        <f>FPS!T18</f>
        <v>0</v>
      </c>
      <c r="U27" s="32">
        <f>FPS!T19</f>
        <v>0</v>
      </c>
      <c r="V27" s="32">
        <f>FPS!T20</f>
        <v>0</v>
      </c>
      <c r="W27" s="32">
        <f>FPS!T21</f>
        <v>0</v>
      </c>
      <c r="X27" s="32">
        <f>FPS!T22</f>
        <v>0</v>
      </c>
      <c r="Y27" s="32">
        <f>FPS!T23</f>
        <v>0</v>
      </c>
      <c r="Z27" s="32">
        <f>FPS!T24</f>
        <v>0</v>
      </c>
      <c r="AA27" s="32">
        <f>FPS!T25</f>
        <v>0</v>
      </c>
      <c r="AB27" s="32">
        <f>FPS!T26</f>
        <v>0</v>
      </c>
      <c r="AC27" s="32">
        <f>FPS!T27</f>
        <v>0</v>
      </c>
      <c r="AD27" s="32">
        <f>FPS!T28</f>
        <v>0</v>
      </c>
      <c r="AE27" s="32">
        <f>FPS!T29</f>
        <v>0</v>
      </c>
      <c r="AF27" s="32">
        <f>FPS!T30</f>
        <v>0</v>
      </c>
      <c r="AG27" s="32">
        <f>FPS!T31</f>
        <v>0</v>
      </c>
      <c r="AH27" s="32">
        <f>FPS!T32</f>
        <v>0</v>
      </c>
      <c r="AI27" s="32">
        <f>FPS!T33</f>
        <v>0</v>
      </c>
      <c r="AJ27" s="32">
        <f t="shared" si="2"/>
        <v>0</v>
      </c>
      <c r="AK27" s="32">
        <f t="shared" si="0"/>
        <v>0</v>
      </c>
      <c r="AL27" s="32">
        <f t="shared" si="0"/>
        <v>0</v>
      </c>
    </row>
    <row r="28" spans="1:38" x14ac:dyDescent="0.2">
      <c r="B28" s="32">
        <v>1</v>
      </c>
      <c r="C28" s="32">
        <v>1</v>
      </c>
      <c r="D28" s="32">
        <v>1</v>
      </c>
      <c r="E28" s="32">
        <f>FPS!U3</f>
        <v>0</v>
      </c>
      <c r="F28" s="32">
        <f>FPS!U4</f>
        <v>0</v>
      </c>
      <c r="G28" s="32">
        <f>FPS!U5</f>
        <v>0</v>
      </c>
      <c r="H28" s="32">
        <f>FPS!U6</f>
        <v>0</v>
      </c>
      <c r="I28" s="32">
        <f>FPS!U7</f>
        <v>0</v>
      </c>
      <c r="J28" s="32">
        <f>FPS!U8</f>
        <v>0</v>
      </c>
      <c r="K28" s="32">
        <f>FPS!U9</f>
        <v>0</v>
      </c>
      <c r="L28" s="32">
        <f>FPS!U10</f>
        <v>0</v>
      </c>
      <c r="M28" s="32">
        <f>FPS!U11</f>
        <v>0</v>
      </c>
      <c r="N28" s="32">
        <f>FPS!U12</f>
        <v>0</v>
      </c>
      <c r="O28" s="32">
        <f>FPS!U13</f>
        <v>0</v>
      </c>
      <c r="P28" s="32">
        <f>FPS!U14</f>
        <v>0</v>
      </c>
      <c r="Q28" s="32">
        <f>FPS!U15</f>
        <v>0</v>
      </c>
      <c r="R28" s="32">
        <f>FPS!U16</f>
        <v>0</v>
      </c>
      <c r="S28" s="32">
        <f>FPS!U17</f>
        <v>0</v>
      </c>
      <c r="T28" s="32">
        <f>FPS!U18</f>
        <v>0</v>
      </c>
      <c r="U28" s="32">
        <f>FPS!U19</f>
        <v>0</v>
      </c>
      <c r="V28" s="32">
        <f>FPS!U20</f>
        <v>0</v>
      </c>
      <c r="W28" s="32">
        <f>FPS!U21</f>
        <v>0</v>
      </c>
      <c r="X28" s="32">
        <f>FPS!U22</f>
        <v>0</v>
      </c>
      <c r="Y28" s="32">
        <f>FPS!U23</f>
        <v>0</v>
      </c>
      <c r="Z28" s="32">
        <f>FPS!U24</f>
        <v>0</v>
      </c>
      <c r="AA28" s="32">
        <f>FPS!U25</f>
        <v>0</v>
      </c>
      <c r="AB28" s="32">
        <f>FPS!U26</f>
        <v>0</v>
      </c>
      <c r="AC28" s="32">
        <f>FPS!U27</f>
        <v>0</v>
      </c>
      <c r="AD28" s="32">
        <f>FPS!U28</f>
        <v>0</v>
      </c>
      <c r="AE28" s="32">
        <f>FPS!U29</f>
        <v>0</v>
      </c>
      <c r="AF28" s="32">
        <f>FPS!U30</f>
        <v>0</v>
      </c>
      <c r="AG28" s="32">
        <f>FPS!U31</f>
        <v>0</v>
      </c>
      <c r="AH28" s="32">
        <f>FPS!U32</f>
        <v>0</v>
      </c>
      <c r="AI28" s="32">
        <f>FPS!U33</f>
        <v>0</v>
      </c>
      <c r="AJ28" s="32">
        <f t="shared" si="2"/>
        <v>0</v>
      </c>
      <c r="AK28" s="32">
        <f t="shared" si="0"/>
        <v>0</v>
      </c>
      <c r="AL28" s="32">
        <f t="shared" si="0"/>
        <v>0</v>
      </c>
    </row>
    <row r="29" spans="1:38" x14ac:dyDescent="0.2">
      <c r="A29" s="23">
        <v>6</v>
      </c>
      <c r="B29" s="32">
        <v>1</v>
      </c>
      <c r="C29" s="32">
        <v>1</v>
      </c>
      <c r="D29" s="32">
        <v>1</v>
      </c>
      <c r="E29" s="32">
        <f>FPS!V3</f>
        <v>0</v>
      </c>
      <c r="F29" s="32">
        <f>FPS!V4</f>
        <v>0</v>
      </c>
      <c r="G29" s="32">
        <f>FPS!V5</f>
        <v>0</v>
      </c>
      <c r="H29" s="32">
        <f>FPS!V6</f>
        <v>0</v>
      </c>
      <c r="I29" s="32">
        <f>FPS!V7</f>
        <v>0</v>
      </c>
      <c r="J29" s="32">
        <f>FPS!V8</f>
        <v>0</v>
      </c>
      <c r="K29" s="32">
        <f>FPS!V9</f>
        <v>0</v>
      </c>
      <c r="L29" s="32">
        <f>FPS!V10</f>
        <v>0</v>
      </c>
      <c r="M29" s="32">
        <f>FPS!V11</f>
        <v>0</v>
      </c>
      <c r="N29" s="32">
        <f>FPS!V12</f>
        <v>0</v>
      </c>
      <c r="O29" s="32">
        <f>FPS!V13</f>
        <v>0</v>
      </c>
      <c r="P29" s="32">
        <f>FPS!V14</f>
        <v>0</v>
      </c>
      <c r="Q29" s="32">
        <f>FPS!V15</f>
        <v>0</v>
      </c>
      <c r="R29" s="32">
        <f>FPS!V16</f>
        <v>0</v>
      </c>
      <c r="S29" s="32">
        <f>FPS!V17</f>
        <v>0</v>
      </c>
      <c r="T29" s="32">
        <f>FPS!V18</f>
        <v>0</v>
      </c>
      <c r="U29" s="32">
        <f>FPS!V19</f>
        <v>0</v>
      </c>
      <c r="V29" s="32">
        <f>FPS!V20</f>
        <v>0</v>
      </c>
      <c r="W29" s="32">
        <f>FPS!V21</f>
        <v>0</v>
      </c>
      <c r="X29" s="32">
        <f>FPS!V22</f>
        <v>0</v>
      </c>
      <c r="Y29" s="32">
        <f>FPS!V23</f>
        <v>0</v>
      </c>
      <c r="Z29" s="32">
        <f>FPS!V24</f>
        <v>0</v>
      </c>
      <c r="AA29" s="32">
        <f>FPS!V25</f>
        <v>0</v>
      </c>
      <c r="AB29" s="32">
        <f>FPS!V26</f>
        <v>0</v>
      </c>
      <c r="AC29" s="32">
        <f>FPS!V27</f>
        <v>0</v>
      </c>
      <c r="AD29" s="32">
        <f>FPS!V28</f>
        <v>0</v>
      </c>
      <c r="AE29" s="32">
        <f>FPS!V29</f>
        <v>0</v>
      </c>
      <c r="AF29" s="32">
        <f>FPS!V30</f>
        <v>0</v>
      </c>
      <c r="AG29" s="32">
        <f>FPS!V31</f>
        <v>0</v>
      </c>
      <c r="AH29" s="32">
        <f>FPS!V32</f>
        <v>0</v>
      </c>
      <c r="AI29" s="32">
        <f>FPS!V33</f>
        <v>0</v>
      </c>
      <c r="AJ29" s="32">
        <f t="shared" si="2"/>
        <v>0</v>
      </c>
      <c r="AK29" s="32">
        <f t="shared" si="0"/>
        <v>0</v>
      </c>
      <c r="AL29" s="32">
        <f t="shared" si="0"/>
        <v>0</v>
      </c>
    </row>
    <row r="30" spans="1:38" x14ac:dyDescent="0.2">
      <c r="B30" s="32">
        <v>1</v>
      </c>
      <c r="C30" s="32">
        <v>1</v>
      </c>
      <c r="D30" s="32">
        <v>1</v>
      </c>
      <c r="E30" s="32">
        <f>FPS!W3</f>
        <v>0</v>
      </c>
      <c r="F30" s="32">
        <f>FPS!W4</f>
        <v>0</v>
      </c>
      <c r="G30" s="32">
        <f>FPS!W5</f>
        <v>0</v>
      </c>
      <c r="H30" s="32">
        <f>FPS!W6</f>
        <v>0</v>
      </c>
      <c r="I30" s="32">
        <f>FPS!W7</f>
        <v>0</v>
      </c>
      <c r="J30" s="32">
        <f>FPS!W8</f>
        <v>0</v>
      </c>
      <c r="K30" s="32">
        <f>FPS!W9</f>
        <v>0</v>
      </c>
      <c r="L30" s="32">
        <f>FPS!W10</f>
        <v>0</v>
      </c>
      <c r="M30" s="32">
        <f>FPS!W11</f>
        <v>0</v>
      </c>
      <c r="N30" s="32">
        <f>FPS!W12</f>
        <v>0</v>
      </c>
      <c r="O30" s="32">
        <f>FPS!W13</f>
        <v>0</v>
      </c>
      <c r="P30" s="32">
        <f>FPS!W14</f>
        <v>0</v>
      </c>
      <c r="Q30" s="32">
        <f>FPS!W15</f>
        <v>0</v>
      </c>
      <c r="R30" s="32">
        <f>FPS!W16</f>
        <v>0</v>
      </c>
      <c r="S30" s="32">
        <f>FPS!W17</f>
        <v>0</v>
      </c>
      <c r="T30" s="32">
        <f>FPS!W18</f>
        <v>0</v>
      </c>
      <c r="U30" s="32">
        <f>FPS!W19</f>
        <v>0</v>
      </c>
      <c r="V30" s="32">
        <f>FPS!W20</f>
        <v>0</v>
      </c>
      <c r="W30" s="32">
        <f>FPS!W21</f>
        <v>0</v>
      </c>
      <c r="X30" s="32">
        <f>FPS!W22</f>
        <v>0</v>
      </c>
      <c r="Y30" s="32">
        <f>FPS!W23</f>
        <v>0</v>
      </c>
      <c r="Z30" s="32">
        <f>FPS!W24</f>
        <v>0</v>
      </c>
      <c r="AA30" s="32">
        <f>FPS!W25</f>
        <v>0</v>
      </c>
      <c r="AB30" s="32">
        <f>FPS!W26</f>
        <v>0</v>
      </c>
      <c r="AC30" s="32">
        <f>FPS!W27</f>
        <v>0</v>
      </c>
      <c r="AD30" s="32">
        <f>FPS!W28</f>
        <v>0</v>
      </c>
      <c r="AE30" s="32">
        <f>FPS!W29</f>
        <v>0</v>
      </c>
      <c r="AF30" s="32">
        <f>FPS!W30</f>
        <v>0</v>
      </c>
      <c r="AG30" s="32">
        <f>FPS!W31</f>
        <v>0</v>
      </c>
      <c r="AH30" s="32">
        <f>FPS!W32</f>
        <v>0</v>
      </c>
      <c r="AI30" s="32">
        <f>FPS!W33</f>
        <v>0</v>
      </c>
      <c r="AJ30" s="32">
        <f t="shared" si="2"/>
        <v>0</v>
      </c>
      <c r="AK30" s="32">
        <f t="shared" si="0"/>
        <v>0</v>
      </c>
      <c r="AL30" s="32">
        <f t="shared" si="0"/>
        <v>0</v>
      </c>
    </row>
    <row r="31" spans="1:38" x14ac:dyDescent="0.2">
      <c r="B31" s="32">
        <v>1</v>
      </c>
      <c r="C31" s="32">
        <v>1</v>
      </c>
      <c r="D31" s="32">
        <v>1</v>
      </c>
      <c r="E31" s="32">
        <f>FPS!X3</f>
        <v>0</v>
      </c>
      <c r="F31" s="32">
        <f>FPS!X4</f>
        <v>0</v>
      </c>
      <c r="G31" s="32">
        <f>FPS!X5</f>
        <v>0</v>
      </c>
      <c r="H31" s="32">
        <f>FPS!X6</f>
        <v>0</v>
      </c>
      <c r="I31" s="32">
        <f>FPS!X7</f>
        <v>0</v>
      </c>
      <c r="J31" s="32">
        <f>FPS!X8</f>
        <v>0</v>
      </c>
      <c r="K31" s="32">
        <f>FPS!X9</f>
        <v>0</v>
      </c>
      <c r="L31" s="32">
        <f>FPS!X10</f>
        <v>0</v>
      </c>
      <c r="M31" s="32">
        <f>FPS!X11</f>
        <v>0</v>
      </c>
      <c r="N31" s="32">
        <f>FPS!X12</f>
        <v>0</v>
      </c>
      <c r="O31" s="32">
        <f>FPS!X13</f>
        <v>0</v>
      </c>
      <c r="P31" s="32">
        <f>FPS!X14</f>
        <v>0</v>
      </c>
      <c r="Q31" s="32">
        <f>FPS!X15</f>
        <v>0</v>
      </c>
      <c r="R31" s="32">
        <f>FPS!X16</f>
        <v>0</v>
      </c>
      <c r="S31" s="32">
        <f>FPS!X17</f>
        <v>0</v>
      </c>
      <c r="T31" s="32">
        <f>FPS!X18</f>
        <v>0</v>
      </c>
      <c r="U31" s="32">
        <f>FPS!X19</f>
        <v>0</v>
      </c>
      <c r="V31" s="32">
        <f>FPS!X20</f>
        <v>0</v>
      </c>
      <c r="W31" s="32">
        <f>FPS!X21</f>
        <v>0</v>
      </c>
      <c r="X31" s="32">
        <f>FPS!X22</f>
        <v>0</v>
      </c>
      <c r="Y31" s="32">
        <f>FPS!X23</f>
        <v>0</v>
      </c>
      <c r="Z31" s="32">
        <f>FPS!X24</f>
        <v>0</v>
      </c>
      <c r="AA31" s="32">
        <f>FPS!X25</f>
        <v>0</v>
      </c>
      <c r="AB31" s="32">
        <f>FPS!X26</f>
        <v>0</v>
      </c>
      <c r="AC31" s="32">
        <f>FPS!X27</f>
        <v>0</v>
      </c>
      <c r="AD31" s="32">
        <f>FPS!X28</f>
        <v>0</v>
      </c>
      <c r="AE31" s="32">
        <f>FPS!X29</f>
        <v>0</v>
      </c>
      <c r="AF31" s="32">
        <f>FPS!X30</f>
        <v>0</v>
      </c>
      <c r="AG31" s="32">
        <f>FPS!X31</f>
        <v>0</v>
      </c>
      <c r="AH31" s="32">
        <f>FPS!X32</f>
        <v>0</v>
      </c>
      <c r="AI31" s="32">
        <f>FPS!X33</f>
        <v>0</v>
      </c>
      <c r="AJ31" s="32">
        <f t="shared" si="2"/>
        <v>0</v>
      </c>
      <c r="AK31" s="32">
        <f t="shared" si="0"/>
        <v>0</v>
      </c>
      <c r="AL31" s="32">
        <f t="shared" si="0"/>
        <v>0</v>
      </c>
    </row>
    <row r="32" spans="1:38" x14ac:dyDescent="0.2">
      <c r="B32" s="32">
        <v>1</v>
      </c>
      <c r="C32" s="32">
        <v>1</v>
      </c>
      <c r="D32" s="32">
        <v>1</v>
      </c>
      <c r="E32" s="32">
        <f>FPS!Y3</f>
        <v>0</v>
      </c>
      <c r="F32" s="32">
        <f>FPS!Y4</f>
        <v>0</v>
      </c>
      <c r="G32" s="32">
        <f>FPS!Y5</f>
        <v>0</v>
      </c>
      <c r="H32" s="32">
        <f>FPS!Y6</f>
        <v>0</v>
      </c>
      <c r="I32" s="32">
        <f>FPS!Y7</f>
        <v>0</v>
      </c>
      <c r="J32" s="32">
        <f>FPS!Y8</f>
        <v>0</v>
      </c>
      <c r="K32" s="32">
        <f>FPS!Y9</f>
        <v>0</v>
      </c>
      <c r="L32" s="32">
        <f>FPS!Y10</f>
        <v>0</v>
      </c>
      <c r="M32" s="32">
        <f>FPS!Y11</f>
        <v>0</v>
      </c>
      <c r="N32" s="32">
        <f>FPS!Y12</f>
        <v>0</v>
      </c>
      <c r="O32" s="32">
        <f>FPS!Y13</f>
        <v>0</v>
      </c>
      <c r="P32" s="32">
        <f>FPS!Y14</f>
        <v>0</v>
      </c>
      <c r="Q32" s="32">
        <f>FPS!Y15</f>
        <v>0</v>
      </c>
      <c r="R32" s="32">
        <f>FPS!Y16</f>
        <v>0</v>
      </c>
      <c r="S32" s="32">
        <f>FPS!Y17</f>
        <v>0</v>
      </c>
      <c r="T32" s="32">
        <f>FPS!Y18</f>
        <v>0</v>
      </c>
      <c r="U32" s="32">
        <f>FPS!Y19</f>
        <v>0</v>
      </c>
      <c r="V32" s="32">
        <f>FPS!Y20</f>
        <v>0</v>
      </c>
      <c r="W32" s="32">
        <f>FPS!Y21</f>
        <v>0</v>
      </c>
      <c r="X32" s="32">
        <f>FPS!Y22</f>
        <v>0</v>
      </c>
      <c r="Y32" s="32">
        <f>FPS!Y23</f>
        <v>0</v>
      </c>
      <c r="Z32" s="32">
        <f>FPS!Y24</f>
        <v>0</v>
      </c>
      <c r="AA32" s="32">
        <f>FPS!Y25</f>
        <v>0</v>
      </c>
      <c r="AB32" s="32">
        <f>FPS!Y26</f>
        <v>0</v>
      </c>
      <c r="AC32" s="32">
        <f>FPS!Y27</f>
        <v>0</v>
      </c>
      <c r="AD32" s="32">
        <f>FPS!Y28</f>
        <v>0</v>
      </c>
      <c r="AE32" s="32">
        <f>FPS!Y29</f>
        <v>0</v>
      </c>
      <c r="AF32" s="32">
        <f>FPS!Y30</f>
        <v>0</v>
      </c>
      <c r="AG32" s="32">
        <f>FPS!Y31</f>
        <v>0</v>
      </c>
      <c r="AH32" s="32">
        <f>FPS!Y32</f>
        <v>0</v>
      </c>
      <c r="AI32" s="32">
        <f>FPS!Y33</f>
        <v>0</v>
      </c>
      <c r="AJ32" s="32">
        <f t="shared" si="2"/>
        <v>0</v>
      </c>
      <c r="AK32" s="32">
        <f t="shared" si="0"/>
        <v>0</v>
      </c>
      <c r="AL32" s="32">
        <f t="shared" si="0"/>
        <v>0</v>
      </c>
    </row>
    <row r="33" spans="1:38" x14ac:dyDescent="0.2">
      <c r="A33" s="23">
        <v>7</v>
      </c>
      <c r="B33" s="32">
        <v>1</v>
      </c>
      <c r="C33" s="32">
        <v>1</v>
      </c>
      <c r="D33" s="32">
        <v>1</v>
      </c>
      <c r="E33" s="32">
        <f>FPS!Z3</f>
        <v>0</v>
      </c>
      <c r="F33" s="32">
        <f>FPS!Z4</f>
        <v>0</v>
      </c>
      <c r="G33" s="32">
        <f>FPS!Z5</f>
        <v>0</v>
      </c>
      <c r="H33" s="32">
        <f>FPS!Z6</f>
        <v>0</v>
      </c>
      <c r="I33" s="32">
        <f>FPS!Z7</f>
        <v>0</v>
      </c>
      <c r="J33" s="32">
        <f>FPS!Z8</f>
        <v>0</v>
      </c>
      <c r="K33" s="32">
        <f>FPS!Z9</f>
        <v>0</v>
      </c>
      <c r="L33" s="32">
        <f>FPS!Z10</f>
        <v>0</v>
      </c>
      <c r="M33" s="32">
        <f>FPS!Z11</f>
        <v>0</v>
      </c>
      <c r="N33" s="32">
        <f>FPS!Z12</f>
        <v>0</v>
      </c>
      <c r="O33" s="32">
        <f>FPS!Z13</f>
        <v>0</v>
      </c>
      <c r="P33" s="32">
        <f>FPS!Z14</f>
        <v>0</v>
      </c>
      <c r="Q33" s="32">
        <f>FPS!Z15</f>
        <v>0</v>
      </c>
      <c r="R33" s="32">
        <f>FPS!Z16</f>
        <v>0</v>
      </c>
      <c r="S33" s="32">
        <f>FPS!Z17</f>
        <v>0</v>
      </c>
      <c r="T33" s="32">
        <f>FPS!Z18</f>
        <v>0</v>
      </c>
      <c r="U33" s="32">
        <f>FPS!Z19</f>
        <v>0</v>
      </c>
      <c r="V33" s="32">
        <f>FPS!Z20</f>
        <v>0</v>
      </c>
      <c r="W33" s="32">
        <f>FPS!Z21</f>
        <v>0</v>
      </c>
      <c r="X33" s="32">
        <f>FPS!Z22</f>
        <v>0</v>
      </c>
      <c r="Y33" s="32">
        <f>FPS!Z23</f>
        <v>0</v>
      </c>
      <c r="Z33" s="32">
        <f>FPS!Z24</f>
        <v>0</v>
      </c>
      <c r="AA33" s="32">
        <f>FPS!Z25</f>
        <v>0</v>
      </c>
      <c r="AB33" s="32">
        <f>FPS!Z26</f>
        <v>0</v>
      </c>
      <c r="AC33" s="32">
        <f>FPS!Z27</f>
        <v>0</v>
      </c>
      <c r="AD33" s="32">
        <f>FPS!Z28</f>
        <v>0</v>
      </c>
      <c r="AE33" s="32">
        <f>FPS!Z29</f>
        <v>0</v>
      </c>
      <c r="AF33" s="32">
        <f>FPS!Z30</f>
        <v>0</v>
      </c>
      <c r="AG33" s="32">
        <f>FPS!Z31</f>
        <v>0</v>
      </c>
      <c r="AH33" s="32">
        <f>FPS!Z32</f>
        <v>0</v>
      </c>
      <c r="AI33" s="32">
        <f>FPS!Z33</f>
        <v>0</v>
      </c>
      <c r="AJ33" s="32">
        <f t="shared" si="2"/>
        <v>0</v>
      </c>
      <c r="AK33" s="32">
        <f t="shared" si="0"/>
        <v>0</v>
      </c>
      <c r="AL33" s="32">
        <f t="shared" si="0"/>
        <v>0</v>
      </c>
    </row>
    <row r="34" spans="1:38" x14ac:dyDescent="0.2">
      <c r="B34" s="32">
        <v>1</v>
      </c>
      <c r="C34" s="32">
        <v>1</v>
      </c>
      <c r="D34" s="32">
        <v>1</v>
      </c>
      <c r="E34" s="32">
        <f>FPS!AA3</f>
        <v>0</v>
      </c>
      <c r="F34" s="32">
        <f>FPS!AA4</f>
        <v>0</v>
      </c>
      <c r="G34" s="32">
        <f>FPS!AA5</f>
        <v>0</v>
      </c>
      <c r="H34" s="32">
        <f>FPS!AA6</f>
        <v>0</v>
      </c>
      <c r="I34" s="32">
        <f>FPS!AA7</f>
        <v>0</v>
      </c>
      <c r="J34" s="32">
        <f>FPS!AA8</f>
        <v>0</v>
      </c>
      <c r="K34" s="32">
        <f>FPS!AA9</f>
        <v>0</v>
      </c>
      <c r="L34" s="32">
        <f>FPS!AA10</f>
        <v>0</v>
      </c>
      <c r="M34" s="32">
        <f>FPS!AA11</f>
        <v>0</v>
      </c>
      <c r="N34" s="32">
        <f>FPS!AA12</f>
        <v>0</v>
      </c>
      <c r="O34" s="32">
        <f>FPS!AA13</f>
        <v>0</v>
      </c>
      <c r="P34" s="32">
        <f>FPS!AA14</f>
        <v>0</v>
      </c>
      <c r="Q34" s="32">
        <f>FPS!AA15</f>
        <v>0</v>
      </c>
      <c r="R34" s="32">
        <f>FPS!AA16</f>
        <v>0</v>
      </c>
      <c r="S34" s="32">
        <f>FPS!AA17</f>
        <v>0</v>
      </c>
      <c r="T34" s="32">
        <f>FPS!AA18</f>
        <v>0</v>
      </c>
      <c r="U34" s="32">
        <f>FPS!AA19</f>
        <v>0</v>
      </c>
      <c r="V34" s="32">
        <f>FPS!AA20</f>
        <v>0</v>
      </c>
      <c r="W34" s="32">
        <f>FPS!AA21</f>
        <v>0</v>
      </c>
      <c r="X34" s="32">
        <f>FPS!AA22</f>
        <v>0</v>
      </c>
      <c r="Y34" s="32">
        <f>FPS!AA23</f>
        <v>0</v>
      </c>
      <c r="Z34" s="32">
        <f>FPS!AA24</f>
        <v>0</v>
      </c>
      <c r="AA34" s="32">
        <f>FPS!AA25</f>
        <v>0</v>
      </c>
      <c r="AB34" s="32">
        <f>FPS!AA26</f>
        <v>0</v>
      </c>
      <c r="AC34" s="32">
        <f>FPS!AA27</f>
        <v>0</v>
      </c>
      <c r="AD34" s="32">
        <f>FPS!AA28</f>
        <v>0</v>
      </c>
      <c r="AE34" s="32">
        <f>FPS!AA29</f>
        <v>0</v>
      </c>
      <c r="AF34" s="32">
        <f>FPS!AA30</f>
        <v>0</v>
      </c>
      <c r="AG34" s="32">
        <f>FPS!AA31</f>
        <v>0</v>
      </c>
      <c r="AH34" s="32">
        <f>FPS!AA32</f>
        <v>0</v>
      </c>
      <c r="AI34" s="32">
        <f>FPS!AA33</f>
        <v>0</v>
      </c>
      <c r="AJ34" s="32">
        <f t="shared" si="2"/>
        <v>0</v>
      </c>
      <c r="AK34" s="32">
        <f t="shared" si="0"/>
        <v>0</v>
      </c>
      <c r="AL34" s="32">
        <f t="shared" si="0"/>
        <v>0</v>
      </c>
    </row>
    <row r="35" spans="1:38" x14ac:dyDescent="0.2">
      <c r="B35" s="32">
        <v>1</v>
      </c>
      <c r="C35" s="32">
        <v>1</v>
      </c>
      <c r="D35" s="32">
        <v>1</v>
      </c>
      <c r="E35" s="32">
        <f>FPS!AB3</f>
        <v>0</v>
      </c>
      <c r="F35" s="32">
        <f>FPS!AB4</f>
        <v>0</v>
      </c>
      <c r="G35" s="32">
        <f>FPS!AB5</f>
        <v>0</v>
      </c>
      <c r="H35" s="32">
        <f>FPS!AB6</f>
        <v>0</v>
      </c>
      <c r="I35" s="32">
        <f>FPS!AB7</f>
        <v>0</v>
      </c>
      <c r="J35" s="32">
        <f>FPS!AB8</f>
        <v>0</v>
      </c>
      <c r="K35" s="32">
        <f>FPS!AB9</f>
        <v>0</v>
      </c>
      <c r="L35" s="32">
        <f>FPS!AB10</f>
        <v>0</v>
      </c>
      <c r="M35" s="32">
        <f>FPS!AB11</f>
        <v>0</v>
      </c>
      <c r="N35" s="32">
        <f>FPS!AB12</f>
        <v>0</v>
      </c>
      <c r="O35" s="32">
        <f>FPS!AB13</f>
        <v>0</v>
      </c>
      <c r="P35" s="32">
        <f>FPS!AB14</f>
        <v>0</v>
      </c>
      <c r="Q35" s="32">
        <f>FPS!AB15</f>
        <v>0</v>
      </c>
      <c r="R35" s="32">
        <f>FPS!AB16</f>
        <v>0</v>
      </c>
      <c r="S35" s="32">
        <f>FPS!AB17</f>
        <v>0</v>
      </c>
      <c r="T35" s="32">
        <f>FPS!AB18</f>
        <v>0</v>
      </c>
      <c r="U35" s="32">
        <f>FPS!AB19</f>
        <v>0</v>
      </c>
      <c r="V35" s="32">
        <f>FPS!AB20</f>
        <v>0</v>
      </c>
      <c r="W35" s="32">
        <f>FPS!AB21</f>
        <v>0</v>
      </c>
      <c r="X35" s="32">
        <f>FPS!AB22</f>
        <v>0</v>
      </c>
      <c r="Y35" s="32">
        <f>FPS!AB23</f>
        <v>0</v>
      </c>
      <c r="Z35" s="32">
        <f>FPS!AB24</f>
        <v>0</v>
      </c>
      <c r="AA35" s="32">
        <f>FPS!AB25</f>
        <v>0</v>
      </c>
      <c r="AB35" s="32">
        <f>FPS!AB26</f>
        <v>0</v>
      </c>
      <c r="AC35" s="32">
        <f>FPS!AB27</f>
        <v>0</v>
      </c>
      <c r="AD35" s="32">
        <f>FPS!AB28</f>
        <v>0</v>
      </c>
      <c r="AE35" s="32">
        <f>FPS!AB29</f>
        <v>0</v>
      </c>
      <c r="AF35" s="32">
        <f>FPS!AB30</f>
        <v>0</v>
      </c>
      <c r="AG35" s="32">
        <f>FPS!AB31</f>
        <v>0</v>
      </c>
      <c r="AH35" s="32">
        <f>FPS!AB32</f>
        <v>0</v>
      </c>
      <c r="AI35" s="32">
        <f>FPS!AB33</f>
        <v>0</v>
      </c>
      <c r="AJ35" s="32">
        <f t="shared" si="2"/>
        <v>0</v>
      </c>
      <c r="AK35" s="32">
        <f t="shared" si="0"/>
        <v>0</v>
      </c>
      <c r="AL35" s="32">
        <f t="shared" si="0"/>
        <v>0</v>
      </c>
    </row>
    <row r="36" spans="1:38" x14ac:dyDescent="0.2">
      <c r="B36" s="32">
        <v>1</v>
      </c>
      <c r="C36" s="32">
        <v>1</v>
      </c>
      <c r="D36" s="32">
        <v>1</v>
      </c>
      <c r="E36" s="32">
        <f>FPS!AC3</f>
        <v>0</v>
      </c>
      <c r="F36" s="32">
        <f>FPS!AC4</f>
        <v>0</v>
      </c>
      <c r="G36" s="32">
        <f>FPS!AC5</f>
        <v>0</v>
      </c>
      <c r="H36" s="32">
        <f>FPS!AC6</f>
        <v>0</v>
      </c>
      <c r="I36" s="32">
        <f>FPS!AC7</f>
        <v>0</v>
      </c>
      <c r="J36" s="32">
        <f>FPS!AC8</f>
        <v>0</v>
      </c>
      <c r="K36" s="32">
        <f>FPS!AC9</f>
        <v>0</v>
      </c>
      <c r="L36" s="32">
        <f>FPS!AC10</f>
        <v>0</v>
      </c>
      <c r="M36" s="32">
        <f>FPS!AC11</f>
        <v>0</v>
      </c>
      <c r="N36" s="32">
        <f>FPS!AC12</f>
        <v>0</v>
      </c>
      <c r="O36" s="32">
        <f>FPS!AC13</f>
        <v>0</v>
      </c>
      <c r="P36" s="32">
        <f>FPS!AC14</f>
        <v>0</v>
      </c>
      <c r="Q36" s="32">
        <f>FPS!AC15</f>
        <v>0</v>
      </c>
      <c r="R36" s="32">
        <f>FPS!AC16</f>
        <v>0</v>
      </c>
      <c r="S36" s="32">
        <f>FPS!AC17</f>
        <v>0</v>
      </c>
      <c r="T36" s="32">
        <f>FPS!AC18</f>
        <v>0</v>
      </c>
      <c r="U36" s="32">
        <f>FPS!AC19</f>
        <v>0</v>
      </c>
      <c r="V36" s="32">
        <f>FPS!AC20</f>
        <v>0</v>
      </c>
      <c r="W36" s="32">
        <f>FPS!AC21</f>
        <v>0</v>
      </c>
      <c r="X36" s="32">
        <f>FPS!AC22</f>
        <v>0</v>
      </c>
      <c r="Y36" s="32">
        <f>FPS!AC23</f>
        <v>0</v>
      </c>
      <c r="Z36" s="32">
        <f>FPS!AC24</f>
        <v>0</v>
      </c>
      <c r="AA36" s="32">
        <f>FPS!AC25</f>
        <v>0</v>
      </c>
      <c r="AB36" s="32">
        <f>FPS!AC26</f>
        <v>0</v>
      </c>
      <c r="AC36" s="32">
        <f>FPS!AC27</f>
        <v>0</v>
      </c>
      <c r="AD36" s="32">
        <f>FPS!AC28</f>
        <v>0</v>
      </c>
      <c r="AE36" s="32">
        <f>FPS!AC29</f>
        <v>0</v>
      </c>
      <c r="AF36" s="32">
        <f>FPS!AC30</f>
        <v>0</v>
      </c>
      <c r="AG36" s="32">
        <f>FPS!AC31</f>
        <v>0</v>
      </c>
      <c r="AH36" s="32">
        <f>FPS!AC32</f>
        <v>0</v>
      </c>
      <c r="AI36" s="32">
        <f>FPS!AC33</f>
        <v>0</v>
      </c>
      <c r="AJ36" s="32">
        <f t="shared" si="2"/>
        <v>0</v>
      </c>
      <c r="AK36" s="32">
        <f t="shared" si="0"/>
        <v>0</v>
      </c>
      <c r="AL36" s="32">
        <f t="shared" si="0"/>
        <v>0</v>
      </c>
    </row>
    <row r="37" spans="1:38" x14ac:dyDescent="0.2">
      <c r="A37" s="23">
        <v>8</v>
      </c>
      <c r="B37" s="32">
        <v>1</v>
      </c>
      <c r="C37" s="32">
        <v>1</v>
      </c>
      <c r="D37" s="32">
        <v>1</v>
      </c>
      <c r="E37" s="32">
        <f>FPS!AD3</f>
        <v>0</v>
      </c>
      <c r="F37" s="32">
        <f>FPS!AD4</f>
        <v>0</v>
      </c>
      <c r="G37" s="32">
        <f>FPS!AD5</f>
        <v>0</v>
      </c>
      <c r="H37" s="32">
        <f>FPS!AD6</f>
        <v>0</v>
      </c>
      <c r="I37" s="32">
        <f>FPS!AD7</f>
        <v>0</v>
      </c>
      <c r="J37" s="32">
        <f>FPS!AD8</f>
        <v>0</v>
      </c>
      <c r="K37" s="32">
        <f>FPS!AD9</f>
        <v>0</v>
      </c>
      <c r="L37" s="32">
        <f>FPS!AD10</f>
        <v>0</v>
      </c>
      <c r="M37" s="32">
        <f>FPS!AD11</f>
        <v>0</v>
      </c>
      <c r="N37" s="32">
        <f>FPS!AD12</f>
        <v>0</v>
      </c>
      <c r="O37" s="32">
        <f>FPS!AD13</f>
        <v>0</v>
      </c>
      <c r="P37" s="32">
        <f>FPS!AD14</f>
        <v>0</v>
      </c>
      <c r="Q37" s="32">
        <f>FPS!AD15</f>
        <v>0</v>
      </c>
      <c r="R37" s="32">
        <f>FPS!AD16</f>
        <v>0</v>
      </c>
      <c r="S37" s="32">
        <f>FPS!AD17</f>
        <v>0</v>
      </c>
      <c r="T37" s="32">
        <f>FPS!AD18</f>
        <v>0</v>
      </c>
      <c r="U37" s="32">
        <f>FPS!AD19</f>
        <v>0</v>
      </c>
      <c r="V37" s="32">
        <f>FPS!AD20</f>
        <v>0</v>
      </c>
      <c r="W37" s="32">
        <f>FPS!AD21</f>
        <v>0</v>
      </c>
      <c r="X37" s="32">
        <f>FPS!AD22</f>
        <v>0</v>
      </c>
      <c r="Y37" s="32">
        <f>FPS!AD23</f>
        <v>0</v>
      </c>
      <c r="Z37" s="32">
        <f>FPS!AD24</f>
        <v>0</v>
      </c>
      <c r="AA37" s="32">
        <f>FPS!AD25</f>
        <v>0</v>
      </c>
      <c r="AB37" s="32">
        <f>FPS!AD26</f>
        <v>0</v>
      </c>
      <c r="AC37" s="32">
        <f>FPS!AD27</f>
        <v>0</v>
      </c>
      <c r="AD37" s="32">
        <f>FPS!AD28</f>
        <v>0</v>
      </c>
      <c r="AE37" s="32">
        <f>FPS!AD29</f>
        <v>0</v>
      </c>
      <c r="AF37" s="32">
        <f>FPS!AD30</f>
        <v>0</v>
      </c>
      <c r="AG37" s="32">
        <f>FPS!AD31</f>
        <v>0</v>
      </c>
      <c r="AH37" s="32">
        <f>FPS!AD32</f>
        <v>0</v>
      </c>
      <c r="AI37" s="32">
        <f>FPS!AD33</f>
        <v>0</v>
      </c>
      <c r="AJ37" s="32">
        <f t="shared" si="2"/>
        <v>0</v>
      </c>
      <c r="AK37" s="32">
        <f t="shared" si="0"/>
        <v>0</v>
      </c>
      <c r="AL37" s="32">
        <f t="shared" si="0"/>
        <v>0</v>
      </c>
    </row>
    <row r="38" spans="1:38" x14ac:dyDescent="0.2">
      <c r="B38" s="32">
        <v>1</v>
      </c>
      <c r="C38" s="32">
        <v>1</v>
      </c>
      <c r="D38" s="32">
        <v>1</v>
      </c>
      <c r="E38" s="32">
        <f>FPS!AE3</f>
        <v>0</v>
      </c>
      <c r="F38" s="32">
        <f>FPS!AE4</f>
        <v>0</v>
      </c>
      <c r="G38" s="32">
        <f>FPS!AE5</f>
        <v>0</v>
      </c>
      <c r="H38" s="32">
        <f>FPS!AE6</f>
        <v>0</v>
      </c>
      <c r="I38" s="32">
        <f>FPS!AE7</f>
        <v>0</v>
      </c>
      <c r="J38" s="32">
        <f>FPS!AE8</f>
        <v>0</v>
      </c>
      <c r="K38" s="32">
        <f>FPS!AE9</f>
        <v>0</v>
      </c>
      <c r="L38" s="32">
        <f>FPS!AE10</f>
        <v>0</v>
      </c>
      <c r="M38" s="32">
        <f>FPS!AE11</f>
        <v>0</v>
      </c>
      <c r="N38" s="32">
        <f>FPS!AE12</f>
        <v>0</v>
      </c>
      <c r="O38" s="32">
        <f>FPS!AE13</f>
        <v>0</v>
      </c>
      <c r="P38" s="32">
        <f>FPS!AE14</f>
        <v>0</v>
      </c>
      <c r="Q38" s="32">
        <f>FPS!AE15</f>
        <v>0</v>
      </c>
      <c r="R38" s="32">
        <f>FPS!AE16</f>
        <v>0</v>
      </c>
      <c r="S38" s="32">
        <f>FPS!AE17</f>
        <v>0</v>
      </c>
      <c r="T38" s="32">
        <f>FPS!AE18</f>
        <v>0</v>
      </c>
      <c r="U38" s="32">
        <f>FPS!AE19</f>
        <v>0</v>
      </c>
      <c r="V38" s="32">
        <f>FPS!AE20</f>
        <v>0</v>
      </c>
      <c r="W38" s="32">
        <f>FPS!AE21</f>
        <v>0</v>
      </c>
      <c r="X38" s="32">
        <f>FPS!AE22</f>
        <v>0</v>
      </c>
      <c r="Y38" s="32">
        <f>FPS!AE23</f>
        <v>0</v>
      </c>
      <c r="Z38" s="32">
        <f>FPS!AE24</f>
        <v>0</v>
      </c>
      <c r="AA38" s="32">
        <f>FPS!AE25</f>
        <v>0</v>
      </c>
      <c r="AB38" s="32">
        <f>FPS!AE26</f>
        <v>0</v>
      </c>
      <c r="AC38" s="32">
        <f>FPS!AE27</f>
        <v>0</v>
      </c>
      <c r="AD38" s="32">
        <f>FPS!AE28</f>
        <v>0</v>
      </c>
      <c r="AE38" s="32">
        <f>FPS!AE29</f>
        <v>0</v>
      </c>
      <c r="AF38" s="32">
        <f>FPS!AE30</f>
        <v>0</v>
      </c>
      <c r="AG38" s="32">
        <f>FPS!AE31</f>
        <v>0</v>
      </c>
      <c r="AH38" s="32">
        <f>FPS!AE32</f>
        <v>0</v>
      </c>
      <c r="AI38" s="32">
        <f>FPS!AE33</f>
        <v>0</v>
      </c>
      <c r="AJ38" s="32">
        <f t="shared" si="2"/>
        <v>0</v>
      </c>
      <c r="AK38" s="32">
        <f t="shared" si="0"/>
        <v>0</v>
      </c>
      <c r="AL38" s="32">
        <f t="shared" si="0"/>
        <v>0</v>
      </c>
    </row>
    <row r="39" spans="1:38" x14ac:dyDescent="0.2">
      <c r="B39" s="32">
        <v>1</v>
      </c>
      <c r="C39" s="32">
        <v>1</v>
      </c>
      <c r="D39" s="32">
        <v>1</v>
      </c>
      <c r="E39" s="32">
        <f>FPS!AF3</f>
        <v>0</v>
      </c>
      <c r="F39" s="32">
        <f>FPS!AF4</f>
        <v>0</v>
      </c>
      <c r="G39" s="32">
        <f>FPS!AF5</f>
        <v>0</v>
      </c>
      <c r="H39" s="32">
        <f>FPS!AF6</f>
        <v>0</v>
      </c>
      <c r="I39" s="32">
        <f>FPS!AF7</f>
        <v>0</v>
      </c>
      <c r="J39" s="32">
        <f>FPS!AF8</f>
        <v>0</v>
      </c>
      <c r="K39" s="32">
        <f>FPS!AF9</f>
        <v>0</v>
      </c>
      <c r="L39" s="32">
        <f>FPS!AF10</f>
        <v>0</v>
      </c>
      <c r="M39" s="32">
        <f>FPS!AF11</f>
        <v>0</v>
      </c>
      <c r="N39" s="32">
        <f>FPS!AF12</f>
        <v>0</v>
      </c>
      <c r="O39" s="32">
        <f>FPS!AF13</f>
        <v>0</v>
      </c>
      <c r="P39" s="32">
        <f>FPS!AF14</f>
        <v>0</v>
      </c>
      <c r="Q39" s="32">
        <f>FPS!AF15</f>
        <v>0</v>
      </c>
      <c r="R39" s="32">
        <f>FPS!AF16</f>
        <v>0</v>
      </c>
      <c r="S39" s="32">
        <f>FPS!AF17</f>
        <v>0</v>
      </c>
      <c r="T39" s="32">
        <f>FPS!AF18</f>
        <v>0</v>
      </c>
      <c r="U39" s="32">
        <f>FPS!AF19</f>
        <v>0</v>
      </c>
      <c r="V39" s="32">
        <f>FPS!AF20</f>
        <v>0</v>
      </c>
      <c r="W39" s="32">
        <f>FPS!AF21</f>
        <v>0</v>
      </c>
      <c r="X39" s="32">
        <f>FPS!AF22</f>
        <v>0</v>
      </c>
      <c r="Y39" s="32">
        <f>FPS!AF23</f>
        <v>0</v>
      </c>
      <c r="Z39" s="32">
        <f>FPS!AF24</f>
        <v>0</v>
      </c>
      <c r="AA39" s="32">
        <f>FPS!AF25</f>
        <v>0</v>
      </c>
      <c r="AB39" s="32">
        <f>FPS!AF26</f>
        <v>0</v>
      </c>
      <c r="AC39" s="32">
        <f>FPS!AF27</f>
        <v>0</v>
      </c>
      <c r="AD39" s="32">
        <f>FPS!AF28</f>
        <v>0</v>
      </c>
      <c r="AE39" s="32">
        <f>FPS!AF29</f>
        <v>0</v>
      </c>
      <c r="AF39" s="32">
        <f>FPS!AF30</f>
        <v>0</v>
      </c>
      <c r="AG39" s="32">
        <f>FPS!AF31</f>
        <v>0</v>
      </c>
      <c r="AH39" s="32">
        <f>FPS!AF32</f>
        <v>0</v>
      </c>
      <c r="AI39" s="32">
        <f>FPS!AF33</f>
        <v>0</v>
      </c>
      <c r="AJ39" s="32">
        <f t="shared" si="2"/>
        <v>0</v>
      </c>
      <c r="AK39" s="32">
        <f t="shared" si="0"/>
        <v>0</v>
      </c>
      <c r="AL39" s="32">
        <f t="shared" si="0"/>
        <v>0</v>
      </c>
    </row>
    <row r="40" spans="1:38" x14ac:dyDescent="0.2">
      <c r="B40" s="32">
        <v>1</v>
      </c>
      <c r="C40" s="32">
        <v>1</v>
      </c>
      <c r="D40" s="32">
        <v>1</v>
      </c>
      <c r="E40" s="32">
        <f>FPS!AG3</f>
        <v>0</v>
      </c>
      <c r="F40" s="32">
        <f>FPS!AG4</f>
        <v>0</v>
      </c>
      <c r="G40" s="32">
        <f>FPS!AG5</f>
        <v>0</v>
      </c>
      <c r="H40" s="32">
        <f>FPS!AG6</f>
        <v>0</v>
      </c>
      <c r="I40" s="32">
        <f>FPS!AG7</f>
        <v>0</v>
      </c>
      <c r="J40" s="32">
        <f>FPS!AG8</f>
        <v>0</v>
      </c>
      <c r="K40" s="32">
        <f>FPS!AG9</f>
        <v>0</v>
      </c>
      <c r="L40" s="32">
        <f>FPS!AG10</f>
        <v>0</v>
      </c>
      <c r="M40" s="32">
        <f>FPS!AG11</f>
        <v>0</v>
      </c>
      <c r="N40" s="32">
        <f>FPS!AG12</f>
        <v>0</v>
      </c>
      <c r="O40" s="32">
        <f>FPS!AG13</f>
        <v>0</v>
      </c>
      <c r="P40" s="32">
        <f>FPS!AG14</f>
        <v>0</v>
      </c>
      <c r="Q40" s="32">
        <f>FPS!AG15</f>
        <v>0</v>
      </c>
      <c r="R40" s="32">
        <f>FPS!AG16</f>
        <v>0</v>
      </c>
      <c r="S40" s="32">
        <f>FPS!AG17</f>
        <v>0</v>
      </c>
      <c r="T40" s="32">
        <f>FPS!AG18</f>
        <v>0</v>
      </c>
      <c r="U40" s="32">
        <f>FPS!AG19</f>
        <v>0</v>
      </c>
      <c r="V40" s="32">
        <f>FPS!AG20</f>
        <v>0</v>
      </c>
      <c r="W40" s="32">
        <f>FPS!AG21</f>
        <v>0</v>
      </c>
      <c r="X40" s="32">
        <f>FPS!AG22</f>
        <v>0</v>
      </c>
      <c r="Y40" s="32">
        <f>FPS!AG23</f>
        <v>0</v>
      </c>
      <c r="Z40" s="32">
        <f>FPS!AG24</f>
        <v>0</v>
      </c>
      <c r="AA40" s="32">
        <f>FPS!AG25</f>
        <v>0</v>
      </c>
      <c r="AB40" s="32">
        <f>FPS!AG26</f>
        <v>0</v>
      </c>
      <c r="AC40" s="32">
        <f>FPS!AG27</f>
        <v>0</v>
      </c>
      <c r="AD40" s="32">
        <f>FPS!AG28</f>
        <v>0</v>
      </c>
      <c r="AE40" s="32">
        <f>FPS!AG29</f>
        <v>0</v>
      </c>
      <c r="AF40" s="32">
        <f>FPS!AG30</f>
        <v>0</v>
      </c>
      <c r="AG40" s="32">
        <f>FPS!AG31</f>
        <v>0</v>
      </c>
      <c r="AH40" s="32">
        <f>FPS!AG32</f>
        <v>0</v>
      </c>
      <c r="AI40" s="32">
        <f>FPS!AG33</f>
        <v>0</v>
      </c>
      <c r="AJ40" s="32">
        <f t="shared" si="2"/>
        <v>0</v>
      </c>
      <c r="AK40" s="32">
        <f t="shared" si="0"/>
        <v>0</v>
      </c>
      <c r="AL40" s="32">
        <f t="shared" si="0"/>
        <v>0</v>
      </c>
    </row>
    <row r="41" spans="1:38" x14ac:dyDescent="0.2">
      <c r="A41" s="23">
        <v>9</v>
      </c>
      <c r="B41" s="32">
        <v>1</v>
      </c>
      <c r="C41" s="32">
        <v>1</v>
      </c>
      <c r="D41" s="32">
        <v>1</v>
      </c>
      <c r="E41" s="32">
        <f>FPS!AH3</f>
        <v>0</v>
      </c>
      <c r="F41" s="32">
        <f>FPS!AH4</f>
        <v>0</v>
      </c>
      <c r="G41" s="32">
        <f>FPS!AH5</f>
        <v>0</v>
      </c>
      <c r="H41" s="32">
        <f>FPS!AH6</f>
        <v>0</v>
      </c>
      <c r="I41" s="32">
        <f>FPS!AH7</f>
        <v>0</v>
      </c>
      <c r="J41" s="32">
        <f>FPS!AH8</f>
        <v>0</v>
      </c>
      <c r="K41" s="32">
        <f>FPS!AH9</f>
        <v>0</v>
      </c>
      <c r="L41" s="32">
        <f>FPS!AH10</f>
        <v>0</v>
      </c>
      <c r="M41" s="32">
        <f>FPS!AH11</f>
        <v>0</v>
      </c>
      <c r="N41" s="32">
        <f>FPS!AH12</f>
        <v>0</v>
      </c>
      <c r="O41" s="32">
        <f>FPS!AH13</f>
        <v>0</v>
      </c>
      <c r="P41" s="32">
        <f>FPS!AH14</f>
        <v>0</v>
      </c>
      <c r="Q41" s="32">
        <f>FPS!AH15</f>
        <v>0</v>
      </c>
      <c r="R41" s="32">
        <f>FPS!AH16</f>
        <v>0</v>
      </c>
      <c r="S41" s="32">
        <f>FPS!AH17</f>
        <v>0</v>
      </c>
      <c r="T41" s="32">
        <f>FPS!AH18</f>
        <v>0</v>
      </c>
      <c r="U41" s="32">
        <f>FPS!AH19</f>
        <v>0</v>
      </c>
      <c r="V41" s="32">
        <f>FPS!AH20</f>
        <v>0</v>
      </c>
      <c r="W41" s="32">
        <f>FPS!AH21</f>
        <v>0</v>
      </c>
      <c r="X41" s="32">
        <f>FPS!AH22</f>
        <v>0</v>
      </c>
      <c r="Y41" s="32">
        <f>FPS!AH23</f>
        <v>0</v>
      </c>
      <c r="Z41" s="32">
        <f>FPS!AH24</f>
        <v>0</v>
      </c>
      <c r="AA41" s="32">
        <f>FPS!AH25</f>
        <v>0</v>
      </c>
      <c r="AB41" s="32">
        <f>FPS!AH26</f>
        <v>0</v>
      </c>
      <c r="AC41" s="32">
        <f>FPS!AH27</f>
        <v>0</v>
      </c>
      <c r="AD41" s="32">
        <f>FPS!AH28</f>
        <v>0</v>
      </c>
      <c r="AE41" s="32">
        <f>FPS!AH29</f>
        <v>0</v>
      </c>
      <c r="AF41" s="32">
        <f>FPS!AH30</f>
        <v>0</v>
      </c>
      <c r="AG41" s="32">
        <f>FPS!AH31</f>
        <v>0</v>
      </c>
      <c r="AH41" s="32">
        <f>FPS!AH32</f>
        <v>0</v>
      </c>
      <c r="AI41" s="32">
        <f>FPS!AH33</f>
        <v>0</v>
      </c>
      <c r="AJ41" s="32">
        <f t="shared" si="2"/>
        <v>0</v>
      </c>
      <c r="AK41" s="32">
        <f t="shared" si="0"/>
        <v>0</v>
      </c>
      <c r="AL41" s="32">
        <f t="shared" si="0"/>
        <v>0</v>
      </c>
    </row>
    <row r="42" spans="1:38" x14ac:dyDescent="0.2">
      <c r="B42" s="32">
        <v>1</v>
      </c>
      <c r="C42" s="32">
        <v>1</v>
      </c>
      <c r="D42" s="32">
        <v>1</v>
      </c>
      <c r="E42" s="32">
        <f>FPS!AI3</f>
        <v>0</v>
      </c>
      <c r="F42" s="32">
        <f>FPS!AI4</f>
        <v>0</v>
      </c>
      <c r="G42" s="32">
        <f>FPS!AI5</f>
        <v>0</v>
      </c>
      <c r="H42" s="32">
        <f>FPS!AI6</f>
        <v>0</v>
      </c>
      <c r="I42" s="32">
        <f>FPS!AI7</f>
        <v>0</v>
      </c>
      <c r="J42" s="32">
        <f>FPS!AI8</f>
        <v>0</v>
      </c>
      <c r="K42" s="32">
        <f>FPS!AI9</f>
        <v>0</v>
      </c>
      <c r="L42" s="32">
        <f>FPS!AI10</f>
        <v>0</v>
      </c>
      <c r="M42" s="32">
        <f>FPS!AI11</f>
        <v>0</v>
      </c>
      <c r="N42" s="32">
        <f>FPS!AI12</f>
        <v>0</v>
      </c>
      <c r="O42" s="32">
        <f>FPS!AI13</f>
        <v>0</v>
      </c>
      <c r="P42" s="32">
        <f>FPS!AI14</f>
        <v>0</v>
      </c>
      <c r="Q42" s="32">
        <f>FPS!AI15</f>
        <v>0</v>
      </c>
      <c r="R42" s="32">
        <f>FPS!AI16</f>
        <v>0</v>
      </c>
      <c r="S42" s="32">
        <f>FPS!AI17</f>
        <v>0</v>
      </c>
      <c r="T42" s="32">
        <f>FPS!AI18</f>
        <v>0</v>
      </c>
      <c r="U42" s="32">
        <f>FPS!AI19</f>
        <v>0</v>
      </c>
      <c r="V42" s="32">
        <f>FPS!AI20</f>
        <v>0</v>
      </c>
      <c r="W42" s="32">
        <f>FPS!AI21</f>
        <v>0</v>
      </c>
      <c r="X42" s="32">
        <f>FPS!AI22</f>
        <v>0</v>
      </c>
      <c r="Y42" s="32">
        <f>FPS!AI23</f>
        <v>0</v>
      </c>
      <c r="Z42" s="32">
        <f>FPS!AI24</f>
        <v>0</v>
      </c>
      <c r="AA42" s="32">
        <f>FPS!AI25</f>
        <v>0</v>
      </c>
      <c r="AB42" s="32">
        <f>FPS!AI26</f>
        <v>0</v>
      </c>
      <c r="AC42" s="32">
        <f>FPS!AI27</f>
        <v>0</v>
      </c>
      <c r="AD42" s="32">
        <f>FPS!AI28</f>
        <v>0</v>
      </c>
      <c r="AE42" s="32">
        <f>FPS!AI29</f>
        <v>0</v>
      </c>
      <c r="AF42" s="32">
        <f>FPS!AI30</f>
        <v>0</v>
      </c>
      <c r="AG42" s="32">
        <f>FPS!AI31</f>
        <v>0</v>
      </c>
      <c r="AH42" s="32">
        <f>FPS!AI32</f>
        <v>0</v>
      </c>
      <c r="AI42" s="32">
        <f>FPS!AI33</f>
        <v>0</v>
      </c>
      <c r="AJ42" s="32">
        <f t="shared" si="2"/>
        <v>0</v>
      </c>
      <c r="AK42" s="32">
        <f t="shared" si="0"/>
        <v>0</v>
      </c>
      <c r="AL42" s="32">
        <f t="shared" si="0"/>
        <v>0</v>
      </c>
    </row>
    <row r="43" spans="1:38" x14ac:dyDescent="0.2">
      <c r="B43" s="32">
        <v>1</v>
      </c>
      <c r="C43" s="32">
        <v>1</v>
      </c>
      <c r="D43" s="32">
        <v>1</v>
      </c>
      <c r="E43" s="32">
        <f>FPS!AJ3</f>
        <v>0</v>
      </c>
      <c r="F43" s="32">
        <f>FPS!AJ4</f>
        <v>0</v>
      </c>
      <c r="G43" s="32">
        <f>FPS!AJ5</f>
        <v>0</v>
      </c>
      <c r="H43" s="32">
        <f>FPS!AJ6</f>
        <v>0</v>
      </c>
      <c r="I43" s="32">
        <f>FPS!AJ7</f>
        <v>0</v>
      </c>
      <c r="J43" s="32">
        <f>FPS!AJ8</f>
        <v>0</v>
      </c>
      <c r="K43" s="32">
        <f>FPS!AJ9</f>
        <v>0</v>
      </c>
      <c r="L43" s="32">
        <f>FPS!AJ10</f>
        <v>0</v>
      </c>
      <c r="M43" s="32">
        <f>FPS!AJ11</f>
        <v>0</v>
      </c>
      <c r="N43" s="32">
        <f>FPS!AJ12</f>
        <v>0</v>
      </c>
      <c r="O43" s="32">
        <f>FPS!AJ13</f>
        <v>0</v>
      </c>
      <c r="P43" s="32">
        <f>FPS!AJ14</f>
        <v>0</v>
      </c>
      <c r="Q43" s="32">
        <f>FPS!AJ15</f>
        <v>0</v>
      </c>
      <c r="R43" s="32">
        <f>FPS!AJ16</f>
        <v>0</v>
      </c>
      <c r="S43" s="32">
        <f>FPS!AJ17</f>
        <v>0</v>
      </c>
      <c r="T43" s="32">
        <f>FPS!AJ18</f>
        <v>0</v>
      </c>
      <c r="U43" s="32">
        <f>FPS!AJ19</f>
        <v>0</v>
      </c>
      <c r="V43" s="32">
        <f>FPS!AJ20</f>
        <v>0</v>
      </c>
      <c r="W43" s="32">
        <f>FPS!AJ21</f>
        <v>0</v>
      </c>
      <c r="X43" s="32">
        <f>FPS!AJ22</f>
        <v>0</v>
      </c>
      <c r="Y43" s="32">
        <f>FPS!AJ23</f>
        <v>0</v>
      </c>
      <c r="Z43" s="32">
        <f>FPS!AJ24</f>
        <v>0</v>
      </c>
      <c r="AA43" s="32">
        <f>FPS!AJ25</f>
        <v>0</v>
      </c>
      <c r="AB43" s="32">
        <f>FPS!AJ26</f>
        <v>0</v>
      </c>
      <c r="AC43" s="32">
        <f>FPS!AJ27</f>
        <v>0</v>
      </c>
      <c r="AD43" s="32">
        <f>FPS!AJ28</f>
        <v>0</v>
      </c>
      <c r="AE43" s="32">
        <f>FPS!AJ29</f>
        <v>0</v>
      </c>
      <c r="AF43" s="32">
        <f>FPS!AJ30</f>
        <v>0</v>
      </c>
      <c r="AG43" s="32">
        <f>FPS!AJ31</f>
        <v>0</v>
      </c>
      <c r="AH43" s="32">
        <f>FPS!AJ32</f>
        <v>0</v>
      </c>
      <c r="AI43" s="32">
        <f>FPS!AJ33</f>
        <v>0</v>
      </c>
      <c r="AJ43" s="32">
        <f t="shared" si="2"/>
        <v>0</v>
      </c>
      <c r="AK43" s="32">
        <f t="shared" si="0"/>
        <v>0</v>
      </c>
      <c r="AL43" s="32">
        <f t="shared" si="0"/>
        <v>0</v>
      </c>
    </row>
    <row r="44" spans="1:38" x14ac:dyDescent="0.2">
      <c r="B44" s="32">
        <v>1</v>
      </c>
      <c r="C44" s="32">
        <v>1</v>
      </c>
      <c r="D44" s="32">
        <v>1</v>
      </c>
      <c r="E44" s="32">
        <f>FPS!AK3</f>
        <v>0</v>
      </c>
      <c r="F44" s="32">
        <f>FPS!AK4</f>
        <v>0</v>
      </c>
      <c r="G44" s="32">
        <f>FPS!AK5</f>
        <v>0</v>
      </c>
      <c r="H44" s="32">
        <f>FPS!AK6</f>
        <v>0</v>
      </c>
      <c r="I44" s="32">
        <f>FPS!AK7</f>
        <v>0</v>
      </c>
      <c r="J44" s="32">
        <f>FPS!AK8</f>
        <v>0</v>
      </c>
      <c r="K44" s="32">
        <f>FPS!AK9</f>
        <v>0</v>
      </c>
      <c r="L44" s="32">
        <f>FPS!AK10</f>
        <v>0</v>
      </c>
      <c r="M44" s="32">
        <f>FPS!AK11</f>
        <v>0</v>
      </c>
      <c r="N44" s="32">
        <f>FPS!AK12</f>
        <v>0</v>
      </c>
      <c r="O44" s="32">
        <f>FPS!AK13</f>
        <v>0</v>
      </c>
      <c r="P44" s="32">
        <f>FPS!AK14</f>
        <v>0</v>
      </c>
      <c r="Q44" s="32">
        <f>FPS!AK15</f>
        <v>0</v>
      </c>
      <c r="R44" s="32">
        <f>FPS!AK16</f>
        <v>0</v>
      </c>
      <c r="S44" s="32">
        <f>FPS!AK17</f>
        <v>0</v>
      </c>
      <c r="T44" s="32">
        <f>FPS!AK18</f>
        <v>0</v>
      </c>
      <c r="U44" s="32">
        <f>FPS!AK19</f>
        <v>0</v>
      </c>
      <c r="V44" s="32">
        <f>FPS!AK20</f>
        <v>0</v>
      </c>
      <c r="W44" s="32">
        <f>FPS!AK21</f>
        <v>0</v>
      </c>
      <c r="X44" s="32">
        <f>FPS!AK22</f>
        <v>0</v>
      </c>
      <c r="Y44" s="32">
        <f>FPS!AK23</f>
        <v>0</v>
      </c>
      <c r="Z44" s="32">
        <f>FPS!AK24</f>
        <v>0</v>
      </c>
      <c r="AA44" s="32">
        <f>FPS!AK25</f>
        <v>0</v>
      </c>
      <c r="AB44" s="32">
        <f>FPS!AK26</f>
        <v>0</v>
      </c>
      <c r="AC44" s="32">
        <f>FPS!AK27</f>
        <v>0</v>
      </c>
      <c r="AD44" s="32">
        <f>FPS!AK28</f>
        <v>0</v>
      </c>
      <c r="AE44" s="32">
        <f>FPS!AK29</f>
        <v>0</v>
      </c>
      <c r="AF44" s="32">
        <f>FPS!AK30</f>
        <v>0</v>
      </c>
      <c r="AG44" s="32">
        <f>FPS!AK31</f>
        <v>0</v>
      </c>
      <c r="AH44" s="32">
        <f>FPS!AK32</f>
        <v>0</v>
      </c>
      <c r="AI44" s="32">
        <f>FPS!AK33</f>
        <v>0</v>
      </c>
      <c r="AJ44" s="32">
        <f t="shared" si="2"/>
        <v>0</v>
      </c>
      <c r="AK44" s="32">
        <f t="shared" si="0"/>
        <v>0</v>
      </c>
      <c r="AL44" s="32">
        <f t="shared" si="0"/>
        <v>0</v>
      </c>
    </row>
    <row r="45" spans="1:38" x14ac:dyDescent="0.2">
      <c r="A45" s="23">
        <v>10</v>
      </c>
      <c r="B45" s="32">
        <v>1</v>
      </c>
      <c r="C45" s="32">
        <v>1</v>
      </c>
      <c r="D45" s="32">
        <v>1</v>
      </c>
      <c r="E45" s="32">
        <f>FPS!AL3</f>
        <v>0</v>
      </c>
      <c r="F45" s="32">
        <f>FPS!AL4</f>
        <v>0</v>
      </c>
      <c r="G45" s="32">
        <f>FPS!AL5</f>
        <v>0</v>
      </c>
      <c r="H45" s="32">
        <f>FPS!AL6</f>
        <v>0</v>
      </c>
      <c r="I45" s="32">
        <f>FPS!AL7</f>
        <v>0</v>
      </c>
      <c r="J45" s="32">
        <f>FPS!AL8</f>
        <v>0</v>
      </c>
      <c r="K45" s="32">
        <f>FPS!AL9</f>
        <v>0</v>
      </c>
      <c r="L45" s="32">
        <f>FPS!AL10</f>
        <v>0</v>
      </c>
      <c r="M45" s="32">
        <f>FPS!AL11</f>
        <v>0</v>
      </c>
      <c r="N45" s="32">
        <f>FPS!AL12</f>
        <v>0</v>
      </c>
      <c r="O45" s="32">
        <f>FPS!AL13</f>
        <v>0</v>
      </c>
      <c r="P45" s="32">
        <f>FPS!AL14</f>
        <v>0</v>
      </c>
      <c r="Q45" s="32">
        <f>FPS!AL15</f>
        <v>0</v>
      </c>
      <c r="R45" s="32">
        <f>FPS!AL16</f>
        <v>0</v>
      </c>
      <c r="S45" s="32">
        <f>FPS!AL17</f>
        <v>0</v>
      </c>
      <c r="T45" s="32">
        <f>FPS!AL18</f>
        <v>0</v>
      </c>
      <c r="U45" s="32">
        <f>FPS!AL19</f>
        <v>0</v>
      </c>
      <c r="V45" s="32">
        <f>FPS!AL20</f>
        <v>0</v>
      </c>
      <c r="W45" s="32">
        <f>FPS!AL21</f>
        <v>0</v>
      </c>
      <c r="X45" s="32">
        <f>FPS!AL22</f>
        <v>0</v>
      </c>
      <c r="Y45" s="32">
        <f>FPS!AL23</f>
        <v>0</v>
      </c>
      <c r="Z45" s="32">
        <f>FPS!AL24</f>
        <v>0</v>
      </c>
      <c r="AA45" s="32">
        <f>FPS!AL25</f>
        <v>0</v>
      </c>
      <c r="AB45" s="32">
        <f>FPS!AL26</f>
        <v>0</v>
      </c>
      <c r="AC45" s="32">
        <f>FPS!AL27</f>
        <v>0</v>
      </c>
      <c r="AD45" s="32">
        <f>FPS!AL28</f>
        <v>0</v>
      </c>
      <c r="AE45" s="32">
        <f>FPS!AL29</f>
        <v>0</v>
      </c>
      <c r="AF45" s="32">
        <f>FPS!AL30</f>
        <v>0</v>
      </c>
      <c r="AG45" s="32">
        <f>FPS!AL31</f>
        <v>0</v>
      </c>
      <c r="AH45" s="32">
        <f>FPS!AL32</f>
        <v>0</v>
      </c>
      <c r="AI45" s="32">
        <f>FPS!AL33</f>
        <v>0</v>
      </c>
      <c r="AJ45" s="32">
        <f t="shared" si="2"/>
        <v>0</v>
      </c>
      <c r="AK45" s="32">
        <f t="shared" si="0"/>
        <v>0</v>
      </c>
      <c r="AL45" s="32">
        <f t="shared" si="0"/>
        <v>0</v>
      </c>
    </row>
    <row r="46" spans="1:38" x14ac:dyDescent="0.2">
      <c r="B46" s="32">
        <v>1</v>
      </c>
      <c r="C46" s="32">
        <v>1</v>
      </c>
      <c r="D46" s="32">
        <v>1</v>
      </c>
      <c r="E46" s="32">
        <f>FPS!AM3</f>
        <v>0</v>
      </c>
      <c r="F46" s="32">
        <f>FPS!AM4</f>
        <v>0</v>
      </c>
      <c r="G46" s="32">
        <f>FPS!AM5</f>
        <v>0</v>
      </c>
      <c r="H46" s="32">
        <f>FPS!AM6</f>
        <v>0</v>
      </c>
      <c r="I46" s="32">
        <f>FPS!AM7</f>
        <v>0</v>
      </c>
      <c r="J46" s="32">
        <f>FPS!AM8</f>
        <v>0</v>
      </c>
      <c r="K46" s="32">
        <f>FPS!AM9</f>
        <v>0</v>
      </c>
      <c r="L46" s="32">
        <f>FPS!AM10</f>
        <v>0</v>
      </c>
      <c r="M46" s="32">
        <f>FPS!AM11</f>
        <v>0</v>
      </c>
      <c r="N46" s="32">
        <f>FPS!AM12</f>
        <v>0</v>
      </c>
      <c r="O46" s="32">
        <f>FPS!AM13</f>
        <v>0</v>
      </c>
      <c r="P46" s="32">
        <f>FPS!AM14</f>
        <v>0</v>
      </c>
      <c r="Q46" s="32">
        <f>FPS!AM15</f>
        <v>0</v>
      </c>
      <c r="R46" s="32">
        <f>FPS!AM16</f>
        <v>0</v>
      </c>
      <c r="S46" s="32">
        <f>FPS!AM17</f>
        <v>0</v>
      </c>
      <c r="T46" s="32">
        <f>FPS!AM18</f>
        <v>0</v>
      </c>
      <c r="U46" s="32">
        <f>FPS!AM19</f>
        <v>0</v>
      </c>
      <c r="V46" s="32">
        <f>FPS!AM20</f>
        <v>0</v>
      </c>
      <c r="W46" s="32">
        <f>FPS!AM21</f>
        <v>0</v>
      </c>
      <c r="X46" s="32">
        <f>FPS!AM22</f>
        <v>0</v>
      </c>
      <c r="Y46" s="32">
        <f>FPS!AM23</f>
        <v>0</v>
      </c>
      <c r="Z46" s="32">
        <f>FPS!AM24</f>
        <v>0</v>
      </c>
      <c r="AA46" s="32">
        <f>FPS!AM25</f>
        <v>0</v>
      </c>
      <c r="AB46" s="32">
        <f>FPS!AM26</f>
        <v>0</v>
      </c>
      <c r="AC46" s="32">
        <f>FPS!AM27</f>
        <v>0</v>
      </c>
      <c r="AD46" s="32">
        <f>FPS!AM28</f>
        <v>0</v>
      </c>
      <c r="AE46" s="32">
        <f>FPS!AM29</f>
        <v>0</v>
      </c>
      <c r="AF46" s="32">
        <f>FPS!AM30</f>
        <v>0</v>
      </c>
      <c r="AG46" s="32">
        <f>FPS!AM31</f>
        <v>0</v>
      </c>
      <c r="AH46" s="32">
        <f>FPS!AM32</f>
        <v>0</v>
      </c>
      <c r="AI46" s="32">
        <f>FPS!AM33</f>
        <v>0</v>
      </c>
      <c r="AJ46" s="32">
        <f t="shared" ref="AJ46:AJ65" si="3">AVERAGE($AG46:$AI46)</f>
        <v>0</v>
      </c>
      <c r="AK46" s="32">
        <f t="shared" si="0"/>
        <v>0</v>
      </c>
      <c r="AL46" s="32">
        <f t="shared" si="0"/>
        <v>0</v>
      </c>
    </row>
    <row r="47" spans="1:38" x14ac:dyDescent="0.2">
      <c r="B47" s="32">
        <v>1</v>
      </c>
      <c r="C47" s="32">
        <v>1</v>
      </c>
      <c r="D47" s="32">
        <v>1</v>
      </c>
      <c r="E47" s="32">
        <f>FPS!AN3</f>
        <v>0</v>
      </c>
      <c r="F47" s="32">
        <f>FPS!AN4</f>
        <v>0</v>
      </c>
      <c r="G47" s="32">
        <f>FPS!AN5</f>
        <v>0</v>
      </c>
      <c r="H47" s="32">
        <f>FPS!AN6</f>
        <v>0</v>
      </c>
      <c r="I47" s="32">
        <f>FPS!AN7</f>
        <v>0</v>
      </c>
      <c r="J47" s="32">
        <f>FPS!AN8</f>
        <v>0</v>
      </c>
      <c r="K47" s="32">
        <f>FPS!AN9</f>
        <v>0</v>
      </c>
      <c r="L47" s="32">
        <f>FPS!AN10</f>
        <v>0</v>
      </c>
      <c r="M47" s="32">
        <f>FPS!AN11</f>
        <v>0</v>
      </c>
      <c r="N47" s="32">
        <f>FPS!AN12</f>
        <v>0</v>
      </c>
      <c r="O47" s="32">
        <f>FPS!AN13</f>
        <v>0</v>
      </c>
      <c r="P47" s="32">
        <f>FPS!AN14</f>
        <v>0</v>
      </c>
      <c r="Q47" s="32">
        <f>FPS!AN15</f>
        <v>0</v>
      </c>
      <c r="R47" s="32">
        <f>FPS!AN16</f>
        <v>0</v>
      </c>
      <c r="S47" s="32">
        <f>FPS!AN17</f>
        <v>0</v>
      </c>
      <c r="T47" s="32">
        <f>FPS!AN18</f>
        <v>0</v>
      </c>
      <c r="U47" s="32">
        <f>FPS!AN19</f>
        <v>0</v>
      </c>
      <c r="V47" s="32">
        <f>FPS!AN20</f>
        <v>0</v>
      </c>
      <c r="W47" s="32">
        <f>FPS!AN21</f>
        <v>0</v>
      </c>
      <c r="X47" s="32">
        <f>FPS!AN22</f>
        <v>0</v>
      </c>
      <c r="Y47" s="32">
        <f>FPS!AN23</f>
        <v>0</v>
      </c>
      <c r="Z47" s="32">
        <f>FPS!AN24</f>
        <v>0</v>
      </c>
      <c r="AA47" s="32">
        <f>FPS!AN25</f>
        <v>0</v>
      </c>
      <c r="AB47" s="32">
        <f>FPS!AN26</f>
        <v>0</v>
      </c>
      <c r="AC47" s="32">
        <f>FPS!AN27</f>
        <v>0</v>
      </c>
      <c r="AD47" s="32">
        <f>FPS!AN28</f>
        <v>0</v>
      </c>
      <c r="AE47" s="32">
        <f>FPS!AN29</f>
        <v>0</v>
      </c>
      <c r="AF47" s="32">
        <f>FPS!AN30</f>
        <v>0</v>
      </c>
      <c r="AG47" s="32">
        <f>FPS!AN31</f>
        <v>0</v>
      </c>
      <c r="AH47" s="32">
        <f>FPS!AN32</f>
        <v>0</v>
      </c>
      <c r="AI47" s="32">
        <f>FPS!AN33</f>
        <v>0</v>
      </c>
      <c r="AJ47" s="32">
        <f t="shared" si="3"/>
        <v>0</v>
      </c>
      <c r="AK47" s="32">
        <f t="shared" si="0"/>
        <v>0</v>
      </c>
      <c r="AL47" s="32">
        <f t="shared" si="0"/>
        <v>0</v>
      </c>
    </row>
    <row r="48" spans="1:38" x14ac:dyDescent="0.2">
      <c r="B48" s="32">
        <v>1</v>
      </c>
      <c r="C48" s="32">
        <v>1</v>
      </c>
      <c r="D48" s="32">
        <v>1</v>
      </c>
      <c r="E48" s="32">
        <f>FPS!AO3</f>
        <v>0</v>
      </c>
      <c r="F48" s="32">
        <f>FPS!AO4</f>
        <v>0</v>
      </c>
      <c r="G48" s="32">
        <f>FPS!AO5</f>
        <v>0</v>
      </c>
      <c r="H48" s="32">
        <f>FPS!AO6</f>
        <v>0</v>
      </c>
      <c r="I48" s="32">
        <f>FPS!AO7</f>
        <v>0</v>
      </c>
      <c r="J48" s="32">
        <f>FPS!AO8</f>
        <v>0</v>
      </c>
      <c r="K48" s="32">
        <f>FPS!AO9</f>
        <v>0</v>
      </c>
      <c r="L48" s="32">
        <f>FPS!AO10</f>
        <v>0</v>
      </c>
      <c r="M48" s="32">
        <f>FPS!AO11</f>
        <v>0</v>
      </c>
      <c r="N48" s="32">
        <f>FPS!AO12</f>
        <v>0</v>
      </c>
      <c r="O48" s="32">
        <f>FPS!AO13</f>
        <v>0</v>
      </c>
      <c r="P48" s="32">
        <f>FPS!AO14</f>
        <v>0</v>
      </c>
      <c r="Q48" s="32">
        <f>FPS!AO15</f>
        <v>0</v>
      </c>
      <c r="R48" s="32">
        <f>FPS!AO16</f>
        <v>0</v>
      </c>
      <c r="S48" s="32">
        <f>FPS!AO17</f>
        <v>0</v>
      </c>
      <c r="T48" s="32">
        <f>FPS!AO18</f>
        <v>0</v>
      </c>
      <c r="U48" s="32">
        <f>FPS!AO19</f>
        <v>0</v>
      </c>
      <c r="V48" s="32">
        <f>FPS!AO20</f>
        <v>0</v>
      </c>
      <c r="W48" s="32">
        <f>FPS!AO21</f>
        <v>0</v>
      </c>
      <c r="X48" s="32">
        <f>FPS!AO22</f>
        <v>0</v>
      </c>
      <c r="Y48" s="32">
        <f>FPS!AO23</f>
        <v>0</v>
      </c>
      <c r="Z48" s="32">
        <f>FPS!AO24</f>
        <v>0</v>
      </c>
      <c r="AA48" s="32">
        <f>FPS!AO25</f>
        <v>0</v>
      </c>
      <c r="AB48" s="32">
        <f>FPS!AO26</f>
        <v>0</v>
      </c>
      <c r="AC48" s="32">
        <f>FPS!AO27</f>
        <v>0</v>
      </c>
      <c r="AD48" s="32">
        <f>FPS!AO28</f>
        <v>0</v>
      </c>
      <c r="AE48" s="32">
        <f>FPS!AO29</f>
        <v>0</v>
      </c>
      <c r="AF48" s="32">
        <f>FPS!AO30</f>
        <v>0</v>
      </c>
      <c r="AG48" s="32">
        <f>FPS!AO31</f>
        <v>0</v>
      </c>
      <c r="AH48" s="32">
        <f>FPS!AO32</f>
        <v>0</v>
      </c>
      <c r="AI48" s="32">
        <f>FPS!AO33</f>
        <v>0</v>
      </c>
      <c r="AJ48" s="32">
        <f t="shared" si="3"/>
        <v>0</v>
      </c>
      <c r="AK48" s="32">
        <f t="shared" si="0"/>
        <v>0</v>
      </c>
      <c r="AL48" s="32">
        <f t="shared" si="0"/>
        <v>0</v>
      </c>
    </row>
    <row r="49" spans="1:38" x14ac:dyDescent="0.2">
      <c r="A49" s="23">
        <v>11</v>
      </c>
      <c r="B49" s="32">
        <v>1</v>
      </c>
      <c r="C49" s="32">
        <v>1</v>
      </c>
      <c r="D49" s="32">
        <v>1</v>
      </c>
      <c r="E49" s="32">
        <f>FPS!AP3</f>
        <v>0</v>
      </c>
      <c r="F49" s="32">
        <f>FPS!AP4</f>
        <v>0</v>
      </c>
      <c r="G49" s="32">
        <f>FPS!AP5</f>
        <v>0</v>
      </c>
      <c r="H49" s="32">
        <f>FPS!AP6</f>
        <v>0</v>
      </c>
      <c r="I49" s="32">
        <f>FPS!AP7</f>
        <v>0</v>
      </c>
      <c r="J49" s="32">
        <f>FPS!AP8</f>
        <v>0</v>
      </c>
      <c r="K49" s="32">
        <f>FPS!AP9</f>
        <v>0</v>
      </c>
      <c r="L49" s="32">
        <f>FPS!AP10</f>
        <v>0</v>
      </c>
      <c r="M49" s="32">
        <f>FPS!AP11</f>
        <v>0</v>
      </c>
      <c r="N49" s="32">
        <f>FPS!AP12</f>
        <v>0</v>
      </c>
      <c r="O49" s="32">
        <f>FPS!AP13</f>
        <v>0</v>
      </c>
      <c r="P49" s="32">
        <f>FPS!AP14</f>
        <v>0</v>
      </c>
      <c r="Q49" s="32">
        <f>FPS!AP15</f>
        <v>0</v>
      </c>
      <c r="R49" s="32">
        <f>FPS!AP16</f>
        <v>0</v>
      </c>
      <c r="S49" s="32">
        <f>FPS!AP17</f>
        <v>0</v>
      </c>
      <c r="T49" s="32">
        <f>FPS!AP18</f>
        <v>0</v>
      </c>
      <c r="U49" s="32">
        <f>FPS!AP19</f>
        <v>0</v>
      </c>
      <c r="V49" s="32">
        <f>FPS!AP20</f>
        <v>0</v>
      </c>
      <c r="W49" s="32">
        <f>FPS!AP21</f>
        <v>0</v>
      </c>
      <c r="X49" s="32">
        <f>FPS!AP22</f>
        <v>0</v>
      </c>
      <c r="Y49" s="32">
        <f>FPS!AP23</f>
        <v>0</v>
      </c>
      <c r="Z49" s="32">
        <f>FPS!AP24</f>
        <v>0</v>
      </c>
      <c r="AA49" s="32">
        <f>FPS!AP25</f>
        <v>0</v>
      </c>
      <c r="AB49" s="32">
        <f>FPS!AP26</f>
        <v>0</v>
      </c>
      <c r="AC49" s="32">
        <f>FPS!AP27</f>
        <v>0</v>
      </c>
      <c r="AD49" s="32">
        <f>FPS!AP28</f>
        <v>0</v>
      </c>
      <c r="AE49" s="32">
        <f>FPS!AP29</f>
        <v>0</v>
      </c>
      <c r="AF49" s="32">
        <f>FPS!AP30</f>
        <v>0</v>
      </c>
      <c r="AG49" s="32">
        <f>FPS!AP31</f>
        <v>0</v>
      </c>
      <c r="AH49" s="32">
        <f>FPS!AP32</f>
        <v>0</v>
      </c>
      <c r="AI49" s="32">
        <f>FPS!AP33</f>
        <v>0</v>
      </c>
      <c r="AJ49" s="32">
        <f t="shared" si="3"/>
        <v>0</v>
      </c>
      <c r="AK49" s="32">
        <f t="shared" si="0"/>
        <v>0</v>
      </c>
      <c r="AL49" s="32">
        <f t="shared" si="0"/>
        <v>0</v>
      </c>
    </row>
    <row r="50" spans="1:38" x14ac:dyDescent="0.2">
      <c r="B50" s="32">
        <v>1</v>
      </c>
      <c r="C50" s="32">
        <v>1</v>
      </c>
      <c r="D50" s="32">
        <v>1</v>
      </c>
      <c r="E50" s="32">
        <f>FPS!AQ3</f>
        <v>0</v>
      </c>
      <c r="F50" s="32">
        <f>FPS!AQ4</f>
        <v>0</v>
      </c>
      <c r="G50" s="32">
        <f>FPS!AQ5</f>
        <v>0</v>
      </c>
      <c r="H50" s="32">
        <f>FPS!AQ6</f>
        <v>0</v>
      </c>
      <c r="I50" s="32">
        <f>FPS!AQ7</f>
        <v>0</v>
      </c>
      <c r="J50" s="32">
        <f>FPS!AQ8</f>
        <v>0</v>
      </c>
      <c r="K50" s="32">
        <f>FPS!AQ9</f>
        <v>0</v>
      </c>
      <c r="L50" s="32">
        <f>FPS!AQ10</f>
        <v>0</v>
      </c>
      <c r="M50" s="32">
        <f>FPS!AQ11</f>
        <v>0</v>
      </c>
      <c r="N50" s="32">
        <f>FPS!AQ12</f>
        <v>0</v>
      </c>
      <c r="O50" s="32">
        <f>FPS!AQ13</f>
        <v>0</v>
      </c>
      <c r="P50" s="32">
        <f>FPS!AQ14</f>
        <v>0</v>
      </c>
      <c r="Q50" s="32">
        <f>FPS!AQ15</f>
        <v>0</v>
      </c>
      <c r="R50" s="32">
        <f>FPS!AQ16</f>
        <v>0</v>
      </c>
      <c r="S50" s="32">
        <f>FPS!AQ17</f>
        <v>0</v>
      </c>
      <c r="T50" s="32">
        <f>FPS!AQ18</f>
        <v>0</v>
      </c>
      <c r="U50" s="32">
        <f>FPS!AQ19</f>
        <v>0</v>
      </c>
      <c r="V50" s="32">
        <f>FPS!AQ20</f>
        <v>0</v>
      </c>
      <c r="W50" s="32">
        <f>FPS!AQ21</f>
        <v>0</v>
      </c>
      <c r="X50" s="32">
        <f>FPS!AQ22</f>
        <v>0</v>
      </c>
      <c r="Y50" s="32">
        <f>FPS!AQ23</f>
        <v>0</v>
      </c>
      <c r="Z50" s="32">
        <f>FPS!AQ24</f>
        <v>0</v>
      </c>
      <c r="AA50" s="32">
        <f>FPS!AQ25</f>
        <v>0</v>
      </c>
      <c r="AB50" s="32">
        <f>FPS!AQ26</f>
        <v>0</v>
      </c>
      <c r="AC50" s="32">
        <f>FPS!AQ27</f>
        <v>0</v>
      </c>
      <c r="AD50" s="32">
        <f>FPS!AQ28</f>
        <v>0</v>
      </c>
      <c r="AE50" s="32">
        <f>FPS!AQ29</f>
        <v>0</v>
      </c>
      <c r="AF50" s="32">
        <f>FPS!AQ30</f>
        <v>0</v>
      </c>
      <c r="AG50" s="32">
        <f>FPS!AQ31</f>
        <v>0</v>
      </c>
      <c r="AH50" s="32">
        <f>FPS!AQ32</f>
        <v>0</v>
      </c>
      <c r="AI50" s="32">
        <f>FPS!AQ33</f>
        <v>0</v>
      </c>
      <c r="AJ50" s="32">
        <f t="shared" si="3"/>
        <v>0</v>
      </c>
      <c r="AK50" s="32">
        <f t="shared" si="0"/>
        <v>0</v>
      </c>
      <c r="AL50" s="32">
        <f t="shared" si="0"/>
        <v>0</v>
      </c>
    </row>
    <row r="51" spans="1:38" x14ac:dyDescent="0.2">
      <c r="B51" s="32">
        <v>1</v>
      </c>
      <c r="C51" s="32">
        <v>1</v>
      </c>
      <c r="D51" s="32">
        <v>1</v>
      </c>
      <c r="E51" s="32">
        <f>FPS!AR3</f>
        <v>0</v>
      </c>
      <c r="F51" s="32">
        <f>FPS!AR4</f>
        <v>0</v>
      </c>
      <c r="G51" s="32">
        <f>FPS!AR5</f>
        <v>0</v>
      </c>
      <c r="H51" s="32">
        <f>FPS!AR6</f>
        <v>0</v>
      </c>
      <c r="I51" s="32">
        <f>FPS!AR7</f>
        <v>0</v>
      </c>
      <c r="J51" s="32">
        <f>FPS!AR8</f>
        <v>0</v>
      </c>
      <c r="K51" s="32">
        <f>FPS!AR9</f>
        <v>0</v>
      </c>
      <c r="L51" s="32">
        <f>FPS!AR10</f>
        <v>0</v>
      </c>
      <c r="M51" s="32">
        <f>FPS!AR11</f>
        <v>0</v>
      </c>
      <c r="N51" s="32">
        <f>FPS!AR12</f>
        <v>0</v>
      </c>
      <c r="O51" s="32">
        <f>FPS!AR13</f>
        <v>0</v>
      </c>
      <c r="P51" s="32">
        <f>FPS!AR14</f>
        <v>0</v>
      </c>
      <c r="Q51" s="32">
        <f>FPS!AR15</f>
        <v>0</v>
      </c>
      <c r="R51" s="32">
        <f>FPS!AR16</f>
        <v>0</v>
      </c>
      <c r="S51" s="32">
        <f>FPS!AR17</f>
        <v>0</v>
      </c>
      <c r="T51" s="32">
        <f>FPS!AR18</f>
        <v>0</v>
      </c>
      <c r="U51" s="32">
        <f>FPS!AR19</f>
        <v>0</v>
      </c>
      <c r="V51" s="32">
        <f>FPS!AR20</f>
        <v>0</v>
      </c>
      <c r="W51" s="32">
        <f>FPS!AR21</f>
        <v>0</v>
      </c>
      <c r="X51" s="32">
        <f>FPS!AR22</f>
        <v>0</v>
      </c>
      <c r="Y51" s="32">
        <f>FPS!AR23</f>
        <v>0</v>
      </c>
      <c r="Z51" s="32">
        <f>FPS!AR24</f>
        <v>0</v>
      </c>
      <c r="AA51" s="32">
        <f>FPS!AR25</f>
        <v>0</v>
      </c>
      <c r="AB51" s="32">
        <f>FPS!AR26</f>
        <v>0</v>
      </c>
      <c r="AC51" s="32">
        <f>FPS!AR27</f>
        <v>0</v>
      </c>
      <c r="AD51" s="32">
        <f>FPS!AR28</f>
        <v>0</v>
      </c>
      <c r="AE51" s="32">
        <f>FPS!AR29</f>
        <v>0</v>
      </c>
      <c r="AF51" s="32">
        <f>FPS!AR30</f>
        <v>0</v>
      </c>
      <c r="AG51" s="32">
        <f>FPS!AR31</f>
        <v>0</v>
      </c>
      <c r="AH51" s="32">
        <f>FPS!AR32</f>
        <v>0</v>
      </c>
      <c r="AI51" s="32">
        <f>FPS!AR33</f>
        <v>0</v>
      </c>
      <c r="AJ51" s="32">
        <f t="shared" si="3"/>
        <v>0</v>
      </c>
      <c r="AK51" s="32">
        <f t="shared" si="0"/>
        <v>0</v>
      </c>
      <c r="AL51" s="32">
        <f t="shared" si="0"/>
        <v>0</v>
      </c>
    </row>
    <row r="52" spans="1:38" x14ac:dyDescent="0.2">
      <c r="B52" s="32">
        <v>1</v>
      </c>
      <c r="C52" s="32">
        <v>1</v>
      </c>
      <c r="D52" s="32">
        <v>1</v>
      </c>
      <c r="E52" s="32">
        <f>FPS!AS3</f>
        <v>0</v>
      </c>
      <c r="F52" s="32">
        <f>FPS!AS4</f>
        <v>0</v>
      </c>
      <c r="G52" s="32">
        <f>FPS!AS5</f>
        <v>0</v>
      </c>
      <c r="H52" s="32">
        <f>FPS!AS6</f>
        <v>0</v>
      </c>
      <c r="I52" s="32">
        <f>FPS!AS7</f>
        <v>0</v>
      </c>
      <c r="J52" s="32">
        <f>FPS!AS8</f>
        <v>0</v>
      </c>
      <c r="K52" s="32">
        <f>FPS!AS9</f>
        <v>0</v>
      </c>
      <c r="L52" s="32">
        <f>FPS!AS10</f>
        <v>0</v>
      </c>
      <c r="M52" s="32">
        <f>FPS!AS11</f>
        <v>0</v>
      </c>
      <c r="N52" s="32">
        <f>FPS!AS12</f>
        <v>0</v>
      </c>
      <c r="O52" s="32">
        <f>FPS!AS13</f>
        <v>0</v>
      </c>
      <c r="P52" s="32">
        <f>FPS!AS14</f>
        <v>0</v>
      </c>
      <c r="Q52" s="32">
        <f>FPS!AS15</f>
        <v>0</v>
      </c>
      <c r="R52" s="32">
        <f>FPS!AS16</f>
        <v>0</v>
      </c>
      <c r="S52" s="32">
        <f>FPS!AS17</f>
        <v>0</v>
      </c>
      <c r="T52" s="32">
        <f>FPS!AS18</f>
        <v>0</v>
      </c>
      <c r="U52" s="32">
        <f>FPS!AS19</f>
        <v>0</v>
      </c>
      <c r="V52" s="32">
        <f>FPS!AS20</f>
        <v>0</v>
      </c>
      <c r="W52" s="32">
        <f>FPS!AS21</f>
        <v>0</v>
      </c>
      <c r="X52" s="32">
        <f>FPS!AS22</f>
        <v>0</v>
      </c>
      <c r="Y52" s="32">
        <f>FPS!AS23</f>
        <v>0</v>
      </c>
      <c r="Z52" s="32">
        <f>FPS!AS24</f>
        <v>0</v>
      </c>
      <c r="AA52" s="32">
        <f>FPS!AS25</f>
        <v>0</v>
      </c>
      <c r="AB52" s="32">
        <f>FPS!AS26</f>
        <v>0</v>
      </c>
      <c r="AC52" s="32">
        <f>FPS!AS27</f>
        <v>0</v>
      </c>
      <c r="AD52" s="32">
        <f>FPS!AS28</f>
        <v>0</v>
      </c>
      <c r="AE52" s="32">
        <f>FPS!AS29</f>
        <v>0</v>
      </c>
      <c r="AF52" s="32">
        <f>FPS!AS30</f>
        <v>0</v>
      </c>
      <c r="AG52" s="32">
        <f>FPS!AS31</f>
        <v>0</v>
      </c>
      <c r="AH52" s="32">
        <f>FPS!AS32</f>
        <v>0</v>
      </c>
      <c r="AI52" s="32">
        <f>FPS!AS33</f>
        <v>0</v>
      </c>
      <c r="AJ52" s="32">
        <f t="shared" si="3"/>
        <v>0</v>
      </c>
      <c r="AK52" s="32">
        <f t="shared" si="0"/>
        <v>0</v>
      </c>
      <c r="AL52" s="32">
        <f t="shared" si="0"/>
        <v>0</v>
      </c>
    </row>
    <row r="53" spans="1:38" x14ac:dyDescent="0.2">
      <c r="A53" s="23">
        <v>12</v>
      </c>
      <c r="B53" s="32">
        <v>1</v>
      </c>
      <c r="C53" s="32">
        <v>1</v>
      </c>
      <c r="D53" s="32">
        <v>1</v>
      </c>
      <c r="E53" s="32">
        <f>FPS!AT3</f>
        <v>0</v>
      </c>
      <c r="F53" s="32">
        <f>FPS!AT4</f>
        <v>0</v>
      </c>
      <c r="G53" s="32">
        <f>FPS!AT5</f>
        <v>0</v>
      </c>
      <c r="H53" s="32">
        <f>FPS!AT6</f>
        <v>0</v>
      </c>
      <c r="I53" s="32">
        <f>FPS!AT7</f>
        <v>0</v>
      </c>
      <c r="J53" s="32">
        <f>FPS!AT8</f>
        <v>0</v>
      </c>
      <c r="K53" s="32">
        <f>FPS!AT9</f>
        <v>0</v>
      </c>
      <c r="L53" s="32">
        <f>FPS!AT10</f>
        <v>0</v>
      </c>
      <c r="M53" s="32">
        <f>FPS!AT11</f>
        <v>0</v>
      </c>
      <c r="N53" s="32">
        <f>FPS!AT12</f>
        <v>0</v>
      </c>
      <c r="O53" s="32">
        <f>FPS!AT13</f>
        <v>0</v>
      </c>
      <c r="P53" s="32">
        <f>FPS!AT14</f>
        <v>0</v>
      </c>
      <c r="Q53" s="32">
        <f>FPS!AT15</f>
        <v>0</v>
      </c>
      <c r="R53" s="32">
        <f>FPS!AT16</f>
        <v>0</v>
      </c>
      <c r="S53" s="32">
        <f>FPS!AT17</f>
        <v>0</v>
      </c>
      <c r="T53" s="32">
        <f>FPS!AT18</f>
        <v>0</v>
      </c>
      <c r="U53" s="32">
        <f>FPS!AT19</f>
        <v>0</v>
      </c>
      <c r="V53" s="32">
        <f>FPS!AT20</f>
        <v>0</v>
      </c>
      <c r="W53" s="32">
        <f>FPS!AT21</f>
        <v>0</v>
      </c>
      <c r="X53" s="32">
        <f>FPS!AT22</f>
        <v>0</v>
      </c>
      <c r="Y53" s="32">
        <f>FPS!AT23</f>
        <v>0</v>
      </c>
      <c r="Z53" s="32">
        <f>FPS!AT24</f>
        <v>0</v>
      </c>
      <c r="AA53" s="32">
        <f>FPS!AT25</f>
        <v>0</v>
      </c>
      <c r="AB53" s="32">
        <f>FPS!AT26</f>
        <v>0</v>
      </c>
      <c r="AC53" s="32">
        <f>FPS!AT27</f>
        <v>0</v>
      </c>
      <c r="AD53" s="32">
        <f>FPS!AT28</f>
        <v>0</v>
      </c>
      <c r="AE53" s="32">
        <f>FPS!AT29</f>
        <v>0</v>
      </c>
      <c r="AF53" s="32">
        <f>FPS!AT30</f>
        <v>0</v>
      </c>
      <c r="AG53" s="32">
        <f>FPS!AT31</f>
        <v>0</v>
      </c>
      <c r="AH53" s="32">
        <f>FPS!AT32</f>
        <v>0</v>
      </c>
      <c r="AI53" s="32">
        <f>FPS!AT33</f>
        <v>0</v>
      </c>
      <c r="AJ53" s="32">
        <f t="shared" si="3"/>
        <v>0</v>
      </c>
      <c r="AK53" s="32">
        <f t="shared" si="0"/>
        <v>0</v>
      </c>
      <c r="AL53" s="32">
        <f t="shared" si="0"/>
        <v>0</v>
      </c>
    </row>
    <row r="54" spans="1:38" x14ac:dyDescent="0.2">
      <c r="B54" s="32">
        <v>1</v>
      </c>
      <c r="C54" s="32">
        <v>1</v>
      </c>
      <c r="D54" s="32">
        <v>1</v>
      </c>
      <c r="E54" s="32">
        <f>FPS!AU3</f>
        <v>0</v>
      </c>
      <c r="F54" s="32">
        <f>FPS!AU4</f>
        <v>0</v>
      </c>
      <c r="G54" s="32">
        <f>FPS!AU5</f>
        <v>0</v>
      </c>
      <c r="H54" s="32">
        <f>FPS!AU6</f>
        <v>0</v>
      </c>
      <c r="I54" s="32">
        <f>FPS!AU7</f>
        <v>0</v>
      </c>
      <c r="J54" s="32">
        <f>FPS!AU8</f>
        <v>0</v>
      </c>
      <c r="K54" s="32">
        <f>FPS!AU9</f>
        <v>0</v>
      </c>
      <c r="L54" s="32">
        <f>FPS!AU10</f>
        <v>0</v>
      </c>
      <c r="M54" s="32">
        <f>FPS!AU11</f>
        <v>0</v>
      </c>
      <c r="N54" s="32">
        <f>FPS!AU12</f>
        <v>0</v>
      </c>
      <c r="O54" s="32">
        <f>FPS!AU13</f>
        <v>0</v>
      </c>
      <c r="P54" s="32">
        <f>FPS!AU14</f>
        <v>0</v>
      </c>
      <c r="Q54" s="32">
        <f>FPS!AU15</f>
        <v>0</v>
      </c>
      <c r="R54" s="32">
        <f>FPS!AU16</f>
        <v>0</v>
      </c>
      <c r="S54" s="32">
        <f>FPS!AU17</f>
        <v>0</v>
      </c>
      <c r="T54" s="32">
        <f>FPS!AU18</f>
        <v>0</v>
      </c>
      <c r="U54" s="32">
        <f>FPS!AU19</f>
        <v>0</v>
      </c>
      <c r="V54" s="32">
        <f>FPS!AU20</f>
        <v>0</v>
      </c>
      <c r="W54" s="32">
        <f>FPS!AU21</f>
        <v>0</v>
      </c>
      <c r="X54" s="32">
        <f>FPS!AU22</f>
        <v>0</v>
      </c>
      <c r="Y54" s="32">
        <f>FPS!AU23</f>
        <v>0</v>
      </c>
      <c r="Z54" s="32">
        <f>FPS!AU24</f>
        <v>0</v>
      </c>
      <c r="AA54" s="32">
        <f>FPS!AU25</f>
        <v>0</v>
      </c>
      <c r="AB54" s="32">
        <f>FPS!AU26</f>
        <v>0</v>
      </c>
      <c r="AC54" s="32">
        <f>FPS!AU27</f>
        <v>0</v>
      </c>
      <c r="AD54" s="32">
        <f>FPS!AU28</f>
        <v>0</v>
      </c>
      <c r="AE54" s="32">
        <f>FPS!AU29</f>
        <v>0</v>
      </c>
      <c r="AF54" s="32">
        <f>FPS!AU30</f>
        <v>0</v>
      </c>
      <c r="AG54" s="32">
        <f>FPS!AU31</f>
        <v>0</v>
      </c>
      <c r="AH54" s="32">
        <f>FPS!AU32</f>
        <v>0</v>
      </c>
      <c r="AI54" s="32">
        <f>FPS!AU33</f>
        <v>0</v>
      </c>
      <c r="AJ54" s="32">
        <f t="shared" si="3"/>
        <v>0</v>
      </c>
      <c r="AK54" s="32">
        <f t="shared" si="0"/>
        <v>0</v>
      </c>
      <c r="AL54" s="32">
        <f t="shared" si="0"/>
        <v>0</v>
      </c>
    </row>
    <row r="55" spans="1:38" x14ac:dyDescent="0.2">
      <c r="B55" s="32">
        <v>1</v>
      </c>
      <c r="C55" s="32">
        <v>1</v>
      </c>
      <c r="D55" s="32">
        <v>1</v>
      </c>
      <c r="E55" s="32">
        <f>FPS!AV3</f>
        <v>0</v>
      </c>
      <c r="F55" s="32">
        <f>FPS!AV4</f>
        <v>0</v>
      </c>
      <c r="G55" s="32">
        <f>FPS!AV5</f>
        <v>0</v>
      </c>
      <c r="H55" s="32">
        <f>FPS!AV6</f>
        <v>0</v>
      </c>
      <c r="I55" s="32">
        <f>FPS!AV7</f>
        <v>0</v>
      </c>
      <c r="J55" s="32">
        <f>FPS!AV8</f>
        <v>0</v>
      </c>
      <c r="K55" s="32">
        <f>FPS!AV9</f>
        <v>0</v>
      </c>
      <c r="L55" s="32">
        <f>FPS!AV10</f>
        <v>0</v>
      </c>
      <c r="M55" s="32">
        <f>FPS!AV11</f>
        <v>0</v>
      </c>
      <c r="N55" s="32">
        <f>FPS!AV12</f>
        <v>0</v>
      </c>
      <c r="O55" s="32">
        <f>FPS!AV13</f>
        <v>0</v>
      </c>
      <c r="P55" s="32">
        <f>FPS!AV14</f>
        <v>0</v>
      </c>
      <c r="Q55" s="32">
        <f>FPS!AV15</f>
        <v>0</v>
      </c>
      <c r="R55" s="32">
        <f>FPS!AV16</f>
        <v>0</v>
      </c>
      <c r="S55" s="32">
        <f>FPS!AV17</f>
        <v>0</v>
      </c>
      <c r="T55" s="32">
        <f>FPS!AV18</f>
        <v>0</v>
      </c>
      <c r="U55" s="32">
        <f>FPS!AV19</f>
        <v>0</v>
      </c>
      <c r="V55" s="32">
        <f>FPS!AV20</f>
        <v>0</v>
      </c>
      <c r="W55" s="32">
        <f>FPS!AV21</f>
        <v>0</v>
      </c>
      <c r="X55" s="32">
        <f>FPS!AV22</f>
        <v>0</v>
      </c>
      <c r="Y55" s="32">
        <f>FPS!AV23</f>
        <v>0</v>
      </c>
      <c r="Z55" s="32">
        <f>FPS!AV24</f>
        <v>0</v>
      </c>
      <c r="AA55" s="32">
        <f>FPS!AV25</f>
        <v>0</v>
      </c>
      <c r="AB55" s="32">
        <f>FPS!AV26</f>
        <v>0</v>
      </c>
      <c r="AC55" s="32">
        <f>FPS!AV27</f>
        <v>0</v>
      </c>
      <c r="AD55" s="32">
        <f>FPS!AV28</f>
        <v>0</v>
      </c>
      <c r="AE55" s="32">
        <f>FPS!AV29</f>
        <v>0</v>
      </c>
      <c r="AF55" s="32">
        <f>FPS!AV30</f>
        <v>0</v>
      </c>
      <c r="AG55" s="32">
        <f>FPS!AV31</f>
        <v>0</v>
      </c>
      <c r="AH55" s="32">
        <f>FPS!AV32</f>
        <v>0</v>
      </c>
      <c r="AI55" s="32">
        <f>FPS!AV33</f>
        <v>0</v>
      </c>
      <c r="AJ55" s="32">
        <f t="shared" si="3"/>
        <v>0</v>
      </c>
      <c r="AK55" s="32">
        <f t="shared" si="0"/>
        <v>0</v>
      </c>
      <c r="AL55" s="32">
        <f t="shared" si="0"/>
        <v>0</v>
      </c>
    </row>
    <row r="56" spans="1:38" x14ac:dyDescent="0.2">
      <c r="B56" s="32">
        <v>1</v>
      </c>
      <c r="C56" s="32">
        <v>1</v>
      </c>
      <c r="D56" s="32">
        <v>1</v>
      </c>
      <c r="E56" s="32">
        <f>FPS!AW3</f>
        <v>0</v>
      </c>
      <c r="F56" s="32">
        <f>FPS!AW4</f>
        <v>0</v>
      </c>
      <c r="G56" s="32">
        <f>FPS!AW5</f>
        <v>0</v>
      </c>
      <c r="H56" s="32">
        <f>FPS!AW6</f>
        <v>0</v>
      </c>
      <c r="I56" s="32">
        <f>FPS!AW7</f>
        <v>0</v>
      </c>
      <c r="J56" s="32">
        <f>FPS!AW8</f>
        <v>0</v>
      </c>
      <c r="K56" s="32">
        <f>FPS!AW9</f>
        <v>0</v>
      </c>
      <c r="L56" s="32">
        <f>FPS!AW10</f>
        <v>0</v>
      </c>
      <c r="M56" s="32">
        <f>FPS!AW11</f>
        <v>0</v>
      </c>
      <c r="N56" s="32">
        <f>FPS!AW12</f>
        <v>0</v>
      </c>
      <c r="O56" s="32">
        <f>FPS!AW13</f>
        <v>0</v>
      </c>
      <c r="P56" s="32">
        <f>FPS!AW14</f>
        <v>0</v>
      </c>
      <c r="Q56" s="32">
        <f>FPS!AW15</f>
        <v>0</v>
      </c>
      <c r="R56" s="32">
        <f>FPS!AW16</f>
        <v>0</v>
      </c>
      <c r="S56" s="32">
        <f>FPS!AW17</f>
        <v>0</v>
      </c>
      <c r="T56" s="32">
        <f>FPS!AW18</f>
        <v>0</v>
      </c>
      <c r="U56" s="32">
        <f>FPS!AW19</f>
        <v>0</v>
      </c>
      <c r="V56" s="32">
        <f>FPS!AW20</f>
        <v>0</v>
      </c>
      <c r="W56" s="32">
        <f>FPS!AW21</f>
        <v>0</v>
      </c>
      <c r="X56" s="32">
        <f>FPS!AW22</f>
        <v>0</v>
      </c>
      <c r="Y56" s="32">
        <f>FPS!AW23</f>
        <v>0</v>
      </c>
      <c r="Z56" s="32">
        <f>FPS!AW24</f>
        <v>0</v>
      </c>
      <c r="AA56" s="32">
        <f>FPS!AW25</f>
        <v>0</v>
      </c>
      <c r="AB56" s="32">
        <f>FPS!AW26</f>
        <v>0</v>
      </c>
      <c r="AC56" s="32">
        <f>FPS!AW27</f>
        <v>0</v>
      </c>
      <c r="AD56" s="32">
        <f>FPS!AW28</f>
        <v>0</v>
      </c>
      <c r="AE56" s="32">
        <f>FPS!AW29</f>
        <v>0</v>
      </c>
      <c r="AF56" s="32">
        <f>FPS!AW30</f>
        <v>0</v>
      </c>
      <c r="AG56" s="32">
        <f>FPS!AW31</f>
        <v>0</v>
      </c>
      <c r="AH56" s="32">
        <f>FPS!AW32</f>
        <v>0</v>
      </c>
      <c r="AI56" s="32">
        <f>FPS!AW33</f>
        <v>0</v>
      </c>
      <c r="AJ56" s="32">
        <f t="shared" si="3"/>
        <v>0</v>
      </c>
      <c r="AK56" s="32">
        <f t="shared" si="0"/>
        <v>0</v>
      </c>
      <c r="AL56" s="32">
        <f t="shared" si="0"/>
        <v>0</v>
      </c>
    </row>
    <row r="57" spans="1:38" x14ac:dyDescent="0.2">
      <c r="A57" s="23">
        <v>13</v>
      </c>
      <c r="B57" s="32">
        <v>1</v>
      </c>
      <c r="C57" s="32">
        <v>1</v>
      </c>
      <c r="D57" s="32">
        <v>1</v>
      </c>
      <c r="E57" s="32">
        <f>FPS!AX3</f>
        <v>0</v>
      </c>
      <c r="F57" s="32">
        <f>FPS!AX4</f>
        <v>0</v>
      </c>
      <c r="G57" s="32">
        <f>FPS!AX5</f>
        <v>0</v>
      </c>
      <c r="H57" s="32">
        <f>FPS!AX6</f>
        <v>0</v>
      </c>
      <c r="I57" s="32">
        <f>FPS!AX7</f>
        <v>0</v>
      </c>
      <c r="J57" s="32">
        <f>FPS!AX8</f>
        <v>0</v>
      </c>
      <c r="K57" s="32">
        <f>FPS!AX9</f>
        <v>0</v>
      </c>
      <c r="L57" s="32">
        <f>FPS!AX10</f>
        <v>0</v>
      </c>
      <c r="M57" s="32">
        <f>FPS!AX11</f>
        <v>0</v>
      </c>
      <c r="N57" s="32">
        <f>FPS!AX12</f>
        <v>0</v>
      </c>
      <c r="O57" s="32">
        <f>FPS!AX13</f>
        <v>0</v>
      </c>
      <c r="P57" s="32">
        <f>FPS!AX14</f>
        <v>0</v>
      </c>
      <c r="Q57" s="32">
        <f>FPS!AX15</f>
        <v>0</v>
      </c>
      <c r="R57" s="32">
        <f>FPS!AX16</f>
        <v>0</v>
      </c>
      <c r="S57" s="32">
        <f>FPS!AX17</f>
        <v>0</v>
      </c>
      <c r="T57" s="32">
        <f>FPS!AX18</f>
        <v>0</v>
      </c>
      <c r="U57" s="32">
        <f>FPS!AX19</f>
        <v>0</v>
      </c>
      <c r="V57" s="32">
        <f>FPS!AX20</f>
        <v>0</v>
      </c>
      <c r="W57" s="32">
        <f>FPS!AX21</f>
        <v>0</v>
      </c>
      <c r="X57" s="32">
        <f>FPS!AX22</f>
        <v>0</v>
      </c>
      <c r="Y57" s="32">
        <f>FPS!AX23</f>
        <v>0</v>
      </c>
      <c r="Z57" s="32">
        <f>FPS!AX24</f>
        <v>0</v>
      </c>
      <c r="AA57" s="32">
        <f>FPS!AX25</f>
        <v>0</v>
      </c>
      <c r="AB57" s="32">
        <f>FPS!AX26</f>
        <v>0</v>
      </c>
      <c r="AC57" s="32">
        <f>FPS!AX27</f>
        <v>0</v>
      </c>
      <c r="AD57" s="32">
        <f>FPS!AX28</f>
        <v>0</v>
      </c>
      <c r="AE57" s="32">
        <f>FPS!AX29</f>
        <v>0</v>
      </c>
      <c r="AF57" s="32">
        <f>FPS!AX30</f>
        <v>0</v>
      </c>
      <c r="AG57" s="32">
        <f>FPS!AX31</f>
        <v>0</v>
      </c>
      <c r="AH57" s="32">
        <f>FPS!AX32</f>
        <v>0</v>
      </c>
      <c r="AI57" s="32">
        <f>FPS!AX33</f>
        <v>0</v>
      </c>
      <c r="AJ57" s="32">
        <f t="shared" si="3"/>
        <v>0</v>
      </c>
      <c r="AK57" s="32">
        <f t="shared" si="0"/>
        <v>0</v>
      </c>
      <c r="AL57" s="32">
        <f t="shared" si="0"/>
        <v>0</v>
      </c>
    </row>
    <row r="58" spans="1:38" x14ac:dyDescent="0.2">
      <c r="B58" s="32">
        <v>1</v>
      </c>
      <c r="C58" s="32">
        <v>1</v>
      </c>
      <c r="D58" s="32">
        <v>1</v>
      </c>
      <c r="E58" s="32">
        <f>FPS!AY3</f>
        <v>0</v>
      </c>
      <c r="F58" s="32">
        <f>FPS!AY4</f>
        <v>0</v>
      </c>
      <c r="G58" s="32">
        <f>FPS!AY5</f>
        <v>0</v>
      </c>
      <c r="H58" s="32">
        <f>FPS!AY6</f>
        <v>0</v>
      </c>
      <c r="I58" s="32">
        <f>FPS!AY7</f>
        <v>0</v>
      </c>
      <c r="J58" s="32">
        <f>FPS!AY8</f>
        <v>0</v>
      </c>
      <c r="K58" s="32">
        <f>FPS!AY9</f>
        <v>0</v>
      </c>
      <c r="L58" s="32">
        <f>FPS!AY10</f>
        <v>0</v>
      </c>
      <c r="M58" s="32">
        <f>FPS!AY11</f>
        <v>0</v>
      </c>
      <c r="N58" s="32">
        <f>FPS!AY12</f>
        <v>0</v>
      </c>
      <c r="O58" s="32">
        <f>FPS!AY13</f>
        <v>0</v>
      </c>
      <c r="P58" s="32">
        <f>FPS!AY14</f>
        <v>0</v>
      </c>
      <c r="Q58" s="32">
        <f>FPS!AY15</f>
        <v>0</v>
      </c>
      <c r="R58" s="32">
        <f>FPS!AY16</f>
        <v>0</v>
      </c>
      <c r="S58" s="32">
        <f>FPS!AY17</f>
        <v>0</v>
      </c>
      <c r="T58" s="32">
        <f>FPS!AY18</f>
        <v>0</v>
      </c>
      <c r="U58" s="32">
        <f>FPS!AY19</f>
        <v>0</v>
      </c>
      <c r="V58" s="32">
        <f>FPS!AY20</f>
        <v>0</v>
      </c>
      <c r="W58" s="32">
        <f>FPS!AY21</f>
        <v>0</v>
      </c>
      <c r="X58" s="32">
        <f>FPS!AY22</f>
        <v>0</v>
      </c>
      <c r="Y58" s="32">
        <f>FPS!AY23</f>
        <v>0</v>
      </c>
      <c r="Z58" s="32">
        <f>FPS!AY24</f>
        <v>0</v>
      </c>
      <c r="AA58" s="32">
        <f>FPS!AY25</f>
        <v>0</v>
      </c>
      <c r="AB58" s="32">
        <f>FPS!AY26</f>
        <v>0</v>
      </c>
      <c r="AC58" s="32">
        <f>FPS!AY27</f>
        <v>0</v>
      </c>
      <c r="AD58" s="32">
        <f>FPS!AY28</f>
        <v>0</v>
      </c>
      <c r="AE58" s="32">
        <f>FPS!AY29</f>
        <v>0</v>
      </c>
      <c r="AF58" s="32">
        <f>FPS!AY30</f>
        <v>0</v>
      </c>
      <c r="AG58" s="32">
        <f>FPS!AY31</f>
        <v>0</v>
      </c>
      <c r="AH58" s="32">
        <f>FPS!AY32</f>
        <v>0</v>
      </c>
      <c r="AI58" s="32">
        <f>FPS!AY33</f>
        <v>0</v>
      </c>
      <c r="AJ58" s="32">
        <f t="shared" si="3"/>
        <v>0</v>
      </c>
      <c r="AK58" s="32">
        <f t="shared" si="0"/>
        <v>0</v>
      </c>
      <c r="AL58" s="32">
        <f t="shared" si="0"/>
        <v>0</v>
      </c>
    </row>
    <row r="59" spans="1:38" x14ac:dyDescent="0.2">
      <c r="B59" s="32">
        <v>1</v>
      </c>
      <c r="C59" s="32">
        <v>1</v>
      </c>
      <c r="D59" s="32">
        <v>1</v>
      </c>
      <c r="E59" s="32">
        <f>FPS!AZ3</f>
        <v>0</v>
      </c>
      <c r="F59" s="32">
        <f>FPS!AZ4</f>
        <v>0</v>
      </c>
      <c r="G59" s="32">
        <f>FPS!AZ5</f>
        <v>0</v>
      </c>
      <c r="H59" s="32">
        <f>FPS!AZ6</f>
        <v>0</v>
      </c>
      <c r="I59" s="32">
        <f>FPS!AZ7</f>
        <v>0</v>
      </c>
      <c r="J59" s="32">
        <f>FPS!AZ8</f>
        <v>0</v>
      </c>
      <c r="K59" s="32">
        <f>FPS!AZ9</f>
        <v>0</v>
      </c>
      <c r="L59" s="32">
        <f>FPS!AZ10</f>
        <v>0</v>
      </c>
      <c r="M59" s="32">
        <f>FPS!AZ11</f>
        <v>0</v>
      </c>
      <c r="N59" s="32">
        <f>FPS!AZ12</f>
        <v>0</v>
      </c>
      <c r="O59" s="32">
        <f>FPS!AZ13</f>
        <v>0</v>
      </c>
      <c r="P59" s="32">
        <f>FPS!AZ14</f>
        <v>0</v>
      </c>
      <c r="Q59" s="32">
        <f>FPS!AZ15</f>
        <v>0</v>
      </c>
      <c r="R59" s="32">
        <f>FPS!AZ16</f>
        <v>0</v>
      </c>
      <c r="S59" s="32">
        <f>FPS!AZ17</f>
        <v>0</v>
      </c>
      <c r="T59" s="32">
        <f>FPS!AZ18</f>
        <v>0</v>
      </c>
      <c r="U59" s="32">
        <f>FPS!AZ19</f>
        <v>0</v>
      </c>
      <c r="V59" s="32">
        <f>FPS!AZ20</f>
        <v>0</v>
      </c>
      <c r="W59" s="32">
        <f>FPS!AZ21</f>
        <v>0</v>
      </c>
      <c r="X59" s="32">
        <f>FPS!AZ22</f>
        <v>0</v>
      </c>
      <c r="Y59" s="32">
        <f>FPS!AZ23</f>
        <v>0</v>
      </c>
      <c r="Z59" s="32">
        <f>FPS!AZ24</f>
        <v>0</v>
      </c>
      <c r="AA59" s="32">
        <f>FPS!AZ25</f>
        <v>0</v>
      </c>
      <c r="AB59" s="32">
        <f>FPS!AZ26</f>
        <v>0</v>
      </c>
      <c r="AC59" s="32">
        <f>FPS!AZ27</f>
        <v>0</v>
      </c>
      <c r="AD59" s="32">
        <f>FPS!AZ28</f>
        <v>0</v>
      </c>
      <c r="AE59" s="32">
        <f>FPS!AZ29</f>
        <v>0</v>
      </c>
      <c r="AF59" s="32">
        <f>FPS!AZ30</f>
        <v>0</v>
      </c>
      <c r="AG59" s="32">
        <f>FPS!AZ31</f>
        <v>0</v>
      </c>
      <c r="AH59" s="32">
        <f>FPS!AZ32</f>
        <v>0</v>
      </c>
      <c r="AI59" s="32">
        <f>FPS!AZ33</f>
        <v>0</v>
      </c>
      <c r="AJ59" s="32">
        <f t="shared" si="3"/>
        <v>0</v>
      </c>
      <c r="AK59" s="32">
        <f t="shared" si="0"/>
        <v>0</v>
      </c>
      <c r="AL59" s="32">
        <f t="shared" si="0"/>
        <v>0</v>
      </c>
    </row>
    <row r="60" spans="1:38" x14ac:dyDescent="0.2">
      <c r="B60" s="32">
        <v>1</v>
      </c>
      <c r="C60" s="32">
        <v>1</v>
      </c>
      <c r="D60" s="32">
        <v>1</v>
      </c>
      <c r="E60" s="32">
        <f>FPS!BA3</f>
        <v>0</v>
      </c>
      <c r="F60" s="32">
        <f>FPS!BA4</f>
        <v>0</v>
      </c>
      <c r="G60" s="32">
        <f>FPS!BA5</f>
        <v>0</v>
      </c>
      <c r="H60" s="32">
        <f>FPS!BA6</f>
        <v>0</v>
      </c>
      <c r="I60" s="32">
        <f>FPS!BA7</f>
        <v>0</v>
      </c>
      <c r="J60" s="32">
        <f>FPS!BA8</f>
        <v>0</v>
      </c>
      <c r="K60" s="32">
        <f>FPS!BA9</f>
        <v>0</v>
      </c>
      <c r="L60" s="32">
        <f>FPS!BA10</f>
        <v>0</v>
      </c>
      <c r="M60" s="32">
        <f>FPS!BA11</f>
        <v>0</v>
      </c>
      <c r="N60" s="32">
        <f>FPS!BA12</f>
        <v>0</v>
      </c>
      <c r="O60" s="32">
        <f>FPS!BA13</f>
        <v>0</v>
      </c>
      <c r="P60" s="32">
        <f>FPS!BA14</f>
        <v>0</v>
      </c>
      <c r="Q60" s="32">
        <f>FPS!BA15</f>
        <v>0</v>
      </c>
      <c r="R60" s="32">
        <f>FPS!BA16</f>
        <v>0</v>
      </c>
      <c r="S60" s="32">
        <f>FPS!BA17</f>
        <v>0</v>
      </c>
      <c r="T60" s="32">
        <f>FPS!BA18</f>
        <v>0</v>
      </c>
      <c r="U60" s="32">
        <f>FPS!BA19</f>
        <v>0</v>
      </c>
      <c r="V60" s="32">
        <f>FPS!BA20</f>
        <v>0</v>
      </c>
      <c r="W60" s="32">
        <f>FPS!BA21</f>
        <v>0</v>
      </c>
      <c r="X60" s="32">
        <f>FPS!BA22</f>
        <v>0</v>
      </c>
      <c r="Y60" s="32">
        <f>FPS!BA23</f>
        <v>0</v>
      </c>
      <c r="Z60" s="32">
        <f>FPS!BA24</f>
        <v>0</v>
      </c>
      <c r="AA60" s="32">
        <f>FPS!BA25</f>
        <v>0</v>
      </c>
      <c r="AB60" s="32">
        <f>FPS!BA26</f>
        <v>0</v>
      </c>
      <c r="AC60" s="32">
        <f>FPS!BA27</f>
        <v>0</v>
      </c>
      <c r="AD60" s="32">
        <f>FPS!BA28</f>
        <v>0</v>
      </c>
      <c r="AE60" s="32">
        <f>FPS!BA29</f>
        <v>0</v>
      </c>
      <c r="AF60" s="32">
        <f>FPS!BA30</f>
        <v>0</v>
      </c>
      <c r="AG60" s="32">
        <f>FPS!BA31</f>
        <v>0</v>
      </c>
      <c r="AH60" s="32">
        <f>FPS!BA32</f>
        <v>0</v>
      </c>
      <c r="AI60" s="32">
        <f>FPS!BA33</f>
        <v>0</v>
      </c>
      <c r="AJ60" s="32">
        <f t="shared" si="3"/>
        <v>0</v>
      </c>
      <c r="AK60" s="32">
        <f t="shared" si="0"/>
        <v>0</v>
      </c>
      <c r="AL60" s="32">
        <f t="shared" si="0"/>
        <v>0</v>
      </c>
    </row>
    <row r="61" spans="1:38" x14ac:dyDescent="0.2">
      <c r="A61" s="23">
        <v>15</v>
      </c>
      <c r="B61" s="32">
        <v>1</v>
      </c>
      <c r="C61" s="32">
        <v>1</v>
      </c>
      <c r="D61" s="32">
        <v>1</v>
      </c>
      <c r="E61" s="32">
        <f>FPS!BF3</f>
        <v>0</v>
      </c>
      <c r="F61" s="32">
        <f>FPS!BF4</f>
        <v>0</v>
      </c>
      <c r="G61" s="32">
        <f>FPS!BF5</f>
        <v>0</v>
      </c>
      <c r="H61" s="32">
        <f>FPS!BF6</f>
        <v>0</v>
      </c>
      <c r="I61" s="32">
        <f>FPS!BF7</f>
        <v>0</v>
      </c>
      <c r="J61" s="32">
        <f>FPS!BF8</f>
        <v>0</v>
      </c>
      <c r="K61" s="32">
        <f>FPS!BF9</f>
        <v>0</v>
      </c>
      <c r="L61" s="32">
        <f>FPS!BF10</f>
        <v>0</v>
      </c>
      <c r="M61" s="32">
        <f>FPS!BF11</f>
        <v>0</v>
      </c>
      <c r="N61" s="32">
        <f>FPS!BF12</f>
        <v>0</v>
      </c>
      <c r="O61" s="32">
        <f>FPS!BF13</f>
        <v>0</v>
      </c>
      <c r="P61" s="32">
        <f>FPS!BF14</f>
        <v>0</v>
      </c>
      <c r="Q61" s="32">
        <f>FPS!BF15</f>
        <v>0</v>
      </c>
      <c r="R61" s="32">
        <f>FPS!BF16</f>
        <v>0</v>
      </c>
      <c r="S61" s="32">
        <f>FPS!BF17</f>
        <v>0</v>
      </c>
      <c r="T61" s="32">
        <f>FPS!BF18</f>
        <v>0</v>
      </c>
      <c r="U61" s="32">
        <f>FPS!BF19</f>
        <v>0</v>
      </c>
      <c r="V61" s="32">
        <f>FPS!BF20</f>
        <v>0</v>
      </c>
      <c r="W61" s="32">
        <f>FPS!BF21</f>
        <v>0</v>
      </c>
      <c r="X61" s="32">
        <f>FPS!BF22</f>
        <v>0</v>
      </c>
      <c r="Y61" s="32">
        <f>FPS!BF23</f>
        <v>0</v>
      </c>
      <c r="Z61" s="32">
        <f>FPS!BF24</f>
        <v>0</v>
      </c>
      <c r="AA61" s="32">
        <f>FPS!BF25</f>
        <v>0</v>
      </c>
      <c r="AB61" s="32">
        <f>FPS!BB26</f>
        <v>0</v>
      </c>
      <c r="AC61" s="32">
        <f>FPS!BB27</f>
        <v>0</v>
      </c>
      <c r="AD61" s="32">
        <f>FPS!BB28</f>
        <v>0</v>
      </c>
      <c r="AE61" s="32">
        <f>FPS!BB29</f>
        <v>0</v>
      </c>
      <c r="AF61" s="32">
        <f>FPS!BB30</f>
        <v>0</v>
      </c>
      <c r="AG61" s="32">
        <f>FPS!BB31</f>
        <v>0</v>
      </c>
      <c r="AH61" s="32">
        <f>FPS!BB32</f>
        <v>0</v>
      </c>
      <c r="AI61" s="32">
        <f>FPS!BB33</f>
        <v>0</v>
      </c>
      <c r="AJ61" s="32">
        <f t="shared" si="3"/>
        <v>0</v>
      </c>
      <c r="AK61" s="32">
        <f t="shared" si="0"/>
        <v>0</v>
      </c>
      <c r="AL61" s="32">
        <f t="shared" si="0"/>
        <v>0</v>
      </c>
    </row>
    <row r="62" spans="1:38" x14ac:dyDescent="0.2">
      <c r="B62" s="32">
        <v>1</v>
      </c>
      <c r="C62" s="32">
        <v>1</v>
      </c>
      <c r="D62" s="32">
        <v>1</v>
      </c>
      <c r="E62" s="32">
        <f>FPS!BG3</f>
        <v>0</v>
      </c>
      <c r="F62" s="32">
        <f>FPS!BG4</f>
        <v>0</v>
      </c>
      <c r="G62" s="32">
        <f>FPS!BG5</f>
        <v>0</v>
      </c>
      <c r="H62" s="32">
        <f>FPS!BG6</f>
        <v>0</v>
      </c>
      <c r="I62" s="32">
        <f>FPS!BG7</f>
        <v>0</v>
      </c>
      <c r="J62" s="32">
        <f>FPS!BG8</f>
        <v>0</v>
      </c>
      <c r="K62" s="32">
        <f>FPS!BG9</f>
        <v>0</v>
      </c>
      <c r="L62" s="32">
        <f>FPS!BG10</f>
        <v>0</v>
      </c>
      <c r="M62" s="32">
        <f>FPS!BG11</f>
        <v>0</v>
      </c>
      <c r="N62" s="32">
        <f>FPS!BG12</f>
        <v>0</v>
      </c>
      <c r="O62" s="32">
        <f>FPS!BG13</f>
        <v>0</v>
      </c>
      <c r="P62" s="32">
        <f>FPS!BG14</f>
        <v>0</v>
      </c>
      <c r="Q62" s="32">
        <f>FPS!BG15</f>
        <v>0</v>
      </c>
      <c r="R62" s="32">
        <f>FPS!BG16</f>
        <v>0</v>
      </c>
      <c r="S62" s="32">
        <f>FPS!BG17</f>
        <v>0</v>
      </c>
      <c r="T62" s="32">
        <f>FPS!BG18</f>
        <v>0</v>
      </c>
      <c r="U62" s="32">
        <f>FPS!BG19</f>
        <v>0</v>
      </c>
      <c r="V62" s="32">
        <f>FPS!BG20</f>
        <v>0</v>
      </c>
      <c r="W62" s="32">
        <f>FPS!BG21</f>
        <v>0</v>
      </c>
      <c r="X62" s="32">
        <f>FPS!BG22</f>
        <v>0</v>
      </c>
      <c r="Y62" s="32">
        <f>FPS!BG23</f>
        <v>0</v>
      </c>
      <c r="Z62" s="32">
        <f>FPS!BG24</f>
        <v>0</v>
      </c>
      <c r="AA62" s="32">
        <f>FPS!BG25</f>
        <v>0</v>
      </c>
      <c r="AB62" s="32">
        <f>FPS!BG26</f>
        <v>0</v>
      </c>
      <c r="AC62" s="32">
        <f>FPS!BC27</f>
        <v>0</v>
      </c>
      <c r="AD62" s="32">
        <f>FPS!BC28</f>
        <v>0</v>
      </c>
      <c r="AE62" s="32">
        <f>FPS!BC29</f>
        <v>0</v>
      </c>
      <c r="AF62" s="32">
        <f>FPS!BC30</f>
        <v>0</v>
      </c>
      <c r="AG62" s="32">
        <f>FPS!BC31</f>
        <v>0</v>
      </c>
      <c r="AH62" s="32">
        <f>FPS!BC32</f>
        <v>0</v>
      </c>
      <c r="AI62" s="32">
        <f>FPS!BC33</f>
        <v>0</v>
      </c>
      <c r="AJ62" s="32">
        <f t="shared" si="3"/>
        <v>0</v>
      </c>
      <c r="AK62" s="32">
        <f t="shared" si="0"/>
        <v>0</v>
      </c>
      <c r="AL62" s="32">
        <f t="shared" si="0"/>
        <v>0</v>
      </c>
    </row>
    <row r="63" spans="1:38" x14ac:dyDescent="0.2">
      <c r="B63" s="32">
        <v>1</v>
      </c>
      <c r="C63" s="32">
        <v>1</v>
      </c>
      <c r="D63" s="32">
        <v>1</v>
      </c>
      <c r="E63" s="32">
        <f>FPS!BH3</f>
        <v>0</v>
      </c>
      <c r="F63" s="32">
        <f>FPS!BH4</f>
        <v>0</v>
      </c>
      <c r="G63" s="32">
        <f>FPS!BH5</f>
        <v>0</v>
      </c>
      <c r="H63" s="32">
        <f>FPS!BH6</f>
        <v>0</v>
      </c>
      <c r="I63" s="32">
        <f>FPS!BH7</f>
        <v>0</v>
      </c>
      <c r="J63" s="32">
        <f>FPS!BH8</f>
        <v>0</v>
      </c>
      <c r="K63" s="32">
        <f>FPS!BH9</f>
        <v>0</v>
      </c>
      <c r="L63" s="32">
        <f>FPS!BH10</f>
        <v>0</v>
      </c>
      <c r="M63" s="32">
        <f>FPS!BH11</f>
        <v>0</v>
      </c>
      <c r="N63" s="32">
        <f>FPS!BH12</f>
        <v>0</v>
      </c>
      <c r="O63" s="32">
        <f>FPS!BH13</f>
        <v>0</v>
      </c>
      <c r="P63" s="32">
        <f>FPS!BH14</f>
        <v>0</v>
      </c>
      <c r="Q63" s="32">
        <f>FPS!BH15</f>
        <v>0</v>
      </c>
      <c r="R63" s="32">
        <f>FPS!BH16</f>
        <v>0</v>
      </c>
      <c r="S63" s="32">
        <f>FPS!BH17</f>
        <v>0</v>
      </c>
      <c r="T63" s="32">
        <f>FPS!BH18</f>
        <v>0</v>
      </c>
      <c r="U63" s="32">
        <f>FPS!BH19</f>
        <v>0</v>
      </c>
      <c r="V63" s="32">
        <f>FPS!BH20</f>
        <v>0</v>
      </c>
      <c r="W63" s="32">
        <f>FPS!BH21</f>
        <v>0</v>
      </c>
      <c r="X63" s="32">
        <f>FPS!BH22</f>
        <v>0</v>
      </c>
      <c r="Y63" s="32">
        <f>FPS!BH23</f>
        <v>0</v>
      </c>
      <c r="Z63" s="32">
        <f>FPS!BH24</f>
        <v>0</v>
      </c>
      <c r="AA63" s="32">
        <f>FPS!BH25</f>
        <v>0</v>
      </c>
      <c r="AB63" s="32">
        <f>FPS!BH26</f>
        <v>0</v>
      </c>
      <c r="AC63" s="32">
        <f>FPS!BH27</f>
        <v>0</v>
      </c>
      <c r="AD63" s="32">
        <f>FPS!BD28</f>
        <v>0</v>
      </c>
      <c r="AE63" s="32">
        <f>FPS!BD29</f>
        <v>0</v>
      </c>
      <c r="AF63" s="32">
        <f>FPS!BD30</f>
        <v>0</v>
      </c>
      <c r="AG63" s="32">
        <f>FPS!BD31</f>
        <v>0</v>
      </c>
      <c r="AH63" s="32">
        <f>FPS!BD32</f>
        <v>0</v>
      </c>
      <c r="AI63" s="32">
        <f>FPS!BD33</f>
        <v>0</v>
      </c>
      <c r="AJ63" s="32">
        <f t="shared" si="3"/>
        <v>0</v>
      </c>
      <c r="AK63" s="32">
        <f t="shared" si="0"/>
        <v>0</v>
      </c>
      <c r="AL63" s="32">
        <f t="shared" si="0"/>
        <v>0</v>
      </c>
    </row>
    <row r="64" spans="1:38" x14ac:dyDescent="0.2">
      <c r="B64" s="32">
        <v>1</v>
      </c>
      <c r="C64" s="32">
        <v>1</v>
      </c>
      <c r="D64" s="32">
        <v>1</v>
      </c>
      <c r="E64" s="32">
        <f>FPS!BI3</f>
        <v>0</v>
      </c>
      <c r="F64" s="32">
        <f>FPS!BI4</f>
        <v>0</v>
      </c>
      <c r="G64" s="32">
        <f>FPS!BI5</f>
        <v>0</v>
      </c>
      <c r="H64" s="32">
        <f>FPS!BI6</f>
        <v>0</v>
      </c>
      <c r="I64" s="32">
        <f>FPS!BI7</f>
        <v>0</v>
      </c>
      <c r="J64" s="32">
        <f>FPS!BI8</f>
        <v>0</v>
      </c>
      <c r="K64" s="32">
        <f>FPS!BI9</f>
        <v>0</v>
      </c>
      <c r="L64" s="32">
        <f>FPS!BI10</f>
        <v>0</v>
      </c>
      <c r="M64" s="32">
        <f>FPS!BI11</f>
        <v>0</v>
      </c>
      <c r="N64" s="32">
        <f>FPS!BI12</f>
        <v>0</v>
      </c>
      <c r="O64" s="32">
        <f>FPS!BI13</f>
        <v>0</v>
      </c>
      <c r="P64" s="32">
        <f>FPS!BI14</f>
        <v>0</v>
      </c>
      <c r="Q64" s="32">
        <f>FPS!BI15</f>
        <v>0</v>
      </c>
      <c r="R64" s="32">
        <f>FPS!BI16</f>
        <v>0</v>
      </c>
      <c r="S64" s="32">
        <f>FPS!BI17</f>
        <v>0</v>
      </c>
      <c r="T64" s="32">
        <f>FPS!BI18</f>
        <v>0</v>
      </c>
      <c r="U64" s="32">
        <f>FPS!BI19</f>
        <v>0</v>
      </c>
      <c r="V64" s="32">
        <f>FPS!BI20</f>
        <v>0</v>
      </c>
      <c r="W64" s="32">
        <f>FPS!BI21</f>
        <v>0</v>
      </c>
      <c r="X64" s="32">
        <f>FPS!BI22</f>
        <v>0</v>
      </c>
      <c r="Y64" s="32">
        <f>FPS!BI23</f>
        <v>0</v>
      </c>
      <c r="Z64" s="32">
        <f>FPS!BI24</f>
        <v>0</v>
      </c>
      <c r="AA64" s="32">
        <f>FPS!BI25</f>
        <v>0</v>
      </c>
      <c r="AB64" s="32">
        <f>FPS!BI26</f>
        <v>0</v>
      </c>
      <c r="AC64" s="32">
        <f>FPS!BI27</f>
        <v>0</v>
      </c>
      <c r="AD64" s="32">
        <f>FPS!BI28</f>
        <v>0</v>
      </c>
      <c r="AE64" s="32">
        <f>FPS!BI29</f>
        <v>0</v>
      </c>
      <c r="AF64" s="32">
        <f>FPS!BE30</f>
        <v>0</v>
      </c>
      <c r="AG64" s="32">
        <f>FPS!BE31</f>
        <v>0</v>
      </c>
      <c r="AH64" s="32">
        <f>FPS!BE32</f>
        <v>0</v>
      </c>
      <c r="AI64" s="32">
        <f>FPS!BE33</f>
        <v>0</v>
      </c>
      <c r="AJ64" s="32">
        <f t="shared" si="3"/>
        <v>0</v>
      </c>
      <c r="AK64" s="32">
        <f t="shared" si="0"/>
        <v>0</v>
      </c>
      <c r="AL64" s="32">
        <f t="shared" si="0"/>
        <v>0</v>
      </c>
    </row>
    <row r="65" spans="1:38" x14ac:dyDescent="0.2">
      <c r="A65" s="23">
        <v>16</v>
      </c>
      <c r="B65" s="32">
        <v>1</v>
      </c>
      <c r="C65" s="32">
        <v>1</v>
      </c>
      <c r="D65" s="32">
        <v>1</v>
      </c>
      <c r="E65" s="32">
        <f>FPS!BJ3</f>
        <v>0</v>
      </c>
      <c r="F65" s="32">
        <f>FPS!BJ4</f>
        <v>0</v>
      </c>
      <c r="G65" s="32">
        <f>FPS!BJ5</f>
        <v>0</v>
      </c>
      <c r="H65" s="32">
        <f>FPS!BJ6</f>
        <v>0</v>
      </c>
      <c r="I65" s="32">
        <f>FPS!BJ7</f>
        <v>0</v>
      </c>
      <c r="J65" s="32">
        <f>FPS!BJ8</f>
        <v>0</v>
      </c>
      <c r="K65" s="32">
        <f>FPS!BJ9</f>
        <v>0</v>
      </c>
      <c r="L65" s="32">
        <f>FPS!BJ10</f>
        <v>0</v>
      </c>
      <c r="M65" s="32">
        <f>FPS!BJ11</f>
        <v>0</v>
      </c>
      <c r="N65" s="32">
        <f>FPS!BJ12</f>
        <v>0</v>
      </c>
      <c r="O65" s="32">
        <f>FPS!BJ13</f>
        <v>0</v>
      </c>
      <c r="P65" s="32">
        <f>FPS!BJ14</f>
        <v>0</v>
      </c>
      <c r="Q65" s="32">
        <f>FPS!BJ15</f>
        <v>0</v>
      </c>
      <c r="R65" s="32">
        <f>FPS!BJ16</f>
        <v>0</v>
      </c>
      <c r="S65" s="32">
        <f>FPS!BJ17</f>
        <v>0</v>
      </c>
      <c r="T65" s="32">
        <f>FPS!BJ18</f>
        <v>0</v>
      </c>
      <c r="U65" s="32">
        <f>FPS!BJ19</f>
        <v>0</v>
      </c>
      <c r="V65" s="32">
        <f>FPS!BJ20</f>
        <v>0</v>
      </c>
      <c r="W65" s="32">
        <f>FPS!BJ21</f>
        <v>0</v>
      </c>
      <c r="X65" s="32">
        <f>FPS!BJ22</f>
        <v>0</v>
      </c>
      <c r="Y65" s="32">
        <f>FPS!BJ23</f>
        <v>0</v>
      </c>
      <c r="Z65" s="32">
        <f>FPS!BJ24</f>
        <v>0</v>
      </c>
      <c r="AA65" s="32">
        <f>FPS!BJ25</f>
        <v>0</v>
      </c>
      <c r="AB65" s="32">
        <f>FPS!BJ26</f>
        <v>0</v>
      </c>
      <c r="AC65" s="32">
        <f>FPS!BJ27</f>
        <v>0</v>
      </c>
      <c r="AD65" s="32">
        <f>FPS!BJ28</f>
        <v>0</v>
      </c>
      <c r="AE65" s="32">
        <f>FPS!BJ29</f>
        <v>0</v>
      </c>
      <c r="AF65" s="32">
        <f>FPS!BJ30</f>
        <v>0</v>
      </c>
      <c r="AG65" s="32">
        <f>FPS!BJ31</f>
        <v>0</v>
      </c>
      <c r="AH65" s="32">
        <f>FPS!BF32</f>
        <v>0</v>
      </c>
      <c r="AI65" s="32">
        <f>FPS!BF33</f>
        <v>0</v>
      </c>
      <c r="AJ65" s="32">
        <f t="shared" si="3"/>
        <v>0</v>
      </c>
      <c r="AK65" s="32">
        <f t="shared" si="0"/>
        <v>0</v>
      </c>
      <c r="AL65" s="32">
        <f t="shared" si="0"/>
        <v>0</v>
      </c>
    </row>
    <row r="66" spans="1:38" x14ac:dyDescent="0.2">
      <c r="B66" s="32">
        <v>1</v>
      </c>
      <c r="C66" s="32">
        <v>1</v>
      </c>
      <c r="D66" s="32">
        <v>1</v>
      </c>
      <c r="E66" s="32">
        <f>FPS!BK3</f>
        <v>0</v>
      </c>
      <c r="F66" s="32">
        <f>FPS!BK4</f>
        <v>0</v>
      </c>
      <c r="G66" s="32">
        <f>FPS!BK5</f>
        <v>0</v>
      </c>
      <c r="H66" s="32">
        <f>FPS!BK6</f>
        <v>0</v>
      </c>
      <c r="I66" s="32">
        <f>FPS!BK7</f>
        <v>0</v>
      </c>
      <c r="J66" s="32">
        <f>FPS!BK8</f>
        <v>0</v>
      </c>
      <c r="K66" s="32">
        <f>FPS!BK9</f>
        <v>0</v>
      </c>
      <c r="L66" s="32">
        <f>FPS!BK10</f>
        <v>0</v>
      </c>
      <c r="M66" s="32">
        <f>FPS!BK11</f>
        <v>0</v>
      </c>
      <c r="N66" s="32">
        <f>FPS!BK12</f>
        <v>0</v>
      </c>
      <c r="O66" s="32">
        <f>FPS!BK13</f>
        <v>0</v>
      </c>
      <c r="P66" s="32">
        <f>FPS!BK14</f>
        <v>0</v>
      </c>
      <c r="Q66" s="32">
        <f>FPS!BK15</f>
        <v>0</v>
      </c>
      <c r="R66" s="32">
        <f>FPS!BK16</f>
        <v>0</v>
      </c>
      <c r="S66" s="32">
        <f>FPS!BK17</f>
        <v>0</v>
      </c>
      <c r="T66" s="32">
        <f>FPS!BK18</f>
        <v>0</v>
      </c>
      <c r="U66" s="32">
        <f>FPS!BK19</f>
        <v>0</v>
      </c>
      <c r="V66" s="32">
        <f>FPS!BK20</f>
        <v>0</v>
      </c>
      <c r="W66" s="32">
        <f>FPS!BK21</f>
        <v>0</v>
      </c>
      <c r="X66" s="32">
        <f>FPS!BK22</f>
        <v>0</v>
      </c>
      <c r="Y66" s="32">
        <f>FPS!BK23</f>
        <v>0</v>
      </c>
      <c r="Z66" s="32">
        <f>FPS!BK24</f>
        <v>0</v>
      </c>
      <c r="AA66" s="32">
        <f>FPS!BK25</f>
        <v>0</v>
      </c>
      <c r="AB66" s="32">
        <f>FPS!BK26</f>
        <v>0</v>
      </c>
      <c r="AC66" s="32">
        <f>FPS!BK27</f>
        <v>0</v>
      </c>
      <c r="AD66" s="32">
        <f>FPS!BK28</f>
        <v>0</v>
      </c>
      <c r="AE66" s="32">
        <f>FPS!BK29</f>
        <v>0</v>
      </c>
      <c r="AF66" s="32">
        <f>FPS!BK30</f>
        <v>0</v>
      </c>
      <c r="AG66" s="32">
        <f>FPS!BK31</f>
        <v>0</v>
      </c>
      <c r="AH66" s="32">
        <f>FPS!BK32</f>
        <v>0</v>
      </c>
      <c r="AI66" s="32">
        <f>FPS!BG33</f>
        <v>0</v>
      </c>
      <c r="AJ66" s="32">
        <f t="shared" ref="AJ66:AL85" si="4">AVERAGE($AG66:$AI66)</f>
        <v>0</v>
      </c>
      <c r="AK66" s="32">
        <f t="shared" si="0"/>
        <v>0</v>
      </c>
      <c r="AL66" s="32">
        <f t="shared" si="0"/>
        <v>0</v>
      </c>
    </row>
    <row r="67" spans="1:38" x14ac:dyDescent="0.2">
      <c r="B67" s="32">
        <v>1</v>
      </c>
      <c r="C67" s="32">
        <v>1</v>
      </c>
      <c r="D67" s="32">
        <v>1</v>
      </c>
      <c r="E67" s="32">
        <f>FPS!BL3</f>
        <v>0</v>
      </c>
      <c r="F67" s="32">
        <f>FPS!BL4</f>
        <v>0</v>
      </c>
      <c r="G67" s="32">
        <f>FPS!BL5</f>
        <v>0</v>
      </c>
      <c r="H67" s="32">
        <f>FPS!BL6</f>
        <v>0</v>
      </c>
      <c r="I67" s="32">
        <f>FPS!BL7</f>
        <v>0</v>
      </c>
      <c r="J67" s="32">
        <f>FPS!BL8</f>
        <v>0</v>
      </c>
      <c r="K67" s="32">
        <f>FPS!BL9</f>
        <v>0</v>
      </c>
      <c r="L67" s="32">
        <f>FPS!BL10</f>
        <v>0</v>
      </c>
      <c r="M67" s="32">
        <f>FPS!BL11</f>
        <v>0</v>
      </c>
      <c r="N67" s="32">
        <f>FPS!BL12</f>
        <v>0</v>
      </c>
      <c r="O67" s="32">
        <f>FPS!BL13</f>
        <v>0</v>
      </c>
      <c r="P67" s="32">
        <f>FPS!BL14</f>
        <v>0</v>
      </c>
      <c r="Q67" s="32">
        <f>FPS!BL15</f>
        <v>0</v>
      </c>
      <c r="R67" s="32">
        <f>FPS!BL16</f>
        <v>0</v>
      </c>
      <c r="S67" s="32">
        <f>FPS!BL17</f>
        <v>0</v>
      </c>
      <c r="T67" s="32">
        <f>FPS!BL18</f>
        <v>0</v>
      </c>
      <c r="U67" s="32">
        <f>FPS!BL19</f>
        <v>0</v>
      </c>
      <c r="V67" s="32">
        <f>FPS!BL20</f>
        <v>0</v>
      </c>
      <c r="W67" s="32">
        <f>FPS!BL21</f>
        <v>0</v>
      </c>
      <c r="X67" s="32">
        <f>FPS!BL22</f>
        <v>0</v>
      </c>
      <c r="Y67" s="32">
        <f>FPS!BL23</f>
        <v>0</v>
      </c>
      <c r="Z67" s="32">
        <f>FPS!BL24</f>
        <v>0</v>
      </c>
      <c r="AA67" s="32">
        <f>FPS!BL25</f>
        <v>0</v>
      </c>
      <c r="AB67" s="32">
        <f>FPS!BL26</f>
        <v>0</v>
      </c>
      <c r="AC67" s="32">
        <f>FPS!BL27</f>
        <v>0</v>
      </c>
      <c r="AD67" s="32">
        <f>FPS!BL28</f>
        <v>0</v>
      </c>
      <c r="AE67" s="32">
        <f>FPS!BL29</f>
        <v>0</v>
      </c>
      <c r="AF67" s="32">
        <f>FPS!BL30</f>
        <v>0</v>
      </c>
      <c r="AG67" s="32">
        <f>FPS!BL31</f>
        <v>0</v>
      </c>
      <c r="AH67" s="32">
        <f>FPS!BL32</f>
        <v>0</v>
      </c>
      <c r="AI67" s="32">
        <f>FPS!BL33</f>
        <v>0</v>
      </c>
      <c r="AJ67" s="32">
        <f t="shared" si="4"/>
        <v>0</v>
      </c>
      <c r="AK67" s="32">
        <f t="shared" si="0"/>
        <v>0</v>
      </c>
      <c r="AL67" s="32">
        <f t="shared" si="0"/>
        <v>0</v>
      </c>
    </row>
    <row r="68" spans="1:38" x14ac:dyDescent="0.2">
      <c r="B68" s="32">
        <v>1</v>
      </c>
      <c r="C68" s="32">
        <v>1</v>
      </c>
      <c r="D68" s="32">
        <v>1</v>
      </c>
      <c r="E68" s="32">
        <f>FPS!BM3</f>
        <v>0</v>
      </c>
      <c r="F68" s="32">
        <f>FPS!BM4</f>
        <v>0</v>
      </c>
      <c r="G68" s="32">
        <f>FPS!BM5</f>
        <v>0</v>
      </c>
      <c r="H68" s="32">
        <f>FPS!BM6</f>
        <v>0</v>
      </c>
      <c r="I68" s="32">
        <f>FPS!BM7</f>
        <v>0</v>
      </c>
      <c r="J68" s="32">
        <f>FPS!BM8</f>
        <v>0</v>
      </c>
      <c r="K68" s="32">
        <f>FPS!BM9</f>
        <v>0</v>
      </c>
      <c r="L68" s="32">
        <f>FPS!BM10</f>
        <v>0</v>
      </c>
      <c r="M68" s="32">
        <f>FPS!BM11</f>
        <v>0</v>
      </c>
      <c r="N68" s="32">
        <f>FPS!BM12</f>
        <v>0</v>
      </c>
      <c r="O68" s="32">
        <f>FPS!BM13</f>
        <v>0</v>
      </c>
      <c r="P68" s="32">
        <f>FPS!BM14</f>
        <v>0</v>
      </c>
      <c r="Q68" s="32">
        <f>FPS!BM15</f>
        <v>0</v>
      </c>
      <c r="R68" s="32">
        <f>FPS!BM16</f>
        <v>0</v>
      </c>
      <c r="S68" s="32">
        <f>FPS!BM17</f>
        <v>0</v>
      </c>
      <c r="T68" s="32">
        <f>FPS!BM18</f>
        <v>0</v>
      </c>
      <c r="U68" s="32">
        <f>FPS!BM19</f>
        <v>0</v>
      </c>
      <c r="V68" s="32">
        <f>FPS!BM20</f>
        <v>0</v>
      </c>
      <c r="W68" s="32">
        <f>FPS!BM21</f>
        <v>0</v>
      </c>
      <c r="X68" s="32">
        <f>FPS!BM22</f>
        <v>0</v>
      </c>
      <c r="Y68" s="32">
        <f>FPS!BM23</f>
        <v>0</v>
      </c>
      <c r="Z68" s="32">
        <f>FPS!BM24</f>
        <v>0</v>
      </c>
      <c r="AA68" s="32">
        <f>FPS!BM25</f>
        <v>0</v>
      </c>
      <c r="AB68" s="32">
        <f>FPS!BM26</f>
        <v>0</v>
      </c>
      <c r="AC68" s="32">
        <f>FPS!BM27</f>
        <v>0</v>
      </c>
      <c r="AD68" s="32">
        <f>FPS!BM28</f>
        <v>0</v>
      </c>
      <c r="AE68" s="32">
        <f>FPS!BM29</f>
        <v>0</v>
      </c>
      <c r="AF68" s="32">
        <f>FPS!BM30</f>
        <v>0</v>
      </c>
      <c r="AG68" s="32">
        <f>FPS!BM31</f>
        <v>0</v>
      </c>
      <c r="AH68" s="32">
        <f>FPS!BM32</f>
        <v>0</v>
      </c>
      <c r="AI68" s="32">
        <f>FPS!BM33</f>
        <v>0</v>
      </c>
      <c r="AJ68" s="32">
        <f t="shared" si="4"/>
        <v>0</v>
      </c>
      <c r="AK68" s="32">
        <f t="shared" si="0"/>
        <v>0</v>
      </c>
      <c r="AL68" s="32">
        <f t="shared" si="0"/>
        <v>0</v>
      </c>
    </row>
    <row r="69" spans="1:38" x14ac:dyDescent="0.2">
      <c r="A69" s="23">
        <v>17</v>
      </c>
      <c r="B69" s="32">
        <v>1</v>
      </c>
      <c r="C69" s="32">
        <v>1</v>
      </c>
      <c r="D69" s="32">
        <v>1</v>
      </c>
      <c r="E69" s="32">
        <f>FPS!BN3</f>
        <v>0</v>
      </c>
      <c r="F69" s="32">
        <f>FPS!BN4</f>
        <v>0</v>
      </c>
      <c r="G69" s="32">
        <f>FPS!BN5</f>
        <v>0</v>
      </c>
      <c r="H69" s="32">
        <f>FPS!BN6</f>
        <v>0</v>
      </c>
      <c r="I69" s="32">
        <f>FPS!BN7</f>
        <v>0</v>
      </c>
      <c r="J69" s="32">
        <f>FPS!BN8</f>
        <v>0</v>
      </c>
      <c r="K69" s="32">
        <f>FPS!BN9</f>
        <v>0</v>
      </c>
      <c r="L69" s="32">
        <f>FPS!BN10</f>
        <v>0</v>
      </c>
      <c r="M69" s="32">
        <f>FPS!BN11</f>
        <v>0</v>
      </c>
      <c r="N69" s="32">
        <f>FPS!BN12</f>
        <v>0</v>
      </c>
      <c r="O69" s="32">
        <f>FPS!BN13</f>
        <v>0</v>
      </c>
      <c r="P69" s="32">
        <f>FPS!BN14</f>
        <v>0</v>
      </c>
      <c r="Q69" s="32">
        <f>FPS!BN15</f>
        <v>0</v>
      </c>
      <c r="R69" s="32">
        <f>FPS!BN16</f>
        <v>0</v>
      </c>
      <c r="S69" s="32">
        <f>FPS!BN17</f>
        <v>0</v>
      </c>
      <c r="T69" s="32">
        <f>FPS!BN18</f>
        <v>0</v>
      </c>
      <c r="U69" s="32">
        <f>FPS!BN19</f>
        <v>0</v>
      </c>
      <c r="V69" s="32">
        <f>FPS!BN20</f>
        <v>0</v>
      </c>
      <c r="W69" s="32">
        <f>FPS!BN21</f>
        <v>0</v>
      </c>
      <c r="X69" s="32">
        <f>FPS!BN22</f>
        <v>0</v>
      </c>
      <c r="Y69" s="32">
        <f>FPS!BN23</f>
        <v>0</v>
      </c>
      <c r="Z69" s="32">
        <f>FPS!BN24</f>
        <v>0</v>
      </c>
      <c r="AA69" s="32">
        <f>FPS!BN25</f>
        <v>0</v>
      </c>
      <c r="AB69" s="32">
        <f>FPS!BN26</f>
        <v>0</v>
      </c>
      <c r="AC69" s="32">
        <f>FPS!BN27</f>
        <v>0</v>
      </c>
      <c r="AD69" s="32">
        <f>FPS!BN28</f>
        <v>0</v>
      </c>
      <c r="AE69" s="32">
        <f>FPS!BN29</f>
        <v>0</v>
      </c>
      <c r="AF69" s="32">
        <f>FPS!BN30</f>
        <v>0</v>
      </c>
      <c r="AG69" s="32">
        <f>FPS!BN31</f>
        <v>0</v>
      </c>
      <c r="AH69" s="32">
        <f>FPS!BN32</f>
        <v>0</v>
      </c>
      <c r="AI69" s="32">
        <f>FPS!BN33</f>
        <v>0</v>
      </c>
      <c r="AJ69" s="32">
        <f t="shared" si="4"/>
        <v>0</v>
      </c>
      <c r="AK69" s="32">
        <f t="shared" si="4"/>
        <v>0</v>
      </c>
      <c r="AL69" s="32">
        <f t="shared" si="4"/>
        <v>0</v>
      </c>
    </row>
    <row r="70" spans="1:38" x14ac:dyDescent="0.2">
      <c r="B70" s="32">
        <v>1</v>
      </c>
      <c r="C70" s="32">
        <v>1</v>
      </c>
      <c r="D70" s="32">
        <v>1</v>
      </c>
      <c r="E70" s="32">
        <f>FPS!BO3</f>
        <v>0</v>
      </c>
      <c r="F70" s="32">
        <f>FPS!BO4</f>
        <v>0</v>
      </c>
      <c r="G70" s="32">
        <f>FPS!BO5</f>
        <v>0</v>
      </c>
      <c r="H70" s="32">
        <f>FPS!BO6</f>
        <v>0</v>
      </c>
      <c r="I70" s="32">
        <f>FPS!BO7</f>
        <v>0</v>
      </c>
      <c r="J70" s="32">
        <f>FPS!BO8</f>
        <v>0</v>
      </c>
      <c r="K70" s="32">
        <f>FPS!BO9</f>
        <v>0</v>
      </c>
      <c r="L70" s="32">
        <f>FPS!BO10</f>
        <v>0</v>
      </c>
      <c r="M70" s="32">
        <f>FPS!BO11</f>
        <v>0</v>
      </c>
      <c r="N70" s="32">
        <f>FPS!BO12</f>
        <v>0</v>
      </c>
      <c r="O70" s="32">
        <f>FPS!BO13</f>
        <v>0</v>
      </c>
      <c r="P70" s="32">
        <f>FPS!BO14</f>
        <v>0</v>
      </c>
      <c r="Q70" s="32">
        <f>FPS!BO15</f>
        <v>0</v>
      </c>
      <c r="R70" s="32">
        <f>FPS!BO16</f>
        <v>0</v>
      </c>
      <c r="S70" s="32">
        <f>FPS!BO17</f>
        <v>0</v>
      </c>
      <c r="T70" s="32">
        <f>FPS!BO18</f>
        <v>0</v>
      </c>
      <c r="U70" s="32">
        <f>FPS!BO19</f>
        <v>0</v>
      </c>
      <c r="V70" s="32">
        <f>FPS!BO20</f>
        <v>0</v>
      </c>
      <c r="W70" s="32">
        <f>FPS!BO21</f>
        <v>0</v>
      </c>
      <c r="X70" s="32">
        <f>FPS!BO22</f>
        <v>0</v>
      </c>
      <c r="Y70" s="32">
        <f>FPS!BO23</f>
        <v>0</v>
      </c>
      <c r="Z70" s="32">
        <f>FPS!BO24</f>
        <v>0</v>
      </c>
      <c r="AA70" s="32">
        <f>FPS!BO25</f>
        <v>0</v>
      </c>
      <c r="AB70" s="32">
        <f>FPS!BO26</f>
        <v>0</v>
      </c>
      <c r="AC70" s="32">
        <f>FPS!BO27</f>
        <v>0</v>
      </c>
      <c r="AD70" s="32">
        <f>FPS!BO28</f>
        <v>0</v>
      </c>
      <c r="AE70" s="32">
        <f>FPS!BO29</f>
        <v>0</v>
      </c>
      <c r="AF70" s="32">
        <f>FPS!BO30</f>
        <v>0</v>
      </c>
      <c r="AG70" s="32">
        <f>FPS!BO31</f>
        <v>0</v>
      </c>
      <c r="AH70" s="32">
        <f>FPS!BO32</f>
        <v>0</v>
      </c>
      <c r="AI70" s="32">
        <f>FPS!BO33</f>
        <v>0</v>
      </c>
      <c r="AJ70" s="32">
        <f t="shared" si="4"/>
        <v>0</v>
      </c>
      <c r="AK70" s="32">
        <f t="shared" si="4"/>
        <v>0</v>
      </c>
      <c r="AL70" s="32">
        <f t="shared" si="4"/>
        <v>0</v>
      </c>
    </row>
    <row r="71" spans="1:38" x14ac:dyDescent="0.2">
      <c r="B71" s="32">
        <v>1</v>
      </c>
      <c r="C71" s="32">
        <v>1</v>
      </c>
      <c r="D71" s="32">
        <v>1</v>
      </c>
      <c r="E71" s="32">
        <f>FPS!BP3</f>
        <v>0</v>
      </c>
      <c r="F71" s="32">
        <f>FPS!BP4</f>
        <v>0</v>
      </c>
      <c r="G71" s="32">
        <f>FPS!BP5</f>
        <v>0</v>
      </c>
      <c r="H71" s="32">
        <f>FPS!BP6</f>
        <v>0</v>
      </c>
      <c r="I71" s="32">
        <f>FPS!BP7</f>
        <v>0</v>
      </c>
      <c r="J71" s="32">
        <f>FPS!BP8</f>
        <v>0</v>
      </c>
      <c r="K71" s="32">
        <f>FPS!BP9</f>
        <v>0</v>
      </c>
      <c r="L71" s="32">
        <f>FPS!BP10</f>
        <v>0</v>
      </c>
      <c r="M71" s="32">
        <f>FPS!BP11</f>
        <v>0</v>
      </c>
      <c r="N71" s="32">
        <f>FPS!BP12</f>
        <v>0</v>
      </c>
      <c r="O71" s="32">
        <f>FPS!BP13</f>
        <v>0</v>
      </c>
      <c r="P71" s="32">
        <f>FPS!BP14</f>
        <v>0</v>
      </c>
      <c r="Q71" s="32">
        <f>FPS!BP15</f>
        <v>0</v>
      </c>
      <c r="R71" s="32">
        <f>FPS!BP16</f>
        <v>0</v>
      </c>
      <c r="S71" s="32">
        <f>FPS!BP17</f>
        <v>0</v>
      </c>
      <c r="T71" s="32">
        <f>FPS!BP18</f>
        <v>0</v>
      </c>
      <c r="U71" s="32">
        <f>FPS!BP19</f>
        <v>0</v>
      </c>
      <c r="V71" s="32">
        <f>FPS!BP20</f>
        <v>0</v>
      </c>
      <c r="W71" s="32">
        <f>FPS!BP21</f>
        <v>0</v>
      </c>
      <c r="X71" s="32">
        <f>FPS!BP22</f>
        <v>0</v>
      </c>
      <c r="Y71" s="32">
        <f>FPS!BP23</f>
        <v>0</v>
      </c>
      <c r="Z71" s="32">
        <f>FPS!BP24</f>
        <v>0</v>
      </c>
      <c r="AA71" s="32">
        <f>FPS!BP25</f>
        <v>0</v>
      </c>
      <c r="AB71" s="32">
        <f>FPS!BP26</f>
        <v>0</v>
      </c>
      <c r="AC71" s="32">
        <f>FPS!BP27</f>
        <v>0</v>
      </c>
      <c r="AD71" s="32">
        <f>FPS!BP28</f>
        <v>0</v>
      </c>
      <c r="AE71" s="32">
        <f>FPS!BP29</f>
        <v>0</v>
      </c>
      <c r="AF71" s="32">
        <f>FPS!BP30</f>
        <v>0</v>
      </c>
      <c r="AG71" s="32">
        <f>FPS!BP31</f>
        <v>0</v>
      </c>
      <c r="AH71" s="32">
        <f>FPS!BP32</f>
        <v>0</v>
      </c>
      <c r="AI71" s="32">
        <f>FPS!BP33</f>
        <v>0</v>
      </c>
      <c r="AJ71" s="32">
        <f t="shared" si="4"/>
        <v>0</v>
      </c>
      <c r="AK71" s="32">
        <f t="shared" si="4"/>
        <v>0</v>
      </c>
      <c r="AL71" s="32">
        <f t="shared" si="4"/>
        <v>0</v>
      </c>
    </row>
    <row r="72" spans="1:38" x14ac:dyDescent="0.2">
      <c r="B72" s="32">
        <v>1</v>
      </c>
      <c r="C72" s="32">
        <v>1</v>
      </c>
      <c r="D72" s="32">
        <v>1</v>
      </c>
      <c r="E72" s="32">
        <f>FPS!BQ3</f>
        <v>0</v>
      </c>
      <c r="F72" s="32">
        <f>FPS!BQ4</f>
        <v>0</v>
      </c>
      <c r="G72" s="32">
        <f>FPS!BQ5</f>
        <v>0</v>
      </c>
      <c r="H72" s="32">
        <f>FPS!BQ6</f>
        <v>0</v>
      </c>
      <c r="I72" s="32">
        <f>FPS!BQ7</f>
        <v>0</v>
      </c>
      <c r="J72" s="32">
        <f>FPS!BQ8</f>
        <v>0</v>
      </c>
      <c r="K72" s="32">
        <f>FPS!BQ9</f>
        <v>0</v>
      </c>
      <c r="L72" s="32">
        <f>FPS!BQ10</f>
        <v>0</v>
      </c>
      <c r="M72" s="32">
        <f>FPS!BQ11</f>
        <v>0</v>
      </c>
      <c r="N72" s="32">
        <f>FPS!BQ12</f>
        <v>0</v>
      </c>
      <c r="O72" s="32">
        <f>FPS!BQ13</f>
        <v>0</v>
      </c>
      <c r="P72" s="32">
        <f>FPS!BQ14</f>
        <v>0</v>
      </c>
      <c r="Q72" s="32">
        <f>FPS!BQ15</f>
        <v>0</v>
      </c>
      <c r="R72" s="32">
        <f>FPS!BQ16</f>
        <v>0</v>
      </c>
      <c r="S72" s="32">
        <f>FPS!BQ17</f>
        <v>0</v>
      </c>
      <c r="T72" s="32">
        <f>FPS!BQ18</f>
        <v>0</v>
      </c>
      <c r="U72" s="32">
        <f>FPS!BQ19</f>
        <v>0</v>
      </c>
      <c r="V72" s="32">
        <f>FPS!BQ20</f>
        <v>0</v>
      </c>
      <c r="W72" s="32">
        <f>FPS!BQ21</f>
        <v>0</v>
      </c>
      <c r="X72" s="32">
        <f>FPS!BQ22</f>
        <v>0</v>
      </c>
      <c r="Y72" s="32">
        <f>FPS!BQ23</f>
        <v>0</v>
      </c>
      <c r="Z72" s="32">
        <f>FPS!BQ24</f>
        <v>0</v>
      </c>
      <c r="AA72" s="32">
        <f>FPS!BQ25</f>
        <v>0</v>
      </c>
      <c r="AB72" s="32">
        <f>FPS!BQ26</f>
        <v>0</v>
      </c>
      <c r="AC72" s="32">
        <f>FPS!BQ27</f>
        <v>0</v>
      </c>
      <c r="AD72" s="32">
        <f>FPS!BQ28</f>
        <v>0</v>
      </c>
      <c r="AE72" s="32">
        <f>FPS!BQ29</f>
        <v>0</v>
      </c>
      <c r="AF72" s="32">
        <f>FPS!BQ30</f>
        <v>0</v>
      </c>
      <c r="AG72" s="32">
        <f>FPS!BQ31</f>
        <v>0</v>
      </c>
      <c r="AH72" s="32">
        <f>FPS!BQ32</f>
        <v>0</v>
      </c>
      <c r="AI72" s="32">
        <f>FPS!BQ33</f>
        <v>0</v>
      </c>
      <c r="AJ72" s="32">
        <f t="shared" si="4"/>
        <v>0</v>
      </c>
      <c r="AK72" s="32">
        <f t="shared" si="4"/>
        <v>0</v>
      </c>
      <c r="AL72" s="32">
        <f t="shared" si="4"/>
        <v>0</v>
      </c>
    </row>
    <row r="73" spans="1:38" x14ac:dyDescent="0.2">
      <c r="A73" s="23">
        <v>18</v>
      </c>
      <c r="B73" s="32">
        <v>1</v>
      </c>
      <c r="C73" s="32">
        <v>1</v>
      </c>
      <c r="D73" s="32">
        <v>1</v>
      </c>
      <c r="E73" s="32">
        <f>FPS!BR3</f>
        <v>0</v>
      </c>
      <c r="F73" s="32">
        <f>FPS!BR4</f>
        <v>0</v>
      </c>
      <c r="G73" s="32">
        <f>FPS!BR5</f>
        <v>0</v>
      </c>
      <c r="H73" s="32">
        <f>FPS!BR6</f>
        <v>0</v>
      </c>
      <c r="I73" s="32">
        <f>FPS!BR7</f>
        <v>0</v>
      </c>
      <c r="J73" s="32">
        <f>FPS!BR8</f>
        <v>0</v>
      </c>
      <c r="K73" s="32">
        <f>FPS!BR9</f>
        <v>0</v>
      </c>
      <c r="L73" s="32">
        <f>FPS!BR10</f>
        <v>0</v>
      </c>
      <c r="M73" s="32">
        <f>FPS!BR11</f>
        <v>0</v>
      </c>
      <c r="N73" s="32">
        <f>FPS!BR12</f>
        <v>0</v>
      </c>
      <c r="O73" s="32">
        <f>FPS!BR13</f>
        <v>0</v>
      </c>
      <c r="P73" s="32">
        <f>FPS!BR14</f>
        <v>0</v>
      </c>
      <c r="Q73" s="32">
        <f>FPS!BR15</f>
        <v>0</v>
      </c>
      <c r="R73" s="32">
        <f>FPS!BR16</f>
        <v>0</v>
      </c>
      <c r="S73" s="32">
        <f>FPS!BR17</f>
        <v>0</v>
      </c>
      <c r="T73" s="32">
        <f>FPS!BR18</f>
        <v>0</v>
      </c>
      <c r="U73" s="32">
        <f>FPS!BR19</f>
        <v>0</v>
      </c>
      <c r="V73" s="32">
        <f>FPS!BR20</f>
        <v>0</v>
      </c>
      <c r="W73" s="32">
        <f>FPS!BR21</f>
        <v>0</v>
      </c>
      <c r="X73" s="32">
        <f>FPS!BR22</f>
        <v>0</v>
      </c>
      <c r="Y73" s="32">
        <f>FPS!BR23</f>
        <v>0</v>
      </c>
      <c r="Z73" s="32">
        <f>FPS!BR24</f>
        <v>0</v>
      </c>
      <c r="AA73" s="32">
        <f>FPS!BR25</f>
        <v>0</v>
      </c>
      <c r="AB73" s="32">
        <f>FPS!BR26</f>
        <v>0</v>
      </c>
      <c r="AC73" s="32">
        <f>FPS!BR27</f>
        <v>0</v>
      </c>
      <c r="AD73" s="32">
        <f>FPS!BR28</f>
        <v>0</v>
      </c>
      <c r="AE73" s="32">
        <f>FPS!BR29</f>
        <v>0</v>
      </c>
      <c r="AF73" s="32">
        <f>FPS!BR30</f>
        <v>0</v>
      </c>
      <c r="AG73" s="32">
        <f>FPS!BR31</f>
        <v>0</v>
      </c>
      <c r="AH73" s="32">
        <f>FPS!BR32</f>
        <v>0</v>
      </c>
      <c r="AI73" s="32">
        <f>FPS!BR33</f>
        <v>0</v>
      </c>
      <c r="AJ73" s="32">
        <f t="shared" si="4"/>
        <v>0</v>
      </c>
      <c r="AK73" s="32">
        <f t="shared" si="4"/>
        <v>0</v>
      </c>
      <c r="AL73" s="32">
        <f t="shared" si="4"/>
        <v>0</v>
      </c>
    </row>
    <row r="74" spans="1:38" x14ac:dyDescent="0.2">
      <c r="B74" s="32">
        <v>1</v>
      </c>
      <c r="C74" s="32">
        <v>1</v>
      </c>
      <c r="D74" s="32">
        <v>1</v>
      </c>
      <c r="E74" s="32">
        <f>FPS!BS3</f>
        <v>0</v>
      </c>
      <c r="F74" s="32">
        <f>FPS!BS4</f>
        <v>0</v>
      </c>
      <c r="G74" s="32">
        <f>FPS!BS5</f>
        <v>0</v>
      </c>
      <c r="H74" s="32">
        <f>FPS!BS6</f>
        <v>0</v>
      </c>
      <c r="I74" s="32">
        <f>FPS!BS7</f>
        <v>0</v>
      </c>
      <c r="J74" s="32">
        <f>FPS!BS8</f>
        <v>0</v>
      </c>
      <c r="K74" s="32">
        <f>FPS!BS9</f>
        <v>0</v>
      </c>
      <c r="L74" s="32">
        <f>FPS!BS10</f>
        <v>0</v>
      </c>
      <c r="M74" s="32">
        <f>FPS!BS11</f>
        <v>0</v>
      </c>
      <c r="N74" s="32">
        <f>FPS!BS12</f>
        <v>0</v>
      </c>
      <c r="O74" s="32">
        <f>FPS!BS13</f>
        <v>0</v>
      </c>
      <c r="P74" s="32">
        <f>FPS!BS14</f>
        <v>0</v>
      </c>
      <c r="Q74" s="32">
        <f>FPS!BS15</f>
        <v>0</v>
      </c>
      <c r="R74" s="32">
        <f>FPS!BS16</f>
        <v>0</v>
      </c>
      <c r="S74" s="32">
        <f>FPS!BS17</f>
        <v>0</v>
      </c>
      <c r="T74" s="32">
        <f>FPS!BS18</f>
        <v>0</v>
      </c>
      <c r="U74" s="32">
        <f>FPS!BS19</f>
        <v>0</v>
      </c>
      <c r="V74" s="32">
        <f>FPS!BS20</f>
        <v>0</v>
      </c>
      <c r="W74" s="32">
        <f>FPS!BS21</f>
        <v>0</v>
      </c>
      <c r="X74" s="32">
        <f>FPS!BS22</f>
        <v>0</v>
      </c>
      <c r="Y74" s="32">
        <f>FPS!BS23</f>
        <v>0</v>
      </c>
      <c r="Z74" s="32">
        <f>FPS!BS24</f>
        <v>0</v>
      </c>
      <c r="AA74" s="32">
        <f>FPS!BS25</f>
        <v>0</v>
      </c>
      <c r="AB74" s="32">
        <f>FPS!BS26</f>
        <v>0</v>
      </c>
      <c r="AC74" s="32">
        <f>FPS!BS27</f>
        <v>0</v>
      </c>
      <c r="AD74" s="32">
        <f>FPS!BS28</f>
        <v>0</v>
      </c>
      <c r="AE74" s="32">
        <f>FPS!BS29</f>
        <v>0</v>
      </c>
      <c r="AF74" s="32">
        <f>FPS!BS30</f>
        <v>0</v>
      </c>
      <c r="AG74" s="32">
        <f>FPS!BS31</f>
        <v>0</v>
      </c>
      <c r="AH74" s="32">
        <f>FPS!BS32</f>
        <v>0</v>
      </c>
      <c r="AI74" s="32">
        <f>FPS!BS33</f>
        <v>0</v>
      </c>
      <c r="AJ74" s="32">
        <f t="shared" si="4"/>
        <v>0</v>
      </c>
      <c r="AK74" s="32">
        <f t="shared" si="4"/>
        <v>0</v>
      </c>
      <c r="AL74" s="32">
        <f t="shared" si="4"/>
        <v>0</v>
      </c>
    </row>
    <row r="75" spans="1:38" x14ac:dyDescent="0.2">
      <c r="B75" s="32">
        <v>1</v>
      </c>
      <c r="C75" s="32">
        <v>1</v>
      </c>
      <c r="D75" s="32">
        <v>1</v>
      </c>
      <c r="E75" s="32">
        <f>FPS!BT3</f>
        <v>0</v>
      </c>
      <c r="F75" s="32">
        <f>FPS!BT4</f>
        <v>0</v>
      </c>
      <c r="G75" s="32">
        <f>FPS!BT5</f>
        <v>0</v>
      </c>
      <c r="H75" s="32">
        <f>FPS!BT6</f>
        <v>0</v>
      </c>
      <c r="I75" s="32">
        <f>FPS!BT7</f>
        <v>0</v>
      </c>
      <c r="J75" s="32">
        <f>FPS!BT8</f>
        <v>0</v>
      </c>
      <c r="K75" s="32">
        <f>FPS!BT9</f>
        <v>0</v>
      </c>
      <c r="L75" s="32">
        <f>FPS!BT10</f>
        <v>0</v>
      </c>
      <c r="M75" s="32">
        <f>FPS!BT11</f>
        <v>0</v>
      </c>
      <c r="N75" s="32">
        <f>FPS!BT12</f>
        <v>0</v>
      </c>
      <c r="O75" s="32">
        <f>FPS!BT13</f>
        <v>0</v>
      </c>
      <c r="P75" s="32">
        <f>FPS!BT14</f>
        <v>0</v>
      </c>
      <c r="Q75" s="32">
        <f>FPS!BT15</f>
        <v>0</v>
      </c>
      <c r="R75" s="32">
        <f>FPS!BT16</f>
        <v>0</v>
      </c>
      <c r="S75" s="32">
        <f>FPS!BT17</f>
        <v>0</v>
      </c>
      <c r="T75" s="32">
        <f>FPS!BT18</f>
        <v>0</v>
      </c>
      <c r="U75" s="32">
        <f>FPS!BT19</f>
        <v>0</v>
      </c>
      <c r="V75" s="32">
        <f>FPS!BT20</f>
        <v>0</v>
      </c>
      <c r="W75" s="32">
        <f>FPS!BT21</f>
        <v>0</v>
      </c>
      <c r="X75" s="32">
        <f>FPS!BT22</f>
        <v>0</v>
      </c>
      <c r="Y75" s="32">
        <f>FPS!BT23</f>
        <v>0</v>
      </c>
      <c r="Z75" s="32">
        <f>FPS!BT24</f>
        <v>0</v>
      </c>
      <c r="AA75" s="32">
        <f>FPS!BT25</f>
        <v>0</v>
      </c>
      <c r="AB75" s="32">
        <f>FPS!BT26</f>
        <v>0</v>
      </c>
      <c r="AC75" s="32">
        <f>FPS!BT27</f>
        <v>0</v>
      </c>
      <c r="AD75" s="32">
        <f>FPS!BT28</f>
        <v>0</v>
      </c>
      <c r="AE75" s="32">
        <f>FPS!BT29</f>
        <v>0</v>
      </c>
      <c r="AF75" s="32">
        <f>FPS!BT30</f>
        <v>0</v>
      </c>
      <c r="AG75" s="32">
        <f>FPS!BT31</f>
        <v>0</v>
      </c>
      <c r="AH75" s="32">
        <f>FPS!BT32</f>
        <v>0</v>
      </c>
      <c r="AI75" s="32">
        <f>FPS!BT33</f>
        <v>0</v>
      </c>
      <c r="AJ75" s="32">
        <f t="shared" si="4"/>
        <v>0</v>
      </c>
      <c r="AK75" s="32">
        <f t="shared" si="4"/>
        <v>0</v>
      </c>
      <c r="AL75" s="32">
        <f t="shared" si="4"/>
        <v>0</v>
      </c>
    </row>
    <row r="76" spans="1:38" x14ac:dyDescent="0.2">
      <c r="B76" s="32">
        <v>1</v>
      </c>
      <c r="C76" s="32">
        <v>1</v>
      </c>
      <c r="D76" s="32">
        <v>1</v>
      </c>
      <c r="E76" s="32">
        <f>FPS!BU3</f>
        <v>0</v>
      </c>
      <c r="F76" s="32">
        <f>FPS!BU4</f>
        <v>0</v>
      </c>
      <c r="G76" s="32">
        <f>FPS!BU5</f>
        <v>0</v>
      </c>
      <c r="H76" s="32">
        <f>FPS!BU6</f>
        <v>0</v>
      </c>
      <c r="I76" s="32">
        <f>FPS!BU7</f>
        <v>0</v>
      </c>
      <c r="J76" s="32">
        <f>FPS!BU8</f>
        <v>0</v>
      </c>
      <c r="K76" s="32">
        <f>FPS!BU9</f>
        <v>0</v>
      </c>
      <c r="L76" s="32">
        <f>FPS!BU10</f>
        <v>0</v>
      </c>
      <c r="M76" s="32">
        <f>FPS!BU11</f>
        <v>0</v>
      </c>
      <c r="N76" s="32">
        <f>FPS!BU12</f>
        <v>0</v>
      </c>
      <c r="O76" s="32">
        <f>FPS!BU13</f>
        <v>0</v>
      </c>
      <c r="P76" s="32">
        <f>FPS!BU14</f>
        <v>0</v>
      </c>
      <c r="Q76" s="32">
        <f>FPS!BU15</f>
        <v>0</v>
      </c>
      <c r="R76" s="32">
        <f>FPS!BU16</f>
        <v>0</v>
      </c>
      <c r="S76" s="32">
        <f>FPS!BU17</f>
        <v>0</v>
      </c>
      <c r="T76" s="32">
        <f>FPS!BU18</f>
        <v>0</v>
      </c>
      <c r="U76" s="32">
        <f>FPS!BU19</f>
        <v>0</v>
      </c>
      <c r="V76" s="32">
        <f>FPS!BU20</f>
        <v>0</v>
      </c>
      <c r="W76" s="32">
        <f>FPS!BU21</f>
        <v>0</v>
      </c>
      <c r="X76" s="32">
        <f>FPS!BU22</f>
        <v>0</v>
      </c>
      <c r="Y76" s="32">
        <f>FPS!BU23</f>
        <v>0</v>
      </c>
      <c r="Z76" s="32">
        <f>FPS!BU24</f>
        <v>0</v>
      </c>
      <c r="AA76" s="32">
        <f>FPS!BU25</f>
        <v>0</v>
      </c>
      <c r="AB76" s="32">
        <f>FPS!BU26</f>
        <v>0</v>
      </c>
      <c r="AC76" s="32">
        <f>FPS!BU27</f>
        <v>0</v>
      </c>
      <c r="AD76" s="32">
        <f>FPS!BU28</f>
        <v>0</v>
      </c>
      <c r="AE76" s="32">
        <f>FPS!BU29</f>
        <v>0</v>
      </c>
      <c r="AF76" s="32">
        <f>FPS!BU30</f>
        <v>0</v>
      </c>
      <c r="AG76" s="32">
        <f>FPS!BU31</f>
        <v>0</v>
      </c>
      <c r="AH76" s="32">
        <f>FPS!BU32</f>
        <v>0</v>
      </c>
      <c r="AI76" s="32">
        <f>FPS!BU33</f>
        <v>0</v>
      </c>
      <c r="AJ76" s="32">
        <f t="shared" si="4"/>
        <v>0</v>
      </c>
      <c r="AK76" s="32">
        <f t="shared" si="4"/>
        <v>0</v>
      </c>
      <c r="AL76" s="32">
        <f t="shared" si="4"/>
        <v>0</v>
      </c>
    </row>
    <row r="77" spans="1:38" x14ac:dyDescent="0.2">
      <c r="A77" s="23">
        <v>19</v>
      </c>
      <c r="B77" s="32">
        <v>1</v>
      </c>
      <c r="C77" s="32">
        <v>1</v>
      </c>
      <c r="D77" s="32">
        <v>1</v>
      </c>
      <c r="E77" s="32">
        <f>FPS!BV3</f>
        <v>0</v>
      </c>
      <c r="F77" s="32">
        <f>FPS!BV4</f>
        <v>0</v>
      </c>
      <c r="G77" s="32">
        <f>FPS!BV5</f>
        <v>0</v>
      </c>
      <c r="H77" s="32">
        <f>FPS!BV6</f>
        <v>0</v>
      </c>
      <c r="I77" s="32">
        <f>FPS!BV7</f>
        <v>0</v>
      </c>
      <c r="J77" s="32">
        <f>FPS!BV8</f>
        <v>0</v>
      </c>
      <c r="K77" s="32">
        <f>FPS!BV9</f>
        <v>0</v>
      </c>
      <c r="L77" s="32">
        <f>FPS!BV10</f>
        <v>0</v>
      </c>
      <c r="M77" s="32">
        <f>FPS!BV11</f>
        <v>0</v>
      </c>
      <c r="N77" s="32">
        <f>FPS!BV12</f>
        <v>0</v>
      </c>
      <c r="O77" s="32">
        <f>FPS!BV13</f>
        <v>0</v>
      </c>
      <c r="P77" s="32">
        <f>FPS!BV14</f>
        <v>0</v>
      </c>
      <c r="Q77" s="32">
        <f>FPS!BV15</f>
        <v>0</v>
      </c>
      <c r="R77" s="32">
        <f>FPS!BV16</f>
        <v>0</v>
      </c>
      <c r="S77" s="32">
        <f>FPS!BV17</f>
        <v>0</v>
      </c>
      <c r="T77" s="32">
        <f>FPS!BV18</f>
        <v>0</v>
      </c>
      <c r="U77" s="32">
        <f>FPS!BV19</f>
        <v>0</v>
      </c>
      <c r="V77" s="32">
        <f>FPS!BV20</f>
        <v>0</v>
      </c>
      <c r="W77" s="32">
        <f>FPS!BV21</f>
        <v>0</v>
      </c>
      <c r="X77" s="32">
        <f>FPS!BV22</f>
        <v>0</v>
      </c>
      <c r="Y77" s="32">
        <f>FPS!BV23</f>
        <v>0</v>
      </c>
      <c r="Z77" s="32">
        <f>FPS!BV24</f>
        <v>0</v>
      </c>
      <c r="AA77" s="32">
        <f>FPS!BV25</f>
        <v>0</v>
      </c>
      <c r="AB77" s="32">
        <f>FPS!BV26</f>
        <v>0</v>
      </c>
      <c r="AC77" s="32">
        <f>FPS!BV27</f>
        <v>0</v>
      </c>
      <c r="AD77" s="32">
        <f>FPS!BV28</f>
        <v>0</v>
      </c>
      <c r="AE77" s="32">
        <f>FPS!BV29</f>
        <v>0</v>
      </c>
      <c r="AF77" s="32">
        <f>FPS!BV30</f>
        <v>0</v>
      </c>
      <c r="AG77" s="32">
        <f>FPS!BV31</f>
        <v>0</v>
      </c>
      <c r="AH77" s="32">
        <f>FPS!BV32</f>
        <v>0</v>
      </c>
      <c r="AI77" s="32">
        <f>FPS!BV33</f>
        <v>0</v>
      </c>
      <c r="AJ77" s="32">
        <f t="shared" si="4"/>
        <v>0</v>
      </c>
      <c r="AK77" s="32">
        <f t="shared" si="4"/>
        <v>0</v>
      </c>
      <c r="AL77" s="32">
        <f t="shared" si="4"/>
        <v>0</v>
      </c>
    </row>
    <row r="78" spans="1:38" x14ac:dyDescent="0.2">
      <c r="B78" s="32">
        <v>1</v>
      </c>
      <c r="C78" s="32">
        <v>1</v>
      </c>
      <c r="D78" s="32">
        <v>1</v>
      </c>
      <c r="E78" s="32">
        <f>FPS!BW3</f>
        <v>0</v>
      </c>
      <c r="F78" s="32">
        <f>FPS!BW4</f>
        <v>0</v>
      </c>
      <c r="G78" s="32">
        <f>FPS!BW5</f>
        <v>0</v>
      </c>
      <c r="H78" s="32">
        <f>FPS!BW6</f>
        <v>0</v>
      </c>
      <c r="I78" s="32">
        <f>FPS!BW7</f>
        <v>0</v>
      </c>
      <c r="J78" s="32">
        <f>FPS!BW8</f>
        <v>0</v>
      </c>
      <c r="K78" s="32">
        <f>FPS!BW9</f>
        <v>0</v>
      </c>
      <c r="L78" s="32">
        <f>FPS!BW10</f>
        <v>0</v>
      </c>
      <c r="M78" s="32">
        <f>FPS!BW11</f>
        <v>0</v>
      </c>
      <c r="N78" s="32">
        <f>FPS!BW12</f>
        <v>0</v>
      </c>
      <c r="O78" s="32">
        <f>FPS!BW13</f>
        <v>0</v>
      </c>
      <c r="P78" s="32">
        <f>FPS!BW14</f>
        <v>0</v>
      </c>
      <c r="Q78" s="32">
        <f>FPS!BW15</f>
        <v>0</v>
      </c>
      <c r="R78" s="32">
        <f>FPS!BW16</f>
        <v>0</v>
      </c>
      <c r="S78" s="32">
        <f>FPS!BW17</f>
        <v>0</v>
      </c>
      <c r="T78" s="32">
        <f>FPS!BW18</f>
        <v>0</v>
      </c>
      <c r="U78" s="32">
        <f>FPS!BW19</f>
        <v>0</v>
      </c>
      <c r="V78" s="32">
        <f>FPS!BW20</f>
        <v>0</v>
      </c>
      <c r="W78" s="32">
        <f>FPS!BW21</f>
        <v>0</v>
      </c>
      <c r="X78" s="32">
        <f>FPS!BW22</f>
        <v>0</v>
      </c>
      <c r="Y78" s="32">
        <f>FPS!BW23</f>
        <v>0</v>
      </c>
      <c r="Z78" s="32">
        <f>FPS!BW24</f>
        <v>0</v>
      </c>
      <c r="AA78" s="32">
        <f>FPS!BW25</f>
        <v>0</v>
      </c>
      <c r="AB78" s="32">
        <f>FPS!BW26</f>
        <v>0</v>
      </c>
      <c r="AC78" s="32">
        <f>FPS!BW27</f>
        <v>0</v>
      </c>
      <c r="AD78" s="32">
        <f>FPS!BW28</f>
        <v>0</v>
      </c>
      <c r="AE78" s="32">
        <f>FPS!BW29</f>
        <v>0</v>
      </c>
      <c r="AF78" s="32">
        <f>FPS!BW30</f>
        <v>0</v>
      </c>
      <c r="AG78" s="32">
        <f>FPS!BW31</f>
        <v>0</v>
      </c>
      <c r="AH78" s="32">
        <f>FPS!BW32</f>
        <v>0</v>
      </c>
      <c r="AI78" s="32">
        <f>FPS!BW33</f>
        <v>0</v>
      </c>
      <c r="AJ78" s="32">
        <f t="shared" si="4"/>
        <v>0</v>
      </c>
      <c r="AK78" s="32">
        <f t="shared" si="4"/>
        <v>0</v>
      </c>
      <c r="AL78" s="32">
        <f t="shared" si="4"/>
        <v>0</v>
      </c>
    </row>
    <row r="79" spans="1:38" x14ac:dyDescent="0.2">
      <c r="B79" s="32">
        <v>1</v>
      </c>
      <c r="C79" s="32">
        <v>1</v>
      </c>
      <c r="D79" s="32">
        <v>1</v>
      </c>
      <c r="E79" s="32">
        <f>FPS!BX3</f>
        <v>0</v>
      </c>
      <c r="F79" s="32">
        <f>FPS!BX4</f>
        <v>0</v>
      </c>
      <c r="G79" s="32">
        <f>FPS!BX5</f>
        <v>0</v>
      </c>
      <c r="H79" s="32">
        <f>FPS!BX6</f>
        <v>0</v>
      </c>
      <c r="I79" s="32">
        <f>FPS!BX7</f>
        <v>0</v>
      </c>
      <c r="J79" s="32">
        <f>FPS!BX8</f>
        <v>0</v>
      </c>
      <c r="K79" s="32">
        <f>FPS!BX9</f>
        <v>0</v>
      </c>
      <c r="L79" s="32">
        <f>FPS!BX10</f>
        <v>0</v>
      </c>
      <c r="M79" s="32">
        <f>FPS!BX11</f>
        <v>0</v>
      </c>
      <c r="N79" s="32">
        <f>FPS!BX12</f>
        <v>0</v>
      </c>
      <c r="O79" s="32">
        <f>FPS!BX13</f>
        <v>0</v>
      </c>
      <c r="P79" s="32">
        <f>FPS!BX14</f>
        <v>0</v>
      </c>
      <c r="Q79" s="32">
        <f>FPS!BX15</f>
        <v>0</v>
      </c>
      <c r="R79" s="32">
        <f>FPS!BX16</f>
        <v>0</v>
      </c>
      <c r="S79" s="32">
        <f>FPS!BX17</f>
        <v>0</v>
      </c>
      <c r="T79" s="32">
        <f>FPS!BX18</f>
        <v>0</v>
      </c>
      <c r="U79" s="32">
        <f>FPS!BX19</f>
        <v>0</v>
      </c>
      <c r="V79" s="32">
        <f>FPS!BX20</f>
        <v>0</v>
      </c>
      <c r="W79" s="32">
        <f>FPS!BX21</f>
        <v>0</v>
      </c>
      <c r="X79" s="32">
        <f>FPS!BX22</f>
        <v>0</v>
      </c>
      <c r="Y79" s="32">
        <f>FPS!BX23</f>
        <v>0</v>
      </c>
      <c r="Z79" s="32">
        <f>FPS!BX24</f>
        <v>0</v>
      </c>
      <c r="AA79" s="32">
        <f>FPS!BX25</f>
        <v>0</v>
      </c>
      <c r="AB79" s="32">
        <f>FPS!BX26</f>
        <v>0</v>
      </c>
      <c r="AC79" s="32">
        <f>FPS!BX27</f>
        <v>0</v>
      </c>
      <c r="AD79" s="32">
        <f>FPS!BX28</f>
        <v>0</v>
      </c>
      <c r="AE79" s="32">
        <f>FPS!BX29</f>
        <v>0</v>
      </c>
      <c r="AF79" s="32">
        <f>FPS!BX30</f>
        <v>0</v>
      </c>
      <c r="AG79" s="32">
        <f>FPS!BX31</f>
        <v>0</v>
      </c>
      <c r="AH79" s="32">
        <f>FPS!BX32</f>
        <v>0</v>
      </c>
      <c r="AI79" s="32">
        <f>FPS!BX33</f>
        <v>0</v>
      </c>
      <c r="AJ79" s="32">
        <f t="shared" si="4"/>
        <v>0</v>
      </c>
      <c r="AK79" s="32">
        <f t="shared" si="4"/>
        <v>0</v>
      </c>
      <c r="AL79" s="32">
        <f t="shared" si="4"/>
        <v>0</v>
      </c>
    </row>
    <row r="80" spans="1:38" x14ac:dyDescent="0.2">
      <c r="B80" s="32">
        <v>1</v>
      </c>
      <c r="C80" s="32">
        <v>1</v>
      </c>
      <c r="D80" s="32">
        <v>1</v>
      </c>
      <c r="E80" s="32">
        <f>FPS!BY3</f>
        <v>0</v>
      </c>
      <c r="F80" s="32">
        <f>FPS!BY4</f>
        <v>0</v>
      </c>
      <c r="G80" s="32">
        <f>FPS!BY5</f>
        <v>0</v>
      </c>
      <c r="H80" s="32">
        <f>FPS!BY6</f>
        <v>0</v>
      </c>
      <c r="I80" s="32">
        <f>FPS!BY7</f>
        <v>0</v>
      </c>
      <c r="J80" s="32">
        <f>FPS!BY8</f>
        <v>0</v>
      </c>
      <c r="K80" s="32">
        <f>FPS!BY9</f>
        <v>0</v>
      </c>
      <c r="L80" s="32">
        <f>FPS!BY10</f>
        <v>0</v>
      </c>
      <c r="M80" s="32">
        <f>FPS!BY11</f>
        <v>0</v>
      </c>
      <c r="N80" s="32">
        <f>FPS!BY12</f>
        <v>0</v>
      </c>
      <c r="O80" s="32">
        <f>FPS!BY13</f>
        <v>0</v>
      </c>
      <c r="P80" s="32">
        <f>FPS!BY14</f>
        <v>0</v>
      </c>
      <c r="Q80" s="32">
        <f>FPS!BY15</f>
        <v>0</v>
      </c>
      <c r="R80" s="32">
        <f>FPS!BY16</f>
        <v>0</v>
      </c>
      <c r="S80" s="32">
        <f>FPS!BY17</f>
        <v>0</v>
      </c>
      <c r="T80" s="32">
        <f>FPS!BY18</f>
        <v>0</v>
      </c>
      <c r="U80" s="32">
        <f>FPS!BY19</f>
        <v>0</v>
      </c>
      <c r="V80" s="32">
        <f>FPS!BY20</f>
        <v>0</v>
      </c>
      <c r="W80" s="32">
        <f>FPS!BY21</f>
        <v>0</v>
      </c>
      <c r="X80" s="32">
        <f>FPS!BY22</f>
        <v>0</v>
      </c>
      <c r="Y80" s="32">
        <f>FPS!BY23</f>
        <v>0</v>
      </c>
      <c r="Z80" s="32">
        <f>FPS!BY24</f>
        <v>0</v>
      </c>
      <c r="AA80" s="32">
        <f>FPS!BY25</f>
        <v>0</v>
      </c>
      <c r="AB80" s="32">
        <f>FPS!BY26</f>
        <v>0</v>
      </c>
      <c r="AC80" s="32">
        <f>FPS!BY27</f>
        <v>0</v>
      </c>
      <c r="AD80" s="32">
        <f>FPS!BY28</f>
        <v>0</v>
      </c>
      <c r="AE80" s="32">
        <f>FPS!BY29</f>
        <v>0</v>
      </c>
      <c r="AF80" s="32">
        <f>FPS!BY30</f>
        <v>0</v>
      </c>
      <c r="AG80" s="32">
        <f>FPS!BY31</f>
        <v>0</v>
      </c>
      <c r="AH80" s="32">
        <f>FPS!BY32</f>
        <v>0</v>
      </c>
      <c r="AI80" s="32">
        <f>FPS!BY33</f>
        <v>0</v>
      </c>
      <c r="AJ80" s="32">
        <f t="shared" si="4"/>
        <v>0</v>
      </c>
      <c r="AK80" s="32">
        <f t="shared" si="4"/>
        <v>0</v>
      </c>
      <c r="AL80" s="32">
        <f t="shared" si="4"/>
        <v>0</v>
      </c>
    </row>
    <row r="81" spans="1:38" x14ac:dyDescent="0.2">
      <c r="A81" s="23">
        <v>22</v>
      </c>
      <c r="B81" s="32">
        <v>1</v>
      </c>
      <c r="C81" s="32">
        <v>1</v>
      </c>
      <c r="D81" s="32">
        <v>1</v>
      </c>
      <c r="E81" s="32">
        <f>FPS!CH3</f>
        <v>0</v>
      </c>
      <c r="F81" s="32">
        <f>FPS!CH4</f>
        <v>0</v>
      </c>
      <c r="G81" s="32">
        <f>FPS!CH5</f>
        <v>0</v>
      </c>
      <c r="H81" s="32">
        <f>FPS!CH6</f>
        <v>0</v>
      </c>
      <c r="I81" s="32">
        <f>FPS!CH7</f>
        <v>0</v>
      </c>
      <c r="J81" s="32">
        <f>FPS!CH8</f>
        <v>0</v>
      </c>
      <c r="K81" s="32">
        <f>FPS!CH9</f>
        <v>0</v>
      </c>
      <c r="L81" s="32">
        <f>FPS!CH10</f>
        <v>0</v>
      </c>
      <c r="M81" s="32">
        <f>FPS!CH11</f>
        <v>0</v>
      </c>
      <c r="N81" s="32">
        <f>FPS!CH12</f>
        <v>0</v>
      </c>
      <c r="O81" s="32">
        <f>FPS!CH13</f>
        <v>0</v>
      </c>
      <c r="P81" s="32">
        <f>FPS!CH14</f>
        <v>0</v>
      </c>
      <c r="Q81" s="32">
        <f>FPS!CH15</f>
        <v>0</v>
      </c>
      <c r="R81" s="32">
        <f>FPS!CH16</f>
        <v>0</v>
      </c>
      <c r="S81" s="32">
        <f>FPS!CH17</f>
        <v>0</v>
      </c>
      <c r="T81" s="32">
        <f>FPS!CH18</f>
        <v>0</v>
      </c>
      <c r="U81" s="32">
        <f>FPS!CH19</f>
        <v>0</v>
      </c>
      <c r="V81" s="32">
        <f>FPS!CH20</f>
        <v>0</v>
      </c>
      <c r="W81" s="32">
        <f>FPS!CH21</f>
        <v>0</v>
      </c>
      <c r="X81" s="32">
        <f>FPS!CH22</f>
        <v>0</v>
      </c>
      <c r="Y81" s="32">
        <f>FPS!CH23</f>
        <v>0</v>
      </c>
      <c r="Z81" s="32">
        <f>FPS!CH24</f>
        <v>0</v>
      </c>
      <c r="AA81" s="32">
        <f>FPS!CH25</f>
        <v>0</v>
      </c>
      <c r="AB81" s="32">
        <f>FPS!BZ26</f>
        <v>0</v>
      </c>
      <c r="AC81" s="32">
        <f>FPS!BZ27</f>
        <v>0</v>
      </c>
      <c r="AD81" s="32">
        <f>FPS!BZ28</f>
        <v>0</v>
      </c>
      <c r="AE81" s="32">
        <f>FPS!BZ29</f>
        <v>0</v>
      </c>
      <c r="AF81" s="32">
        <f>FPS!BZ30</f>
        <v>0</v>
      </c>
      <c r="AG81" s="32">
        <f>FPS!BZ31</f>
        <v>0</v>
      </c>
      <c r="AH81" s="32">
        <f>FPS!BZ32</f>
        <v>0</v>
      </c>
      <c r="AI81" s="32">
        <f>FPS!BZ33</f>
        <v>0</v>
      </c>
      <c r="AJ81" s="32">
        <f t="shared" si="4"/>
        <v>0</v>
      </c>
      <c r="AK81" s="32">
        <f t="shared" si="4"/>
        <v>0</v>
      </c>
      <c r="AL81" s="32">
        <f t="shared" si="4"/>
        <v>0</v>
      </c>
    </row>
    <row r="82" spans="1:38" x14ac:dyDescent="0.2">
      <c r="B82" s="32">
        <v>1</v>
      </c>
      <c r="C82" s="32">
        <v>1</v>
      </c>
      <c r="D82" s="32">
        <v>1</v>
      </c>
      <c r="E82" s="32">
        <f>FPS!CI3</f>
        <v>0</v>
      </c>
      <c r="F82" s="32">
        <f>FPS!CI4</f>
        <v>0</v>
      </c>
      <c r="G82" s="32">
        <f>FPS!CI5</f>
        <v>0</v>
      </c>
      <c r="H82" s="32">
        <f>FPS!CI6</f>
        <v>0</v>
      </c>
      <c r="I82" s="32">
        <f>FPS!CI7</f>
        <v>0</v>
      </c>
      <c r="J82" s="32">
        <f>FPS!CI8</f>
        <v>0</v>
      </c>
      <c r="K82" s="32">
        <f>FPS!CI9</f>
        <v>0</v>
      </c>
      <c r="L82" s="32">
        <f>FPS!CI10</f>
        <v>0</v>
      </c>
      <c r="M82" s="32">
        <f>FPS!CI11</f>
        <v>0</v>
      </c>
      <c r="N82" s="32">
        <f>FPS!CI12</f>
        <v>0</v>
      </c>
      <c r="O82" s="32">
        <f>FPS!CI13</f>
        <v>0</v>
      </c>
      <c r="P82" s="32">
        <f>FPS!CI14</f>
        <v>0</v>
      </c>
      <c r="Q82" s="32">
        <f>FPS!CI15</f>
        <v>0</v>
      </c>
      <c r="R82" s="32">
        <f>FPS!CI16</f>
        <v>0</v>
      </c>
      <c r="S82" s="32">
        <f>FPS!CI17</f>
        <v>0</v>
      </c>
      <c r="T82" s="32">
        <f>FPS!CI18</f>
        <v>0</v>
      </c>
      <c r="U82" s="32">
        <f>FPS!CI19</f>
        <v>0</v>
      </c>
      <c r="V82" s="32">
        <f>FPS!CI20</f>
        <v>0</v>
      </c>
      <c r="W82" s="32">
        <f>FPS!CI21</f>
        <v>0</v>
      </c>
      <c r="X82" s="32">
        <f>FPS!CI22</f>
        <v>0</v>
      </c>
      <c r="Y82" s="32">
        <f>FPS!CI23</f>
        <v>0</v>
      </c>
      <c r="Z82" s="32">
        <f>FPS!CI24</f>
        <v>0</v>
      </c>
      <c r="AA82" s="32">
        <f>FPS!CI25</f>
        <v>0</v>
      </c>
      <c r="AB82" s="32">
        <f>FPS!CI26</f>
        <v>0</v>
      </c>
      <c r="AC82" s="32">
        <f>FPS!CA27</f>
        <v>0</v>
      </c>
      <c r="AD82" s="32">
        <f>FPS!CA28</f>
        <v>0</v>
      </c>
      <c r="AE82" s="32">
        <f>FPS!CA29</f>
        <v>0</v>
      </c>
      <c r="AF82" s="32">
        <f>FPS!CA30</f>
        <v>0</v>
      </c>
      <c r="AG82" s="32">
        <f>FPS!CA31</f>
        <v>0</v>
      </c>
      <c r="AH82" s="32">
        <f>FPS!CA32</f>
        <v>0</v>
      </c>
      <c r="AI82" s="32">
        <f>FPS!CA33</f>
        <v>0</v>
      </c>
      <c r="AJ82" s="32">
        <f t="shared" si="4"/>
        <v>0</v>
      </c>
      <c r="AK82" s="32">
        <f t="shared" si="4"/>
        <v>0</v>
      </c>
      <c r="AL82" s="32">
        <f t="shared" si="4"/>
        <v>0</v>
      </c>
    </row>
    <row r="83" spans="1:38" x14ac:dyDescent="0.2">
      <c r="B83" s="32">
        <v>1</v>
      </c>
      <c r="C83" s="32">
        <v>1</v>
      </c>
      <c r="D83" s="32">
        <v>1</v>
      </c>
      <c r="E83" s="32">
        <f>FPS!CJ3</f>
        <v>0</v>
      </c>
      <c r="F83" s="32">
        <f>FPS!CJ4</f>
        <v>0</v>
      </c>
      <c r="G83" s="32">
        <f>FPS!CJ5</f>
        <v>0</v>
      </c>
      <c r="H83" s="32">
        <f>FPS!CJ6</f>
        <v>0</v>
      </c>
      <c r="I83" s="32">
        <f>FPS!CJ7</f>
        <v>0</v>
      </c>
      <c r="J83" s="32">
        <f>FPS!CJ8</f>
        <v>0</v>
      </c>
      <c r="K83" s="32">
        <f>FPS!CJ9</f>
        <v>0</v>
      </c>
      <c r="L83" s="32">
        <f>FPS!CJ10</f>
        <v>0</v>
      </c>
      <c r="M83" s="32">
        <f>FPS!CJ11</f>
        <v>0</v>
      </c>
      <c r="N83" s="32">
        <f>FPS!CJ12</f>
        <v>0</v>
      </c>
      <c r="O83" s="32">
        <f>FPS!CJ13</f>
        <v>0</v>
      </c>
      <c r="P83" s="32">
        <f>FPS!CJ14</f>
        <v>0</v>
      </c>
      <c r="Q83" s="32">
        <f>FPS!CJ15</f>
        <v>0</v>
      </c>
      <c r="R83" s="32">
        <f>FPS!CJ16</f>
        <v>0</v>
      </c>
      <c r="S83" s="32">
        <f>FPS!CJ17</f>
        <v>0</v>
      </c>
      <c r="T83" s="32">
        <f>FPS!CJ18</f>
        <v>0</v>
      </c>
      <c r="U83" s="32">
        <f>FPS!CJ19</f>
        <v>0</v>
      </c>
      <c r="V83" s="32">
        <f>FPS!CJ20</f>
        <v>0</v>
      </c>
      <c r="W83" s="32">
        <f>FPS!CJ21</f>
        <v>0</v>
      </c>
      <c r="X83" s="32">
        <f>FPS!CJ22</f>
        <v>0</v>
      </c>
      <c r="Y83" s="32">
        <f>FPS!CJ23</f>
        <v>0</v>
      </c>
      <c r="Z83" s="32">
        <f>FPS!CJ24</f>
        <v>0</v>
      </c>
      <c r="AA83" s="32">
        <f>FPS!CJ25</f>
        <v>0</v>
      </c>
      <c r="AB83" s="32">
        <f>FPS!CJ26</f>
        <v>0</v>
      </c>
      <c r="AC83" s="32">
        <f>FPS!CJ27</f>
        <v>0</v>
      </c>
      <c r="AD83" s="32">
        <f>FPS!CB28</f>
        <v>0</v>
      </c>
      <c r="AE83" s="32">
        <f>FPS!CB29</f>
        <v>0</v>
      </c>
      <c r="AF83" s="32">
        <f>FPS!CB30</f>
        <v>0</v>
      </c>
      <c r="AG83" s="32">
        <f>FPS!CB31</f>
        <v>0</v>
      </c>
      <c r="AH83" s="32">
        <f>FPS!CB32</f>
        <v>0</v>
      </c>
      <c r="AI83" s="32">
        <f>FPS!CB33</f>
        <v>0</v>
      </c>
      <c r="AJ83" s="32">
        <f t="shared" si="4"/>
        <v>0</v>
      </c>
      <c r="AK83" s="32">
        <f t="shared" si="4"/>
        <v>0</v>
      </c>
      <c r="AL83" s="32">
        <f t="shared" si="4"/>
        <v>0</v>
      </c>
    </row>
    <row r="84" spans="1:38" x14ac:dyDescent="0.2">
      <c r="B84" s="32">
        <v>1</v>
      </c>
      <c r="C84" s="32">
        <v>1</v>
      </c>
      <c r="D84" s="32">
        <v>1</v>
      </c>
      <c r="E84" s="32">
        <f>FPS!CK3</f>
        <v>0</v>
      </c>
      <c r="F84" s="32">
        <f>FPS!CK4</f>
        <v>0</v>
      </c>
      <c r="G84" s="32">
        <f>FPS!CK5</f>
        <v>0</v>
      </c>
      <c r="H84" s="32">
        <f>FPS!CK6</f>
        <v>0</v>
      </c>
      <c r="I84" s="32">
        <f>FPS!CK7</f>
        <v>0</v>
      </c>
      <c r="J84" s="32">
        <f>FPS!CK8</f>
        <v>0</v>
      </c>
      <c r="K84" s="32">
        <f>FPS!CK9</f>
        <v>0</v>
      </c>
      <c r="L84" s="32">
        <f>FPS!CK10</f>
        <v>0</v>
      </c>
      <c r="M84" s="32">
        <f>FPS!CK11</f>
        <v>0</v>
      </c>
      <c r="N84" s="32">
        <f>FPS!CK12</f>
        <v>0</v>
      </c>
      <c r="O84" s="32">
        <f>FPS!CK13</f>
        <v>0</v>
      </c>
      <c r="P84" s="32">
        <f>FPS!CK14</f>
        <v>0</v>
      </c>
      <c r="Q84" s="32">
        <f>FPS!CK15</f>
        <v>0</v>
      </c>
      <c r="R84" s="32">
        <f>FPS!CK16</f>
        <v>0</v>
      </c>
      <c r="S84" s="32">
        <f>FPS!CK17</f>
        <v>0</v>
      </c>
      <c r="T84" s="32">
        <f>FPS!CK18</f>
        <v>0</v>
      </c>
      <c r="U84" s="32">
        <f>FPS!CK19</f>
        <v>0</v>
      </c>
      <c r="V84" s="32">
        <f>FPS!CK20</f>
        <v>0</v>
      </c>
      <c r="W84" s="32">
        <f>FPS!CK21</f>
        <v>0</v>
      </c>
      <c r="X84" s="32">
        <f>FPS!CK22</f>
        <v>0</v>
      </c>
      <c r="Y84" s="32">
        <f>FPS!CK23</f>
        <v>0</v>
      </c>
      <c r="Z84" s="32">
        <f>FPS!CK24</f>
        <v>0</v>
      </c>
      <c r="AA84" s="32">
        <f>FPS!CK25</f>
        <v>0</v>
      </c>
      <c r="AB84" s="32">
        <f>FPS!CK26</f>
        <v>0</v>
      </c>
      <c r="AC84" s="32">
        <f>FPS!CK27</f>
        <v>0</v>
      </c>
      <c r="AD84" s="32">
        <f>FPS!CK28</f>
        <v>0</v>
      </c>
      <c r="AE84" s="32">
        <f>FPS!CK29</f>
        <v>0</v>
      </c>
      <c r="AF84" s="32">
        <f>FPS!CC30</f>
        <v>0</v>
      </c>
      <c r="AG84" s="32">
        <f>FPS!CC31</f>
        <v>0</v>
      </c>
      <c r="AH84" s="32">
        <f>FPS!CC32</f>
        <v>0</v>
      </c>
      <c r="AI84" s="32">
        <f>FPS!CC33</f>
        <v>0</v>
      </c>
      <c r="AJ84" s="32">
        <f t="shared" si="4"/>
        <v>0</v>
      </c>
      <c r="AK84" s="32">
        <f t="shared" si="4"/>
        <v>0</v>
      </c>
      <c r="AL84" s="32">
        <f t="shared" si="4"/>
        <v>0</v>
      </c>
    </row>
    <row r="85" spans="1:38" x14ac:dyDescent="0.2">
      <c r="A85" s="23">
        <v>23</v>
      </c>
      <c r="B85" s="32">
        <v>1</v>
      </c>
      <c r="C85" s="32">
        <v>1</v>
      </c>
      <c r="D85" s="32">
        <v>1</v>
      </c>
      <c r="E85" s="32">
        <f>FPS!CL3</f>
        <v>0</v>
      </c>
      <c r="F85" s="32">
        <f>FPS!CL4</f>
        <v>0</v>
      </c>
      <c r="G85" s="32">
        <f>FPS!CL5</f>
        <v>0</v>
      </c>
      <c r="H85" s="32">
        <f>FPS!CL6</f>
        <v>0</v>
      </c>
      <c r="I85" s="32">
        <f>FPS!CL7</f>
        <v>0</v>
      </c>
      <c r="J85" s="32">
        <f>FPS!CL8</f>
        <v>0</v>
      </c>
      <c r="K85" s="32">
        <f>FPS!CL9</f>
        <v>0</v>
      </c>
      <c r="L85" s="32">
        <f>FPS!CL10</f>
        <v>0</v>
      </c>
      <c r="M85" s="32">
        <f>FPS!CL11</f>
        <v>0</v>
      </c>
      <c r="N85" s="32">
        <f>FPS!CL12</f>
        <v>0</v>
      </c>
      <c r="O85" s="32">
        <f>FPS!CL13</f>
        <v>0</v>
      </c>
      <c r="P85" s="32">
        <f>FPS!CL14</f>
        <v>0</v>
      </c>
      <c r="Q85" s="32">
        <f>FPS!CL15</f>
        <v>0</v>
      </c>
      <c r="R85" s="32">
        <f>FPS!CL16</f>
        <v>0</v>
      </c>
      <c r="S85" s="32">
        <f>FPS!CL17</f>
        <v>0</v>
      </c>
      <c r="T85" s="32">
        <f>FPS!CL18</f>
        <v>0</v>
      </c>
      <c r="U85" s="32">
        <f>FPS!CL19</f>
        <v>0</v>
      </c>
      <c r="V85" s="32">
        <f>FPS!CL20</f>
        <v>0</v>
      </c>
      <c r="W85" s="32">
        <f>FPS!CL21</f>
        <v>0</v>
      </c>
      <c r="X85" s="32">
        <f>FPS!CL22</f>
        <v>0</v>
      </c>
      <c r="Y85" s="32">
        <f>FPS!CL23</f>
        <v>0</v>
      </c>
      <c r="Z85" s="32">
        <f>FPS!CL24</f>
        <v>0</v>
      </c>
      <c r="AA85" s="32">
        <f>FPS!CL25</f>
        <v>0</v>
      </c>
      <c r="AB85" s="32">
        <f>FPS!CL26</f>
        <v>0</v>
      </c>
      <c r="AC85" s="32">
        <f>FPS!CL27</f>
        <v>0</v>
      </c>
      <c r="AD85" s="32">
        <f>FPS!CL28</f>
        <v>0</v>
      </c>
      <c r="AE85" s="32">
        <f>FPS!CL29</f>
        <v>0</v>
      </c>
      <c r="AF85" s="32">
        <f>FPS!CL30</f>
        <v>0</v>
      </c>
      <c r="AG85" s="32">
        <f>FPS!CL31</f>
        <v>0</v>
      </c>
      <c r="AH85" s="32">
        <f>FPS!CD32</f>
        <v>0</v>
      </c>
      <c r="AI85" s="32">
        <f>FPS!CD33</f>
        <v>0</v>
      </c>
      <c r="AJ85" s="32">
        <f t="shared" si="4"/>
        <v>0</v>
      </c>
      <c r="AK85" s="32">
        <f t="shared" si="4"/>
        <v>0</v>
      </c>
      <c r="AL85" s="32">
        <f t="shared" si="4"/>
        <v>0</v>
      </c>
    </row>
    <row r="86" spans="1:38" x14ac:dyDescent="0.2">
      <c r="B86" s="32">
        <v>1</v>
      </c>
      <c r="C86" s="32">
        <v>1</v>
      </c>
      <c r="D86" s="32">
        <v>1</v>
      </c>
      <c r="E86" s="32">
        <f>FPS!CM3</f>
        <v>0</v>
      </c>
      <c r="F86" s="32">
        <f>FPS!CM4</f>
        <v>0</v>
      </c>
      <c r="G86" s="32">
        <f>FPS!CM5</f>
        <v>0</v>
      </c>
      <c r="H86" s="32">
        <f>FPS!CM6</f>
        <v>0</v>
      </c>
      <c r="I86" s="32">
        <f>FPS!CM7</f>
        <v>0</v>
      </c>
      <c r="J86" s="32">
        <f>FPS!CM8</f>
        <v>0</v>
      </c>
      <c r="K86" s="32">
        <f>FPS!CM9</f>
        <v>0</v>
      </c>
      <c r="L86" s="32">
        <f>FPS!CM10</f>
        <v>0</v>
      </c>
      <c r="M86" s="32">
        <f>FPS!CM11</f>
        <v>0</v>
      </c>
      <c r="N86" s="32">
        <f>FPS!CM12</f>
        <v>0</v>
      </c>
      <c r="O86" s="32">
        <f>FPS!CM13</f>
        <v>0</v>
      </c>
      <c r="P86" s="32">
        <f>FPS!CM14</f>
        <v>0</v>
      </c>
      <c r="Q86" s="32">
        <f>FPS!CM15</f>
        <v>0</v>
      </c>
      <c r="R86" s="32">
        <f>FPS!CM16</f>
        <v>0</v>
      </c>
      <c r="S86" s="32">
        <f>FPS!CM17</f>
        <v>0</v>
      </c>
      <c r="T86" s="32">
        <f>FPS!CM18</f>
        <v>0</v>
      </c>
      <c r="U86" s="32">
        <f>FPS!CM19</f>
        <v>0</v>
      </c>
      <c r="V86" s="32">
        <f>FPS!CM20</f>
        <v>0</v>
      </c>
      <c r="W86" s="32">
        <f>FPS!CM21</f>
        <v>0</v>
      </c>
      <c r="X86" s="32">
        <f>FPS!CM22</f>
        <v>0</v>
      </c>
      <c r="Y86" s="32">
        <f>FPS!CM23</f>
        <v>0</v>
      </c>
      <c r="Z86" s="32">
        <f>FPS!CM24</f>
        <v>0</v>
      </c>
      <c r="AA86" s="32">
        <f>FPS!CM25</f>
        <v>0</v>
      </c>
      <c r="AB86" s="32">
        <f>FPS!CM26</f>
        <v>0</v>
      </c>
      <c r="AC86" s="32">
        <f>FPS!CM27</f>
        <v>0</v>
      </c>
      <c r="AD86" s="32">
        <f>FPS!CM28</f>
        <v>0</v>
      </c>
      <c r="AE86" s="32">
        <f>FPS!CM29</f>
        <v>0</v>
      </c>
      <c r="AF86" s="32">
        <f>FPS!CM30</f>
        <v>0</v>
      </c>
      <c r="AG86" s="32">
        <f>FPS!CM31</f>
        <v>0</v>
      </c>
      <c r="AH86" s="32">
        <f>FPS!CM32</f>
        <v>0</v>
      </c>
      <c r="AI86" s="32">
        <f>FPS!CE33</f>
        <v>0</v>
      </c>
      <c r="AJ86" s="32">
        <f t="shared" ref="AJ86:AL116" si="5">AVERAGE($AG86:$AI86)</f>
        <v>0</v>
      </c>
      <c r="AK86" s="32">
        <f t="shared" si="5"/>
        <v>0</v>
      </c>
      <c r="AL86" s="32">
        <f t="shared" si="5"/>
        <v>0</v>
      </c>
    </row>
    <row r="87" spans="1:38" x14ac:dyDescent="0.2">
      <c r="B87" s="32">
        <v>1</v>
      </c>
      <c r="C87" s="32">
        <v>1</v>
      </c>
      <c r="D87" s="32">
        <v>1</v>
      </c>
      <c r="E87" s="32">
        <f>FPS!CN3</f>
        <v>0</v>
      </c>
      <c r="F87" s="32">
        <f>FPS!CN4</f>
        <v>0</v>
      </c>
      <c r="G87" s="32">
        <f>FPS!CN5</f>
        <v>0</v>
      </c>
      <c r="H87" s="32">
        <f>FPS!CN6</f>
        <v>0</v>
      </c>
      <c r="I87" s="32">
        <f>FPS!CN7</f>
        <v>0</v>
      </c>
      <c r="J87" s="32">
        <f>FPS!CN8</f>
        <v>0</v>
      </c>
      <c r="K87" s="32">
        <f>FPS!CN9</f>
        <v>0</v>
      </c>
      <c r="L87" s="32">
        <f>FPS!CN10</f>
        <v>0</v>
      </c>
      <c r="M87" s="32">
        <f>FPS!CN11</f>
        <v>0</v>
      </c>
      <c r="N87" s="32">
        <f>FPS!CN12</f>
        <v>0</v>
      </c>
      <c r="O87" s="32">
        <f>FPS!CN13</f>
        <v>0</v>
      </c>
      <c r="P87" s="32">
        <f>FPS!CN14</f>
        <v>0</v>
      </c>
      <c r="Q87" s="32">
        <f>FPS!CN15</f>
        <v>0</v>
      </c>
      <c r="R87" s="32">
        <f>FPS!CN16</f>
        <v>0</v>
      </c>
      <c r="S87" s="32">
        <f>FPS!CN17</f>
        <v>0</v>
      </c>
      <c r="T87" s="32">
        <f>FPS!CN18</f>
        <v>0</v>
      </c>
      <c r="U87" s="32">
        <f>FPS!CN19</f>
        <v>0</v>
      </c>
      <c r="V87" s="32">
        <f>FPS!CN20</f>
        <v>0</v>
      </c>
      <c r="W87" s="32">
        <f>FPS!CN21</f>
        <v>0</v>
      </c>
      <c r="X87" s="32">
        <f>FPS!CN22</f>
        <v>0</v>
      </c>
      <c r="Y87" s="32">
        <f>FPS!CN23</f>
        <v>0</v>
      </c>
      <c r="Z87" s="32">
        <f>FPS!CN24</f>
        <v>0</v>
      </c>
      <c r="AA87" s="32">
        <f>FPS!CN25</f>
        <v>0</v>
      </c>
      <c r="AB87" s="32">
        <f>FPS!CN26</f>
        <v>0</v>
      </c>
      <c r="AC87" s="32">
        <f>FPS!CN27</f>
        <v>0</v>
      </c>
      <c r="AD87" s="32">
        <f>FPS!CN28</f>
        <v>0</v>
      </c>
      <c r="AE87" s="32">
        <f>FPS!CN29</f>
        <v>0</v>
      </c>
      <c r="AF87" s="32">
        <f>FPS!CN30</f>
        <v>0</v>
      </c>
      <c r="AG87" s="32">
        <f>FPS!CN31</f>
        <v>0</v>
      </c>
      <c r="AH87" s="32">
        <f>FPS!CN32</f>
        <v>0</v>
      </c>
      <c r="AI87" s="32">
        <f>FPS!CN33</f>
        <v>0</v>
      </c>
      <c r="AJ87" s="32">
        <f t="shared" si="5"/>
        <v>0</v>
      </c>
      <c r="AK87" s="32">
        <f t="shared" si="5"/>
        <v>0</v>
      </c>
      <c r="AL87" s="32">
        <f t="shared" si="5"/>
        <v>0</v>
      </c>
    </row>
    <row r="88" spans="1:38" x14ac:dyDescent="0.2">
      <c r="B88" s="32">
        <v>1</v>
      </c>
      <c r="C88" s="32">
        <v>1</v>
      </c>
      <c r="D88" s="32">
        <v>1</v>
      </c>
      <c r="E88" s="32">
        <f>FPS!CO3</f>
        <v>0</v>
      </c>
      <c r="F88" s="32">
        <f>FPS!CO4</f>
        <v>0</v>
      </c>
      <c r="G88" s="32">
        <f>FPS!CO5</f>
        <v>0</v>
      </c>
      <c r="H88" s="32">
        <f>FPS!CO6</f>
        <v>0</v>
      </c>
      <c r="I88" s="32">
        <f>FPS!CO7</f>
        <v>0</v>
      </c>
      <c r="J88" s="32">
        <f>FPS!CO8</f>
        <v>0</v>
      </c>
      <c r="K88" s="32">
        <f>FPS!CO9</f>
        <v>0</v>
      </c>
      <c r="L88" s="32">
        <f>FPS!CO10</f>
        <v>0</v>
      </c>
      <c r="M88" s="32">
        <f>FPS!CO11</f>
        <v>0</v>
      </c>
      <c r="N88" s="32">
        <f>FPS!CO12</f>
        <v>0</v>
      </c>
      <c r="O88" s="32">
        <f>FPS!CO13</f>
        <v>0</v>
      </c>
      <c r="P88" s="32">
        <f>FPS!CO14</f>
        <v>0</v>
      </c>
      <c r="Q88" s="32">
        <f>FPS!CO15</f>
        <v>0</v>
      </c>
      <c r="R88" s="32">
        <f>FPS!CO16</f>
        <v>0</v>
      </c>
      <c r="S88" s="32">
        <f>FPS!CO17</f>
        <v>0</v>
      </c>
      <c r="T88" s="32">
        <f>FPS!CO18</f>
        <v>0</v>
      </c>
      <c r="U88" s="32">
        <f>FPS!CO19</f>
        <v>0</v>
      </c>
      <c r="V88" s="32">
        <f>FPS!CO20</f>
        <v>0</v>
      </c>
      <c r="W88" s="32">
        <f>FPS!CO21</f>
        <v>0</v>
      </c>
      <c r="X88" s="32">
        <f>FPS!CO22</f>
        <v>0</v>
      </c>
      <c r="Y88" s="32">
        <f>FPS!CO23</f>
        <v>0</v>
      </c>
      <c r="Z88" s="32">
        <f>FPS!CO24</f>
        <v>0</v>
      </c>
      <c r="AA88" s="32">
        <f>FPS!CO25</f>
        <v>0</v>
      </c>
      <c r="AB88" s="32">
        <f>FPS!CO26</f>
        <v>0</v>
      </c>
      <c r="AC88" s="32">
        <f>FPS!CO27</f>
        <v>0</v>
      </c>
      <c r="AD88" s="32">
        <f>FPS!CO28</f>
        <v>0</v>
      </c>
      <c r="AE88" s="32">
        <f>FPS!CO29</f>
        <v>0</v>
      </c>
      <c r="AF88" s="32">
        <f>FPS!CO30</f>
        <v>0</v>
      </c>
      <c r="AG88" s="32">
        <f>FPS!CO31</f>
        <v>0</v>
      </c>
      <c r="AH88" s="32">
        <f>FPS!CO32</f>
        <v>0</v>
      </c>
      <c r="AI88" s="32">
        <f>FPS!CO33</f>
        <v>0</v>
      </c>
      <c r="AJ88" s="32">
        <f t="shared" si="5"/>
        <v>0</v>
      </c>
      <c r="AK88" s="32">
        <f t="shared" si="5"/>
        <v>0</v>
      </c>
      <c r="AL88" s="32">
        <f t="shared" si="5"/>
        <v>0</v>
      </c>
    </row>
    <row r="89" spans="1:38" x14ac:dyDescent="0.2">
      <c r="A89" s="23">
        <v>24</v>
      </c>
      <c r="B89" s="32">
        <v>1</v>
      </c>
      <c r="C89" s="32">
        <v>1</v>
      </c>
      <c r="D89" s="32">
        <v>1</v>
      </c>
      <c r="E89" s="32">
        <f>FPS!CP3</f>
        <v>0</v>
      </c>
      <c r="F89" s="32">
        <f>FPS!CP4</f>
        <v>0</v>
      </c>
      <c r="G89" s="32">
        <f>FPS!CP5</f>
        <v>0</v>
      </c>
      <c r="H89" s="32">
        <f>FPS!CP6</f>
        <v>0</v>
      </c>
      <c r="I89" s="32">
        <f>FPS!CP7</f>
        <v>0</v>
      </c>
      <c r="J89" s="32">
        <f>FPS!CP8</f>
        <v>0</v>
      </c>
      <c r="K89" s="32">
        <f>FPS!CP9</f>
        <v>0</v>
      </c>
      <c r="L89" s="32">
        <f>FPS!CP10</f>
        <v>0</v>
      </c>
      <c r="M89" s="32">
        <f>FPS!CP11</f>
        <v>0</v>
      </c>
      <c r="N89" s="32">
        <f>FPS!CP12</f>
        <v>0</v>
      </c>
      <c r="O89" s="32">
        <f>FPS!CP13</f>
        <v>0</v>
      </c>
      <c r="P89" s="32">
        <f>FPS!CP14</f>
        <v>0</v>
      </c>
      <c r="Q89" s="32">
        <f>FPS!CP15</f>
        <v>0</v>
      </c>
      <c r="R89" s="32">
        <f>FPS!CP16</f>
        <v>0</v>
      </c>
      <c r="S89" s="32">
        <f>FPS!CP17</f>
        <v>0</v>
      </c>
      <c r="T89" s="32">
        <f>FPS!CP18</f>
        <v>0</v>
      </c>
      <c r="U89" s="32">
        <f>FPS!CP19</f>
        <v>0</v>
      </c>
      <c r="V89" s="32">
        <f>FPS!CP20</f>
        <v>0</v>
      </c>
      <c r="W89" s="32">
        <f>FPS!CP21</f>
        <v>0</v>
      </c>
      <c r="X89" s="32">
        <f>FPS!CP22</f>
        <v>0</v>
      </c>
      <c r="Y89" s="32">
        <f>FPS!CP23</f>
        <v>0</v>
      </c>
      <c r="Z89" s="32">
        <f>FPS!CP24</f>
        <v>0</v>
      </c>
      <c r="AA89" s="32">
        <f>FPS!CP25</f>
        <v>0</v>
      </c>
      <c r="AB89" s="32">
        <f>FPS!CP26</f>
        <v>0</v>
      </c>
      <c r="AC89" s="32">
        <f>FPS!CP27</f>
        <v>0</v>
      </c>
      <c r="AD89" s="32">
        <f>FPS!CP28</f>
        <v>0</v>
      </c>
      <c r="AE89" s="32">
        <f>FPS!CP29</f>
        <v>0</v>
      </c>
      <c r="AF89" s="32">
        <f>FPS!CP30</f>
        <v>0</v>
      </c>
      <c r="AG89" s="32">
        <f>FPS!CP31</f>
        <v>0</v>
      </c>
      <c r="AH89" s="32">
        <f>FPS!CP32</f>
        <v>0</v>
      </c>
      <c r="AI89" s="32">
        <f>FPS!CP33</f>
        <v>0</v>
      </c>
      <c r="AJ89" s="32">
        <f t="shared" si="5"/>
        <v>0</v>
      </c>
      <c r="AK89" s="32">
        <f t="shared" si="5"/>
        <v>0</v>
      </c>
      <c r="AL89" s="32">
        <f t="shared" si="5"/>
        <v>0</v>
      </c>
    </row>
    <row r="90" spans="1:38" x14ac:dyDescent="0.2">
      <c r="B90" s="32">
        <v>1</v>
      </c>
      <c r="C90" s="32">
        <v>1</v>
      </c>
      <c r="D90" s="32">
        <v>1</v>
      </c>
      <c r="E90" s="32">
        <f>FPS!CQ3</f>
        <v>0</v>
      </c>
      <c r="F90" s="32">
        <f>FPS!CQ4</f>
        <v>0</v>
      </c>
      <c r="G90" s="32">
        <f>FPS!CQ5</f>
        <v>0</v>
      </c>
      <c r="H90" s="32">
        <f>FPS!CQ6</f>
        <v>0</v>
      </c>
      <c r="I90" s="32">
        <f>FPS!CQ7</f>
        <v>0</v>
      </c>
      <c r="J90" s="32">
        <f>FPS!CQ8</f>
        <v>0</v>
      </c>
      <c r="K90" s="32">
        <f>FPS!CQ9</f>
        <v>0</v>
      </c>
      <c r="L90" s="32">
        <f>FPS!CQ10</f>
        <v>0</v>
      </c>
      <c r="M90" s="32">
        <f>FPS!CQ11</f>
        <v>0</v>
      </c>
      <c r="N90" s="32">
        <f>FPS!CQ12</f>
        <v>0</v>
      </c>
      <c r="O90" s="32">
        <f>FPS!CQ13</f>
        <v>0</v>
      </c>
      <c r="P90" s="32">
        <f>FPS!CQ14</f>
        <v>0</v>
      </c>
      <c r="Q90" s="32">
        <f>FPS!CQ15</f>
        <v>0</v>
      </c>
      <c r="R90" s="32">
        <f>FPS!CQ16</f>
        <v>0</v>
      </c>
      <c r="S90" s="32">
        <f>FPS!CQ17</f>
        <v>0</v>
      </c>
      <c r="T90" s="32">
        <f>FPS!CQ18</f>
        <v>0</v>
      </c>
      <c r="U90" s="32">
        <f>FPS!CQ19</f>
        <v>0</v>
      </c>
      <c r="V90" s="32">
        <f>FPS!CQ20</f>
        <v>0</v>
      </c>
      <c r="W90" s="32">
        <f>FPS!CQ21</f>
        <v>0</v>
      </c>
      <c r="X90" s="32">
        <f>FPS!CQ22</f>
        <v>0</v>
      </c>
      <c r="Y90" s="32">
        <f>FPS!CQ23</f>
        <v>0</v>
      </c>
      <c r="Z90" s="32">
        <f>FPS!CQ24</f>
        <v>0</v>
      </c>
      <c r="AA90" s="32">
        <f>FPS!CQ25</f>
        <v>0</v>
      </c>
      <c r="AB90" s="32">
        <f>FPS!CQ26</f>
        <v>0</v>
      </c>
      <c r="AC90" s="32">
        <f>FPS!CQ27</f>
        <v>0</v>
      </c>
      <c r="AD90" s="32">
        <f>FPS!CQ28</f>
        <v>0</v>
      </c>
      <c r="AE90" s="32">
        <f>FPS!CQ29</f>
        <v>0</v>
      </c>
      <c r="AF90" s="32">
        <f>FPS!CQ30</f>
        <v>0</v>
      </c>
      <c r="AG90" s="32">
        <f>FPS!CQ31</f>
        <v>0</v>
      </c>
      <c r="AH90" s="32">
        <f>FPS!CQ32</f>
        <v>0</v>
      </c>
      <c r="AI90" s="32">
        <f>FPS!CQ33</f>
        <v>0</v>
      </c>
      <c r="AJ90" s="32">
        <f t="shared" si="5"/>
        <v>0</v>
      </c>
      <c r="AK90" s="32">
        <f t="shared" si="5"/>
        <v>0</v>
      </c>
      <c r="AL90" s="32">
        <f t="shared" si="5"/>
        <v>0</v>
      </c>
    </row>
    <row r="91" spans="1:38" x14ac:dyDescent="0.2">
      <c r="B91" s="32">
        <v>1</v>
      </c>
      <c r="C91" s="32">
        <v>1</v>
      </c>
      <c r="D91" s="32">
        <v>1</v>
      </c>
      <c r="E91" s="32">
        <f>FPS!CR3</f>
        <v>0</v>
      </c>
      <c r="F91" s="32">
        <f>FPS!CR4</f>
        <v>0</v>
      </c>
      <c r="G91" s="32">
        <f>FPS!CR5</f>
        <v>0</v>
      </c>
      <c r="H91" s="32">
        <f>FPS!CR6</f>
        <v>0</v>
      </c>
      <c r="I91" s="32">
        <f>FPS!CR7</f>
        <v>0</v>
      </c>
      <c r="J91" s="32">
        <f>FPS!CR8</f>
        <v>0</v>
      </c>
      <c r="K91" s="32">
        <f>FPS!CR9</f>
        <v>0</v>
      </c>
      <c r="L91" s="32">
        <f>FPS!CR10</f>
        <v>0</v>
      </c>
      <c r="M91" s="32">
        <f>FPS!CR11</f>
        <v>0</v>
      </c>
      <c r="N91" s="32">
        <f>FPS!CR12</f>
        <v>0</v>
      </c>
      <c r="O91" s="32">
        <f>FPS!CR13</f>
        <v>0</v>
      </c>
      <c r="P91" s="32">
        <f>FPS!CR14</f>
        <v>0</v>
      </c>
      <c r="Q91" s="32">
        <f>FPS!CR15</f>
        <v>0</v>
      </c>
      <c r="R91" s="32">
        <f>FPS!CR16</f>
        <v>0</v>
      </c>
      <c r="S91" s="32">
        <f>FPS!CR17</f>
        <v>0</v>
      </c>
      <c r="T91" s="32">
        <f>FPS!CR18</f>
        <v>0</v>
      </c>
      <c r="U91" s="32">
        <f>FPS!CR19</f>
        <v>0</v>
      </c>
      <c r="V91" s="32">
        <f>FPS!CR20</f>
        <v>0</v>
      </c>
      <c r="W91" s="32">
        <f>FPS!CR21</f>
        <v>0</v>
      </c>
      <c r="X91" s="32">
        <f>FPS!CR22</f>
        <v>0</v>
      </c>
      <c r="Y91" s="32">
        <f>FPS!CR23</f>
        <v>0</v>
      </c>
      <c r="Z91" s="32">
        <f>FPS!CR24</f>
        <v>0</v>
      </c>
      <c r="AA91" s="32">
        <f>FPS!CR25</f>
        <v>0</v>
      </c>
      <c r="AB91" s="32">
        <f>FPS!CR26</f>
        <v>0</v>
      </c>
      <c r="AC91" s="32">
        <f>FPS!CR27</f>
        <v>0</v>
      </c>
      <c r="AD91" s="32">
        <f>FPS!CR28</f>
        <v>0</v>
      </c>
      <c r="AE91" s="32">
        <f>FPS!CR29</f>
        <v>0</v>
      </c>
      <c r="AF91" s="32">
        <f>FPS!CR30</f>
        <v>0</v>
      </c>
      <c r="AG91" s="32">
        <f>FPS!CR31</f>
        <v>0</v>
      </c>
      <c r="AH91" s="32">
        <f>FPS!CR32</f>
        <v>0</v>
      </c>
      <c r="AI91" s="32">
        <f>FPS!CR33</f>
        <v>0</v>
      </c>
      <c r="AJ91" s="32">
        <f t="shared" si="5"/>
        <v>0</v>
      </c>
      <c r="AK91" s="32">
        <f t="shared" si="5"/>
        <v>0</v>
      </c>
      <c r="AL91" s="32">
        <f t="shared" si="5"/>
        <v>0</v>
      </c>
    </row>
    <row r="92" spans="1:38" x14ac:dyDescent="0.2">
      <c r="B92" s="32">
        <v>1</v>
      </c>
      <c r="C92" s="32">
        <v>1</v>
      </c>
      <c r="D92" s="32">
        <v>1</v>
      </c>
      <c r="E92" s="32">
        <f>FPS!CS3</f>
        <v>0</v>
      </c>
      <c r="F92" s="32">
        <f>FPS!CS4</f>
        <v>0</v>
      </c>
      <c r="G92" s="32">
        <f>FPS!CS5</f>
        <v>0</v>
      </c>
      <c r="H92" s="32">
        <f>FPS!CS6</f>
        <v>0</v>
      </c>
      <c r="I92" s="32">
        <f>FPS!CS7</f>
        <v>0</v>
      </c>
      <c r="J92" s="32">
        <f>FPS!CS8</f>
        <v>0</v>
      </c>
      <c r="K92" s="32">
        <f>FPS!CS9</f>
        <v>0</v>
      </c>
      <c r="L92" s="32">
        <f>FPS!CS10</f>
        <v>0</v>
      </c>
      <c r="M92" s="32">
        <f>FPS!CS11</f>
        <v>0</v>
      </c>
      <c r="N92" s="32">
        <f>FPS!CS12</f>
        <v>0</v>
      </c>
      <c r="O92" s="32">
        <f>FPS!CS13</f>
        <v>0</v>
      </c>
      <c r="P92" s="32">
        <f>FPS!CS14</f>
        <v>0</v>
      </c>
      <c r="Q92" s="32">
        <f>FPS!CS15</f>
        <v>0</v>
      </c>
      <c r="R92" s="32">
        <f>FPS!CS16</f>
        <v>0</v>
      </c>
      <c r="S92" s="32">
        <f>FPS!CS17</f>
        <v>0</v>
      </c>
      <c r="T92" s="32">
        <f>FPS!CS18</f>
        <v>0</v>
      </c>
      <c r="U92" s="32">
        <f>FPS!CS19</f>
        <v>0</v>
      </c>
      <c r="V92" s="32">
        <f>FPS!CS20</f>
        <v>0</v>
      </c>
      <c r="W92" s="32">
        <f>FPS!CS21</f>
        <v>0</v>
      </c>
      <c r="X92" s="32">
        <f>FPS!CS22</f>
        <v>0</v>
      </c>
      <c r="Y92" s="32">
        <f>FPS!CS23</f>
        <v>0</v>
      </c>
      <c r="Z92" s="32">
        <f>FPS!CS24</f>
        <v>0</v>
      </c>
      <c r="AA92" s="32">
        <f>FPS!CS25</f>
        <v>0</v>
      </c>
      <c r="AB92" s="32">
        <f>FPS!CS26</f>
        <v>0</v>
      </c>
      <c r="AC92" s="32">
        <f>FPS!CS27</f>
        <v>0</v>
      </c>
      <c r="AD92" s="32">
        <f>FPS!CS28</f>
        <v>0</v>
      </c>
      <c r="AE92" s="32">
        <f>FPS!CS29</f>
        <v>0</v>
      </c>
      <c r="AF92" s="32">
        <f>FPS!CS30</f>
        <v>0</v>
      </c>
      <c r="AG92" s="32">
        <f>FPS!CS31</f>
        <v>0</v>
      </c>
      <c r="AH92" s="32">
        <f>FPS!CS32</f>
        <v>0</v>
      </c>
      <c r="AI92" s="32">
        <f>FPS!CS33</f>
        <v>0</v>
      </c>
      <c r="AJ92" s="32">
        <f t="shared" si="5"/>
        <v>0</v>
      </c>
      <c r="AK92" s="32">
        <f t="shared" si="5"/>
        <v>0</v>
      </c>
      <c r="AL92" s="32">
        <f t="shared" si="5"/>
        <v>0</v>
      </c>
    </row>
    <row r="93" spans="1:38" x14ac:dyDescent="0.2">
      <c r="A93" s="23">
        <v>25</v>
      </c>
      <c r="B93" s="32">
        <v>1</v>
      </c>
      <c r="C93" s="32">
        <v>1</v>
      </c>
      <c r="D93" s="32">
        <v>1</v>
      </c>
      <c r="E93" s="32">
        <f>FPS!CT3</f>
        <v>0</v>
      </c>
      <c r="F93" s="32">
        <f>FPS!CT4</f>
        <v>0</v>
      </c>
      <c r="G93" s="32">
        <f>FPS!CT5</f>
        <v>0</v>
      </c>
      <c r="H93" s="32">
        <f>FPS!CT6</f>
        <v>0</v>
      </c>
      <c r="I93" s="32">
        <f>FPS!CT7</f>
        <v>0</v>
      </c>
      <c r="J93" s="32">
        <f>FPS!CT8</f>
        <v>0</v>
      </c>
      <c r="K93" s="32">
        <f>FPS!CT9</f>
        <v>0</v>
      </c>
      <c r="L93" s="32">
        <f>FPS!CT10</f>
        <v>0</v>
      </c>
      <c r="M93" s="32">
        <f>FPS!CT11</f>
        <v>0</v>
      </c>
      <c r="N93" s="32">
        <f>FPS!CT12</f>
        <v>0</v>
      </c>
      <c r="O93" s="32">
        <f>FPS!CT13</f>
        <v>0</v>
      </c>
      <c r="P93" s="32">
        <f>FPS!CT14</f>
        <v>0</v>
      </c>
      <c r="Q93" s="32">
        <f>FPS!CT15</f>
        <v>0</v>
      </c>
      <c r="R93" s="32">
        <f>FPS!CT16</f>
        <v>0</v>
      </c>
      <c r="S93" s="32">
        <f>FPS!CT17</f>
        <v>0</v>
      </c>
      <c r="T93" s="32">
        <f>FPS!CT18</f>
        <v>0</v>
      </c>
      <c r="U93" s="32">
        <f>FPS!CT19</f>
        <v>0</v>
      </c>
      <c r="V93" s="32">
        <f>FPS!CT20</f>
        <v>0</v>
      </c>
      <c r="W93" s="32">
        <f>FPS!CT21</f>
        <v>0</v>
      </c>
      <c r="X93" s="32">
        <f>FPS!CT22</f>
        <v>0</v>
      </c>
      <c r="Y93" s="32">
        <f>FPS!CT23</f>
        <v>0</v>
      </c>
      <c r="Z93" s="32">
        <f>FPS!CT24</f>
        <v>0</v>
      </c>
      <c r="AA93" s="32">
        <f>FPS!CT25</f>
        <v>0</v>
      </c>
      <c r="AB93" s="32">
        <f>FPS!CT26</f>
        <v>0</v>
      </c>
      <c r="AC93" s="32">
        <f>FPS!CT27</f>
        <v>0</v>
      </c>
      <c r="AD93" s="32">
        <f>FPS!CT28</f>
        <v>0</v>
      </c>
      <c r="AE93" s="32">
        <f>FPS!CT29</f>
        <v>0</v>
      </c>
      <c r="AF93" s="32">
        <f>FPS!CT30</f>
        <v>0</v>
      </c>
      <c r="AG93" s="32">
        <f>FPS!CT31</f>
        <v>0</v>
      </c>
      <c r="AH93" s="32">
        <f>FPS!CT32</f>
        <v>0</v>
      </c>
      <c r="AI93" s="32">
        <f>FPS!CT33</f>
        <v>0</v>
      </c>
      <c r="AJ93" s="32">
        <f t="shared" si="5"/>
        <v>0</v>
      </c>
      <c r="AK93" s="32">
        <f t="shared" si="5"/>
        <v>0</v>
      </c>
      <c r="AL93" s="32">
        <f t="shared" si="5"/>
        <v>0</v>
      </c>
    </row>
    <row r="94" spans="1:38" x14ac:dyDescent="0.2">
      <c r="B94" s="32">
        <v>1</v>
      </c>
      <c r="C94" s="32">
        <v>1</v>
      </c>
      <c r="D94" s="32">
        <v>1</v>
      </c>
      <c r="E94" s="32">
        <f>FPS!CU3</f>
        <v>0</v>
      </c>
      <c r="F94" s="32">
        <f>FPS!CU4</f>
        <v>0</v>
      </c>
      <c r="G94" s="32">
        <f>FPS!CU5</f>
        <v>0</v>
      </c>
      <c r="H94" s="32">
        <f>FPS!CU6</f>
        <v>0</v>
      </c>
      <c r="I94" s="32">
        <f>FPS!CU7</f>
        <v>0</v>
      </c>
      <c r="J94" s="32">
        <f>FPS!CU8</f>
        <v>0</v>
      </c>
      <c r="K94" s="32">
        <f>FPS!CU9</f>
        <v>0</v>
      </c>
      <c r="L94" s="32">
        <f>FPS!CU10</f>
        <v>0</v>
      </c>
      <c r="M94" s="32">
        <f>FPS!CU11</f>
        <v>0</v>
      </c>
      <c r="N94" s="32">
        <f>FPS!CU12</f>
        <v>0</v>
      </c>
      <c r="O94" s="32">
        <f>FPS!CU13</f>
        <v>0</v>
      </c>
      <c r="P94" s="32">
        <f>FPS!CU14</f>
        <v>0</v>
      </c>
      <c r="Q94" s="32">
        <f>FPS!CU15</f>
        <v>0</v>
      </c>
      <c r="R94" s="32">
        <f>FPS!CU16</f>
        <v>0</v>
      </c>
      <c r="S94" s="32">
        <f>FPS!CU17</f>
        <v>0</v>
      </c>
      <c r="T94" s="32">
        <f>FPS!CU18</f>
        <v>0</v>
      </c>
      <c r="U94" s="32">
        <f>FPS!CU19</f>
        <v>0</v>
      </c>
      <c r="V94" s="32">
        <f>FPS!CU20</f>
        <v>0</v>
      </c>
      <c r="W94" s="32">
        <f>FPS!CU21</f>
        <v>0</v>
      </c>
      <c r="X94" s="32">
        <f>FPS!CU22</f>
        <v>0</v>
      </c>
      <c r="Y94" s="32">
        <f>FPS!CU23</f>
        <v>0</v>
      </c>
      <c r="Z94" s="32">
        <f>FPS!CU24</f>
        <v>0</v>
      </c>
      <c r="AA94" s="32">
        <f>FPS!CU25</f>
        <v>0</v>
      </c>
      <c r="AB94" s="32">
        <f>FPS!CU26</f>
        <v>0</v>
      </c>
      <c r="AC94" s="32">
        <f>FPS!CU27</f>
        <v>0</v>
      </c>
      <c r="AD94" s="32">
        <f>FPS!CU28</f>
        <v>0</v>
      </c>
      <c r="AE94" s="32">
        <f>FPS!CU29</f>
        <v>0</v>
      </c>
      <c r="AF94" s="32">
        <f>FPS!CU30</f>
        <v>0</v>
      </c>
      <c r="AG94" s="32">
        <f>FPS!CU31</f>
        <v>0</v>
      </c>
      <c r="AH94" s="32">
        <f>FPS!CU32</f>
        <v>0</v>
      </c>
      <c r="AI94" s="32">
        <f>FPS!CU33</f>
        <v>0</v>
      </c>
      <c r="AJ94" s="32">
        <f t="shared" si="5"/>
        <v>0</v>
      </c>
      <c r="AK94" s="32">
        <f t="shared" si="5"/>
        <v>0</v>
      </c>
      <c r="AL94" s="32">
        <f t="shared" si="5"/>
        <v>0</v>
      </c>
    </row>
    <row r="95" spans="1:38" x14ac:dyDescent="0.2">
      <c r="B95" s="32">
        <v>1</v>
      </c>
      <c r="C95" s="32">
        <v>1</v>
      </c>
      <c r="D95" s="32">
        <v>1</v>
      </c>
      <c r="E95" s="32">
        <f>FPS!CV3</f>
        <v>0</v>
      </c>
      <c r="F95" s="32">
        <f>FPS!CV4</f>
        <v>0</v>
      </c>
      <c r="G95" s="32">
        <f>FPS!CV5</f>
        <v>0</v>
      </c>
      <c r="H95" s="32">
        <f>FPS!CV6</f>
        <v>0</v>
      </c>
      <c r="I95" s="32">
        <f>FPS!CV7</f>
        <v>0</v>
      </c>
      <c r="J95" s="32">
        <f>FPS!CV8</f>
        <v>0</v>
      </c>
      <c r="K95" s="32">
        <f>FPS!CV9</f>
        <v>0</v>
      </c>
      <c r="L95" s="32">
        <f>FPS!CV10</f>
        <v>0</v>
      </c>
      <c r="M95" s="32">
        <f>FPS!CV11</f>
        <v>0</v>
      </c>
      <c r="N95" s="32">
        <f>FPS!CV12</f>
        <v>0</v>
      </c>
      <c r="O95" s="32">
        <f>FPS!CV13</f>
        <v>0</v>
      </c>
      <c r="P95" s="32">
        <f>FPS!CV14</f>
        <v>0</v>
      </c>
      <c r="Q95" s="32">
        <f>FPS!CV15</f>
        <v>0</v>
      </c>
      <c r="R95" s="32">
        <f>FPS!CV16</f>
        <v>0</v>
      </c>
      <c r="S95" s="32">
        <f>FPS!CV17</f>
        <v>0</v>
      </c>
      <c r="T95" s="32">
        <f>FPS!CV18</f>
        <v>0</v>
      </c>
      <c r="U95" s="32">
        <f>FPS!CV19</f>
        <v>0</v>
      </c>
      <c r="V95" s="32">
        <f>FPS!CV20</f>
        <v>0</v>
      </c>
      <c r="W95" s="32">
        <f>FPS!CV21</f>
        <v>0</v>
      </c>
      <c r="X95" s="32">
        <f>FPS!CV22</f>
        <v>0</v>
      </c>
      <c r="Y95" s="32">
        <f>FPS!CV23</f>
        <v>0</v>
      </c>
      <c r="Z95" s="32">
        <f>FPS!CV24</f>
        <v>0</v>
      </c>
      <c r="AA95" s="32">
        <f>FPS!CV25</f>
        <v>0</v>
      </c>
      <c r="AB95" s="32">
        <f>FPS!CV26</f>
        <v>0</v>
      </c>
      <c r="AC95" s="32">
        <f>FPS!CV27</f>
        <v>0</v>
      </c>
      <c r="AD95" s="32">
        <f>FPS!CV28</f>
        <v>0</v>
      </c>
      <c r="AE95" s="32">
        <f>FPS!CV29</f>
        <v>0</v>
      </c>
      <c r="AF95" s="32">
        <f>FPS!CV30</f>
        <v>0</v>
      </c>
      <c r="AG95" s="32">
        <f>FPS!CV31</f>
        <v>0</v>
      </c>
      <c r="AH95" s="32">
        <f>FPS!CV32</f>
        <v>0</v>
      </c>
      <c r="AI95" s="32">
        <f>FPS!CV33</f>
        <v>0</v>
      </c>
      <c r="AJ95" s="32">
        <f t="shared" si="5"/>
        <v>0</v>
      </c>
      <c r="AK95" s="32">
        <f t="shared" si="5"/>
        <v>0</v>
      </c>
      <c r="AL95" s="32">
        <f t="shared" si="5"/>
        <v>0</v>
      </c>
    </row>
    <row r="96" spans="1:38" x14ac:dyDescent="0.2">
      <c r="B96" s="32">
        <v>1</v>
      </c>
      <c r="C96" s="32">
        <v>1</v>
      </c>
      <c r="D96" s="32">
        <v>1</v>
      </c>
      <c r="E96" s="32">
        <f>FPS!CW3</f>
        <v>0</v>
      </c>
      <c r="F96" s="32">
        <f>FPS!CW4</f>
        <v>0</v>
      </c>
      <c r="G96" s="32">
        <f>FPS!CW5</f>
        <v>0</v>
      </c>
      <c r="H96" s="32">
        <f>FPS!CW6</f>
        <v>0</v>
      </c>
      <c r="I96" s="32">
        <f>FPS!CW7</f>
        <v>0</v>
      </c>
      <c r="J96" s="32">
        <f>FPS!CW8</f>
        <v>0</v>
      </c>
      <c r="K96" s="32">
        <f>FPS!CW9</f>
        <v>0</v>
      </c>
      <c r="L96" s="32">
        <f>FPS!CW10</f>
        <v>0</v>
      </c>
      <c r="M96" s="32">
        <f>FPS!CW11</f>
        <v>0</v>
      </c>
      <c r="N96" s="32">
        <f>FPS!CW12</f>
        <v>0</v>
      </c>
      <c r="O96" s="32">
        <f>FPS!CW13</f>
        <v>0</v>
      </c>
      <c r="P96" s="32">
        <f>FPS!CW14</f>
        <v>0</v>
      </c>
      <c r="Q96" s="32">
        <f>FPS!CW15</f>
        <v>0</v>
      </c>
      <c r="R96" s="32">
        <f>FPS!CW16</f>
        <v>0</v>
      </c>
      <c r="S96" s="32">
        <f>FPS!CW17</f>
        <v>0</v>
      </c>
      <c r="T96" s="32">
        <f>FPS!CW18</f>
        <v>0</v>
      </c>
      <c r="U96" s="32">
        <f>FPS!CW19</f>
        <v>0</v>
      </c>
      <c r="V96" s="32">
        <f>FPS!CW20</f>
        <v>0</v>
      </c>
      <c r="W96" s="32">
        <f>FPS!CW21</f>
        <v>0</v>
      </c>
      <c r="X96" s="32">
        <f>FPS!CW22</f>
        <v>0</v>
      </c>
      <c r="Y96" s="32">
        <f>FPS!CW23</f>
        <v>0</v>
      </c>
      <c r="Z96" s="32">
        <f>FPS!CW24</f>
        <v>0</v>
      </c>
      <c r="AA96" s="32">
        <f>FPS!CW25</f>
        <v>0</v>
      </c>
      <c r="AB96" s="32">
        <f>FPS!CW26</f>
        <v>0</v>
      </c>
      <c r="AC96" s="32">
        <f>FPS!CW27</f>
        <v>0</v>
      </c>
      <c r="AD96" s="32">
        <f>FPS!CW28</f>
        <v>0</v>
      </c>
      <c r="AE96" s="32">
        <f>FPS!CW29</f>
        <v>0</v>
      </c>
      <c r="AF96" s="32">
        <f>FPS!CW30</f>
        <v>0</v>
      </c>
      <c r="AG96" s="32">
        <f>FPS!CW31</f>
        <v>0</v>
      </c>
      <c r="AH96" s="32">
        <f>FPS!CW32</f>
        <v>0</v>
      </c>
      <c r="AI96" s="32">
        <f>FPS!CW33</f>
        <v>0</v>
      </c>
      <c r="AJ96" s="32">
        <f t="shared" si="5"/>
        <v>0</v>
      </c>
      <c r="AK96" s="32">
        <f t="shared" si="5"/>
        <v>0</v>
      </c>
      <c r="AL96" s="32">
        <f t="shared" si="5"/>
        <v>0</v>
      </c>
    </row>
    <row r="97" spans="1:38" x14ac:dyDescent="0.2">
      <c r="A97" s="23">
        <v>26</v>
      </c>
      <c r="B97" s="32">
        <v>1</v>
      </c>
      <c r="C97" s="32">
        <v>1</v>
      </c>
      <c r="D97" s="32">
        <v>1</v>
      </c>
      <c r="E97" s="32">
        <f>FPS!CX3</f>
        <v>0</v>
      </c>
      <c r="F97" s="32">
        <f>FPS!CX4</f>
        <v>0</v>
      </c>
      <c r="G97" s="32">
        <f>FPS!CX5</f>
        <v>0</v>
      </c>
      <c r="H97" s="32">
        <f>FPS!CX6</f>
        <v>0</v>
      </c>
      <c r="I97" s="32">
        <f>FPS!CX7</f>
        <v>0</v>
      </c>
      <c r="J97" s="32">
        <f>FPS!CX8</f>
        <v>0</v>
      </c>
      <c r="K97" s="32">
        <f>FPS!CX9</f>
        <v>0</v>
      </c>
      <c r="L97" s="32">
        <f>FPS!CX10</f>
        <v>0</v>
      </c>
      <c r="M97" s="32">
        <f>FPS!CX11</f>
        <v>0</v>
      </c>
      <c r="N97" s="32">
        <f>FPS!CX12</f>
        <v>0</v>
      </c>
      <c r="O97" s="32">
        <f>FPS!CX13</f>
        <v>0</v>
      </c>
      <c r="P97" s="32">
        <f>FPS!CX14</f>
        <v>0</v>
      </c>
      <c r="Q97" s="32">
        <f>FPS!CX15</f>
        <v>0</v>
      </c>
      <c r="R97" s="32">
        <f>FPS!CX16</f>
        <v>0</v>
      </c>
      <c r="S97" s="32">
        <f>FPS!CX17</f>
        <v>0</v>
      </c>
      <c r="T97" s="32">
        <f>FPS!CX18</f>
        <v>0</v>
      </c>
      <c r="U97" s="32">
        <f>FPS!CX19</f>
        <v>0</v>
      </c>
      <c r="V97" s="32">
        <f>FPS!CX20</f>
        <v>0</v>
      </c>
      <c r="W97" s="32">
        <f>FPS!CX21</f>
        <v>0</v>
      </c>
      <c r="X97" s="32">
        <f>FPS!CX22</f>
        <v>0</v>
      </c>
      <c r="Y97" s="32">
        <f>FPS!CX23</f>
        <v>0</v>
      </c>
      <c r="Z97" s="32">
        <f>FPS!CX24</f>
        <v>0</v>
      </c>
      <c r="AA97" s="32">
        <f>FPS!CX25</f>
        <v>0</v>
      </c>
      <c r="AB97" s="32">
        <f>FPS!CX26</f>
        <v>0</v>
      </c>
      <c r="AC97" s="32">
        <f>FPS!CX27</f>
        <v>0</v>
      </c>
      <c r="AD97" s="32">
        <f>FPS!CX28</f>
        <v>0</v>
      </c>
      <c r="AE97" s="32">
        <f>FPS!CX29</f>
        <v>0</v>
      </c>
      <c r="AF97" s="32">
        <f>FPS!CX30</f>
        <v>0</v>
      </c>
      <c r="AG97" s="32">
        <f>FPS!CX31</f>
        <v>0</v>
      </c>
      <c r="AH97" s="32">
        <f>FPS!CX32</f>
        <v>0</v>
      </c>
      <c r="AI97" s="32">
        <f>FPS!CX33</f>
        <v>0</v>
      </c>
      <c r="AJ97" s="32">
        <f t="shared" si="5"/>
        <v>0</v>
      </c>
      <c r="AK97" s="32">
        <f t="shared" si="5"/>
        <v>0</v>
      </c>
      <c r="AL97" s="32">
        <f t="shared" si="5"/>
        <v>0</v>
      </c>
    </row>
    <row r="98" spans="1:38" x14ac:dyDescent="0.2">
      <c r="B98" s="32">
        <v>1</v>
      </c>
      <c r="C98" s="32">
        <v>1</v>
      </c>
      <c r="D98" s="32">
        <v>1</v>
      </c>
      <c r="E98" s="32">
        <f>FPS!CY3</f>
        <v>0</v>
      </c>
      <c r="F98" s="32">
        <f>FPS!CY4</f>
        <v>0</v>
      </c>
      <c r="G98" s="32">
        <f>FPS!CY5</f>
        <v>0</v>
      </c>
      <c r="H98" s="32">
        <f>FPS!CY6</f>
        <v>0</v>
      </c>
      <c r="I98" s="32">
        <f>FPS!CY7</f>
        <v>0</v>
      </c>
      <c r="J98" s="32">
        <f>FPS!CY8</f>
        <v>0</v>
      </c>
      <c r="K98" s="32">
        <f>FPS!CY9</f>
        <v>0</v>
      </c>
      <c r="L98" s="32">
        <f>FPS!CY10</f>
        <v>0</v>
      </c>
      <c r="M98" s="32">
        <f>FPS!CY11</f>
        <v>0</v>
      </c>
      <c r="N98" s="32">
        <f>FPS!CY12</f>
        <v>0</v>
      </c>
      <c r="O98" s="32">
        <f>FPS!CY13</f>
        <v>0</v>
      </c>
      <c r="P98" s="32">
        <f>FPS!CY14</f>
        <v>0</v>
      </c>
      <c r="Q98" s="32">
        <f>FPS!CY15</f>
        <v>0</v>
      </c>
      <c r="R98" s="32">
        <f>FPS!CY16</f>
        <v>0</v>
      </c>
      <c r="S98" s="32">
        <f>FPS!CY17</f>
        <v>0</v>
      </c>
      <c r="T98" s="32">
        <f>FPS!CY18</f>
        <v>0</v>
      </c>
      <c r="U98" s="32">
        <f>FPS!CY19</f>
        <v>0</v>
      </c>
      <c r="V98" s="32">
        <f>FPS!CY20</f>
        <v>0</v>
      </c>
      <c r="W98" s="32">
        <f>FPS!CY21</f>
        <v>0</v>
      </c>
      <c r="X98" s="32">
        <f>FPS!CY22</f>
        <v>0</v>
      </c>
      <c r="Y98" s="32">
        <f>FPS!CY23</f>
        <v>0</v>
      </c>
      <c r="Z98" s="32">
        <f>FPS!CY24</f>
        <v>0</v>
      </c>
      <c r="AA98" s="32">
        <f>FPS!CY25</f>
        <v>0</v>
      </c>
      <c r="AB98" s="32">
        <f>FPS!CY26</f>
        <v>0</v>
      </c>
      <c r="AC98" s="32">
        <f>FPS!CY27</f>
        <v>0</v>
      </c>
      <c r="AD98" s="32">
        <f>FPS!CY28</f>
        <v>0</v>
      </c>
      <c r="AE98" s="32">
        <f>FPS!CY29</f>
        <v>0</v>
      </c>
      <c r="AF98" s="32">
        <f>FPS!CY30</f>
        <v>0</v>
      </c>
      <c r="AG98" s="32">
        <f>FPS!CY31</f>
        <v>0</v>
      </c>
      <c r="AH98" s="32">
        <f>FPS!CY32</f>
        <v>0</v>
      </c>
      <c r="AI98" s="32">
        <f>FPS!CY33</f>
        <v>0</v>
      </c>
      <c r="AJ98" s="32">
        <f t="shared" si="5"/>
        <v>0</v>
      </c>
      <c r="AK98" s="32">
        <f t="shared" si="5"/>
        <v>0</v>
      </c>
      <c r="AL98" s="32">
        <f t="shared" si="5"/>
        <v>0</v>
      </c>
    </row>
    <row r="99" spans="1:38" x14ac:dyDescent="0.2">
      <c r="B99" s="32">
        <v>1</v>
      </c>
      <c r="C99" s="32">
        <v>1</v>
      </c>
      <c r="D99" s="32">
        <v>1</v>
      </c>
      <c r="E99" s="32">
        <f>FPS!CZ3</f>
        <v>0</v>
      </c>
      <c r="F99" s="32">
        <f>FPS!CZ4</f>
        <v>0</v>
      </c>
      <c r="G99" s="32">
        <f>FPS!CZ5</f>
        <v>0</v>
      </c>
      <c r="H99" s="32">
        <f>FPS!CZ6</f>
        <v>0</v>
      </c>
      <c r="I99" s="32">
        <f>FPS!CZ7</f>
        <v>0</v>
      </c>
      <c r="J99" s="32">
        <f>FPS!CZ8</f>
        <v>0</v>
      </c>
      <c r="K99" s="32">
        <f>FPS!CZ9</f>
        <v>0</v>
      </c>
      <c r="L99" s="32">
        <f>FPS!CZ10</f>
        <v>0</v>
      </c>
      <c r="M99" s="32">
        <f>FPS!CZ11</f>
        <v>0</v>
      </c>
      <c r="N99" s="32">
        <f>FPS!CZ12</f>
        <v>0</v>
      </c>
      <c r="O99" s="32">
        <f>FPS!CZ13</f>
        <v>0</v>
      </c>
      <c r="P99" s="32">
        <f>FPS!CZ14</f>
        <v>0</v>
      </c>
      <c r="Q99" s="32">
        <f>FPS!CZ15</f>
        <v>0</v>
      </c>
      <c r="R99" s="32">
        <f>FPS!CZ16</f>
        <v>0</v>
      </c>
      <c r="S99" s="32">
        <f>FPS!CZ17</f>
        <v>0</v>
      </c>
      <c r="T99" s="32">
        <f>FPS!CZ18</f>
        <v>0</v>
      </c>
      <c r="U99" s="32">
        <f>FPS!CZ19</f>
        <v>0</v>
      </c>
      <c r="V99" s="32">
        <f>FPS!CZ20</f>
        <v>0</v>
      </c>
      <c r="W99" s="32">
        <f>FPS!CZ21</f>
        <v>0</v>
      </c>
      <c r="X99" s="32">
        <f>FPS!CZ22</f>
        <v>0</v>
      </c>
      <c r="Y99" s="32">
        <f>FPS!CZ23</f>
        <v>0</v>
      </c>
      <c r="Z99" s="32">
        <f>FPS!CZ24</f>
        <v>0</v>
      </c>
      <c r="AA99" s="32">
        <f>FPS!CZ25</f>
        <v>0</v>
      </c>
      <c r="AB99" s="32">
        <f>FPS!CZ26</f>
        <v>0</v>
      </c>
      <c r="AC99" s="32">
        <f>FPS!CZ27</f>
        <v>0</v>
      </c>
      <c r="AD99" s="32">
        <f>FPS!CZ28</f>
        <v>0</v>
      </c>
      <c r="AE99" s="32">
        <f>FPS!CZ29</f>
        <v>0</v>
      </c>
      <c r="AF99" s="32">
        <f>FPS!CZ30</f>
        <v>0</v>
      </c>
      <c r="AG99" s="32">
        <f>FPS!CZ31</f>
        <v>0</v>
      </c>
      <c r="AH99" s="32">
        <f>FPS!CZ32</f>
        <v>0</v>
      </c>
      <c r="AI99" s="32">
        <f>FPS!CZ33</f>
        <v>0</v>
      </c>
      <c r="AJ99" s="32">
        <f t="shared" si="5"/>
        <v>0</v>
      </c>
      <c r="AK99" s="32">
        <f t="shared" si="5"/>
        <v>0</v>
      </c>
      <c r="AL99" s="32">
        <f t="shared" si="5"/>
        <v>0</v>
      </c>
    </row>
    <row r="100" spans="1:38" x14ac:dyDescent="0.2">
      <c r="B100" s="32">
        <v>1</v>
      </c>
      <c r="C100" s="32">
        <v>1</v>
      </c>
      <c r="D100" s="32">
        <v>1</v>
      </c>
      <c r="E100" s="32">
        <f>FPS!DA3</f>
        <v>0</v>
      </c>
      <c r="F100" s="32">
        <f>FPS!DA4</f>
        <v>0</v>
      </c>
      <c r="G100" s="32">
        <f>FPS!DA5</f>
        <v>0</v>
      </c>
      <c r="H100" s="32">
        <f>FPS!DA6</f>
        <v>0</v>
      </c>
      <c r="I100" s="32">
        <f>FPS!DA7</f>
        <v>0</v>
      </c>
      <c r="J100" s="32">
        <f>FPS!DA8</f>
        <v>0</v>
      </c>
      <c r="K100" s="32">
        <f>FPS!DA9</f>
        <v>0</v>
      </c>
      <c r="L100" s="32">
        <f>FPS!DA10</f>
        <v>0</v>
      </c>
      <c r="M100" s="32">
        <f>FPS!DA11</f>
        <v>0</v>
      </c>
      <c r="N100" s="32">
        <f>FPS!DA12</f>
        <v>0</v>
      </c>
      <c r="O100" s="32">
        <f>FPS!DA13</f>
        <v>0</v>
      </c>
      <c r="P100" s="32">
        <f>FPS!DA14</f>
        <v>0</v>
      </c>
      <c r="Q100" s="32">
        <f>FPS!DA15</f>
        <v>0</v>
      </c>
      <c r="R100" s="32">
        <f>FPS!DA16</f>
        <v>0</v>
      </c>
      <c r="S100" s="32">
        <f>FPS!DA17</f>
        <v>0</v>
      </c>
      <c r="T100" s="32">
        <f>FPS!DA18</f>
        <v>0</v>
      </c>
      <c r="U100" s="32">
        <f>FPS!DA19</f>
        <v>0</v>
      </c>
      <c r="V100" s="32">
        <f>FPS!DA20</f>
        <v>0</v>
      </c>
      <c r="W100" s="32">
        <f>FPS!DA21</f>
        <v>0</v>
      </c>
      <c r="X100" s="32">
        <f>FPS!DA22</f>
        <v>0</v>
      </c>
      <c r="Y100" s="32">
        <f>FPS!DA23</f>
        <v>0</v>
      </c>
      <c r="Z100" s="32">
        <f>FPS!DA24</f>
        <v>0</v>
      </c>
      <c r="AA100" s="32">
        <f>FPS!DA25</f>
        <v>0</v>
      </c>
      <c r="AB100" s="32">
        <f>FPS!DA26</f>
        <v>0</v>
      </c>
      <c r="AC100" s="32">
        <f>FPS!DA27</f>
        <v>0</v>
      </c>
      <c r="AD100" s="32">
        <f>FPS!DA28</f>
        <v>0</v>
      </c>
      <c r="AE100" s="32">
        <f>FPS!DA29</f>
        <v>0</v>
      </c>
      <c r="AF100" s="32">
        <f>FPS!DA30</f>
        <v>0</v>
      </c>
      <c r="AG100" s="32">
        <f>FPS!DA31</f>
        <v>0</v>
      </c>
      <c r="AH100" s="32">
        <f>FPS!DA32</f>
        <v>0</v>
      </c>
      <c r="AI100" s="32">
        <f>FPS!DA33</f>
        <v>0</v>
      </c>
      <c r="AJ100" s="32">
        <f t="shared" si="5"/>
        <v>0</v>
      </c>
      <c r="AK100" s="32">
        <f t="shared" si="5"/>
        <v>0</v>
      </c>
      <c r="AL100" s="32">
        <f t="shared" si="5"/>
        <v>0</v>
      </c>
    </row>
    <row r="101" spans="1:38" x14ac:dyDescent="0.2">
      <c r="A101" s="23">
        <v>27</v>
      </c>
      <c r="B101" s="32">
        <v>1</v>
      </c>
      <c r="C101" s="32">
        <v>1</v>
      </c>
      <c r="D101" s="32">
        <v>1</v>
      </c>
      <c r="E101" s="32">
        <f>FPS!DB3</f>
        <v>0</v>
      </c>
      <c r="F101" s="32">
        <f>FPS!DB4</f>
        <v>0</v>
      </c>
      <c r="G101" s="32">
        <f>FPS!DB5</f>
        <v>0</v>
      </c>
      <c r="H101" s="32">
        <f>FPS!DB6</f>
        <v>0</v>
      </c>
      <c r="I101" s="32">
        <f>FPS!DB7</f>
        <v>0</v>
      </c>
      <c r="J101" s="32">
        <f>FPS!DB8</f>
        <v>0</v>
      </c>
      <c r="K101" s="32">
        <f>FPS!DB9</f>
        <v>0</v>
      </c>
      <c r="L101" s="32">
        <f>FPS!DB10</f>
        <v>0</v>
      </c>
      <c r="M101" s="32">
        <f>FPS!DB11</f>
        <v>0</v>
      </c>
      <c r="N101" s="32">
        <f>FPS!DB12</f>
        <v>0</v>
      </c>
      <c r="O101" s="32">
        <f>FPS!DB13</f>
        <v>0</v>
      </c>
      <c r="P101" s="32">
        <f>FPS!DB14</f>
        <v>0</v>
      </c>
      <c r="Q101" s="32">
        <f>FPS!DB15</f>
        <v>0</v>
      </c>
      <c r="R101" s="32">
        <f>FPS!DB16</f>
        <v>0</v>
      </c>
      <c r="S101" s="32">
        <f>FPS!DB17</f>
        <v>0</v>
      </c>
      <c r="T101" s="32">
        <f>FPS!DB18</f>
        <v>0</v>
      </c>
      <c r="U101" s="32">
        <f>FPS!DB19</f>
        <v>0</v>
      </c>
      <c r="V101" s="32">
        <f>FPS!DB20</f>
        <v>0</v>
      </c>
      <c r="W101" s="32">
        <f>FPS!DB21</f>
        <v>0</v>
      </c>
      <c r="X101" s="32">
        <f>FPS!DB22</f>
        <v>0</v>
      </c>
      <c r="Y101" s="32">
        <f>FPS!DB23</f>
        <v>0</v>
      </c>
      <c r="Z101" s="32">
        <f>FPS!DB24</f>
        <v>0</v>
      </c>
      <c r="AA101" s="32">
        <f>FPS!DB25</f>
        <v>0</v>
      </c>
      <c r="AB101" s="32">
        <f>FPS!DB26</f>
        <v>0</v>
      </c>
      <c r="AC101" s="32">
        <f>FPS!DB27</f>
        <v>0</v>
      </c>
      <c r="AD101" s="32">
        <f>FPS!DB28</f>
        <v>0</v>
      </c>
      <c r="AE101" s="32">
        <f>FPS!DB29</f>
        <v>0</v>
      </c>
      <c r="AF101" s="32">
        <f>FPS!DB30</f>
        <v>0</v>
      </c>
      <c r="AG101" s="32">
        <f>FPS!DB31</f>
        <v>0</v>
      </c>
      <c r="AH101" s="32">
        <f>FPS!DB32</f>
        <v>0</v>
      </c>
      <c r="AI101" s="32">
        <f>FPS!DB33</f>
        <v>0</v>
      </c>
      <c r="AJ101" s="32">
        <f t="shared" si="5"/>
        <v>0</v>
      </c>
      <c r="AK101" s="32">
        <f t="shared" si="5"/>
        <v>0</v>
      </c>
      <c r="AL101" s="32">
        <f t="shared" si="5"/>
        <v>0</v>
      </c>
    </row>
    <row r="102" spans="1:38" x14ac:dyDescent="0.2">
      <c r="B102" s="32">
        <v>1</v>
      </c>
      <c r="C102" s="32">
        <v>1</v>
      </c>
      <c r="D102" s="32">
        <v>1</v>
      </c>
      <c r="E102" s="32">
        <f>FPS!DC3</f>
        <v>0</v>
      </c>
      <c r="F102" s="32">
        <f>FPS!DC4</f>
        <v>0</v>
      </c>
      <c r="G102" s="32">
        <f>FPS!DC5</f>
        <v>0</v>
      </c>
      <c r="H102" s="32">
        <f>FPS!DC6</f>
        <v>0</v>
      </c>
      <c r="I102" s="32">
        <f>FPS!DC7</f>
        <v>0</v>
      </c>
      <c r="J102" s="32">
        <f>FPS!DC8</f>
        <v>0</v>
      </c>
      <c r="K102" s="32">
        <f>FPS!DC9</f>
        <v>0</v>
      </c>
      <c r="L102" s="32">
        <f>FPS!DC10</f>
        <v>0</v>
      </c>
      <c r="M102" s="32">
        <f>FPS!DC11</f>
        <v>0</v>
      </c>
      <c r="N102" s="32">
        <f>FPS!DC12</f>
        <v>0</v>
      </c>
      <c r="O102" s="32">
        <f>FPS!DC13</f>
        <v>0</v>
      </c>
      <c r="P102" s="32">
        <f>FPS!DC14</f>
        <v>0</v>
      </c>
      <c r="Q102" s="32">
        <f>FPS!DC15</f>
        <v>0</v>
      </c>
      <c r="R102" s="32">
        <f>FPS!DC16</f>
        <v>0</v>
      </c>
      <c r="S102" s="32">
        <f>FPS!DC17</f>
        <v>0</v>
      </c>
      <c r="T102" s="32">
        <f>FPS!DC18</f>
        <v>0</v>
      </c>
      <c r="U102" s="32">
        <f>FPS!DC19</f>
        <v>0</v>
      </c>
      <c r="V102" s="32">
        <f>FPS!DC20</f>
        <v>0</v>
      </c>
      <c r="W102" s="32">
        <f>FPS!DC21</f>
        <v>0</v>
      </c>
      <c r="X102" s="32">
        <f>FPS!DC22</f>
        <v>0</v>
      </c>
      <c r="Y102" s="32">
        <f>FPS!DC23</f>
        <v>0</v>
      </c>
      <c r="Z102" s="32">
        <f>FPS!DC24</f>
        <v>0</v>
      </c>
      <c r="AA102" s="32">
        <f>FPS!DC25</f>
        <v>0</v>
      </c>
      <c r="AB102" s="32">
        <f>FPS!DC26</f>
        <v>0</v>
      </c>
      <c r="AC102" s="32">
        <f>FPS!DC27</f>
        <v>0</v>
      </c>
      <c r="AD102" s="32">
        <f>FPS!DC28</f>
        <v>0</v>
      </c>
      <c r="AE102" s="32">
        <f>FPS!DC29</f>
        <v>0</v>
      </c>
      <c r="AF102" s="32">
        <f>FPS!DC30</f>
        <v>0</v>
      </c>
      <c r="AG102" s="32">
        <f>FPS!DC31</f>
        <v>0</v>
      </c>
      <c r="AH102" s="32">
        <f>FPS!DC32</f>
        <v>0</v>
      </c>
      <c r="AI102" s="32">
        <f>FPS!DC33</f>
        <v>0</v>
      </c>
      <c r="AJ102" s="32">
        <f t="shared" si="5"/>
        <v>0</v>
      </c>
      <c r="AK102" s="32">
        <f t="shared" si="5"/>
        <v>0</v>
      </c>
      <c r="AL102" s="32">
        <f t="shared" si="5"/>
        <v>0</v>
      </c>
    </row>
    <row r="103" spans="1:38" x14ac:dyDescent="0.2">
      <c r="B103" s="32">
        <v>1</v>
      </c>
      <c r="C103" s="32">
        <v>1</v>
      </c>
      <c r="D103" s="32">
        <v>1</v>
      </c>
      <c r="E103" s="32">
        <f>FPS!DD3</f>
        <v>0</v>
      </c>
      <c r="F103" s="32">
        <f>FPS!DD4</f>
        <v>0</v>
      </c>
      <c r="G103" s="32">
        <f>FPS!DD5</f>
        <v>0</v>
      </c>
      <c r="H103" s="32">
        <f>FPS!DD6</f>
        <v>0</v>
      </c>
      <c r="I103" s="32">
        <f>FPS!DD7</f>
        <v>0</v>
      </c>
      <c r="J103" s="32">
        <f>FPS!DD8</f>
        <v>0</v>
      </c>
      <c r="K103" s="32">
        <f>FPS!DD9</f>
        <v>0</v>
      </c>
      <c r="L103" s="32">
        <f>FPS!DD10</f>
        <v>0</v>
      </c>
      <c r="M103" s="32">
        <f>FPS!DD11</f>
        <v>0</v>
      </c>
      <c r="N103" s="32">
        <f>FPS!DD12</f>
        <v>0</v>
      </c>
      <c r="O103" s="32">
        <f>FPS!DD13</f>
        <v>0</v>
      </c>
      <c r="P103" s="32">
        <f>FPS!DD14</f>
        <v>0</v>
      </c>
      <c r="Q103" s="32">
        <f>FPS!DD15</f>
        <v>0</v>
      </c>
      <c r="R103" s="32">
        <f>FPS!DD16</f>
        <v>0</v>
      </c>
      <c r="S103" s="32">
        <f>FPS!DD17</f>
        <v>0</v>
      </c>
      <c r="T103" s="32">
        <f>FPS!DD18</f>
        <v>0</v>
      </c>
      <c r="U103" s="32">
        <f>FPS!DD19</f>
        <v>0</v>
      </c>
      <c r="V103" s="32">
        <f>FPS!DD20</f>
        <v>0</v>
      </c>
      <c r="W103" s="32">
        <f>FPS!DD21</f>
        <v>0</v>
      </c>
      <c r="X103" s="32">
        <f>FPS!DD22</f>
        <v>0</v>
      </c>
      <c r="Y103" s="32">
        <f>FPS!DD23</f>
        <v>0</v>
      </c>
      <c r="Z103" s="32">
        <f>FPS!DD24</f>
        <v>0</v>
      </c>
      <c r="AA103" s="32">
        <f>FPS!DD25</f>
        <v>0</v>
      </c>
      <c r="AB103" s="32">
        <f>FPS!DD26</f>
        <v>0</v>
      </c>
      <c r="AC103" s="32">
        <f>FPS!DD27</f>
        <v>0</v>
      </c>
      <c r="AD103" s="32">
        <f>FPS!DD28</f>
        <v>0</v>
      </c>
      <c r="AE103" s="32">
        <f>FPS!DD29</f>
        <v>0</v>
      </c>
      <c r="AF103" s="32">
        <f>FPS!DD30</f>
        <v>0</v>
      </c>
      <c r="AG103" s="32">
        <f>FPS!DD31</f>
        <v>0</v>
      </c>
      <c r="AH103" s="32">
        <f>FPS!DD32</f>
        <v>0</v>
      </c>
      <c r="AI103" s="32">
        <f>FPS!DD33</f>
        <v>0</v>
      </c>
      <c r="AJ103" s="32">
        <f t="shared" si="5"/>
        <v>0</v>
      </c>
      <c r="AK103" s="32">
        <f t="shared" si="5"/>
        <v>0</v>
      </c>
      <c r="AL103" s="32">
        <f t="shared" si="5"/>
        <v>0</v>
      </c>
    </row>
    <row r="104" spans="1:38" x14ac:dyDescent="0.2">
      <c r="B104" s="32">
        <v>1</v>
      </c>
      <c r="C104" s="32">
        <v>1</v>
      </c>
      <c r="D104" s="32">
        <v>1</v>
      </c>
      <c r="E104" s="32">
        <f>FPS!DE3</f>
        <v>0</v>
      </c>
      <c r="F104" s="32">
        <f>FPS!DE4</f>
        <v>0</v>
      </c>
      <c r="G104" s="32">
        <f>FPS!DE5</f>
        <v>0</v>
      </c>
      <c r="H104" s="32">
        <f>FPS!DE6</f>
        <v>0</v>
      </c>
      <c r="I104" s="32">
        <f>FPS!DE7</f>
        <v>0</v>
      </c>
      <c r="J104" s="32">
        <f>FPS!DE8</f>
        <v>0</v>
      </c>
      <c r="K104" s="32">
        <f>FPS!DE9</f>
        <v>0</v>
      </c>
      <c r="L104" s="32">
        <f>FPS!DE10</f>
        <v>0</v>
      </c>
      <c r="M104" s="32">
        <f>FPS!DE11</f>
        <v>0</v>
      </c>
      <c r="N104" s="32">
        <f>FPS!DE12</f>
        <v>0</v>
      </c>
      <c r="O104" s="32">
        <f>FPS!DE13</f>
        <v>0</v>
      </c>
      <c r="P104" s="32">
        <f>FPS!DE14</f>
        <v>0</v>
      </c>
      <c r="Q104" s="32">
        <f>FPS!DE15</f>
        <v>0</v>
      </c>
      <c r="R104" s="32">
        <f>FPS!DE16</f>
        <v>0</v>
      </c>
      <c r="S104" s="32">
        <f>FPS!DE17</f>
        <v>0</v>
      </c>
      <c r="T104" s="32">
        <f>FPS!DE18</f>
        <v>0</v>
      </c>
      <c r="U104" s="32">
        <f>FPS!DE19</f>
        <v>0</v>
      </c>
      <c r="V104" s="32">
        <f>FPS!DE20</f>
        <v>0</v>
      </c>
      <c r="W104" s="32">
        <f>FPS!DE21</f>
        <v>0</v>
      </c>
      <c r="X104" s="32">
        <f>FPS!DE22</f>
        <v>0</v>
      </c>
      <c r="Y104" s="32">
        <f>FPS!DE23</f>
        <v>0</v>
      </c>
      <c r="Z104" s="32">
        <f>FPS!DE24</f>
        <v>0</v>
      </c>
      <c r="AA104" s="32">
        <f>FPS!DE25</f>
        <v>0</v>
      </c>
      <c r="AB104" s="32">
        <f>FPS!DE26</f>
        <v>0</v>
      </c>
      <c r="AC104" s="32">
        <f>FPS!DE27</f>
        <v>0</v>
      </c>
      <c r="AD104" s="32">
        <f>FPS!DE28</f>
        <v>0</v>
      </c>
      <c r="AE104" s="32">
        <f>FPS!DE29</f>
        <v>0</v>
      </c>
      <c r="AF104" s="32">
        <f>FPS!DE30</f>
        <v>0</v>
      </c>
      <c r="AG104" s="32">
        <f>FPS!DE31</f>
        <v>0</v>
      </c>
      <c r="AH104" s="32">
        <f>FPS!DE32</f>
        <v>0</v>
      </c>
      <c r="AI104" s="32">
        <f>FPS!DE33</f>
        <v>0</v>
      </c>
      <c r="AJ104" s="32">
        <f t="shared" si="5"/>
        <v>0</v>
      </c>
      <c r="AK104" s="32">
        <f t="shared" si="5"/>
        <v>0</v>
      </c>
      <c r="AL104" s="32">
        <f t="shared" si="5"/>
        <v>0</v>
      </c>
    </row>
    <row r="105" spans="1:38" x14ac:dyDescent="0.2">
      <c r="A105" s="23">
        <v>28</v>
      </c>
      <c r="B105" s="32">
        <v>1</v>
      </c>
      <c r="C105" s="32">
        <v>1</v>
      </c>
      <c r="D105" s="32">
        <v>1</v>
      </c>
      <c r="E105" s="32">
        <f>FPS!DF3</f>
        <v>0</v>
      </c>
      <c r="F105" s="32">
        <f>FPS!DF4</f>
        <v>0</v>
      </c>
      <c r="G105" s="32">
        <f>FPS!DF5</f>
        <v>0</v>
      </c>
      <c r="H105" s="32">
        <f>FPS!DF6</f>
        <v>0</v>
      </c>
      <c r="I105" s="32">
        <f>FPS!DF7</f>
        <v>0</v>
      </c>
      <c r="J105" s="32">
        <f>FPS!DF8</f>
        <v>0</v>
      </c>
      <c r="K105" s="32">
        <f>FPS!DF9</f>
        <v>0</v>
      </c>
      <c r="L105" s="32">
        <f>FPS!DF10</f>
        <v>0</v>
      </c>
      <c r="M105" s="32">
        <f>FPS!DF11</f>
        <v>0</v>
      </c>
      <c r="N105" s="32">
        <f>FPS!DF12</f>
        <v>0</v>
      </c>
      <c r="O105" s="32">
        <f>FPS!DF13</f>
        <v>0</v>
      </c>
      <c r="P105" s="32">
        <f>FPS!DF14</f>
        <v>0</v>
      </c>
      <c r="Q105" s="32">
        <f>FPS!DF15</f>
        <v>0</v>
      </c>
      <c r="R105" s="32">
        <f>FPS!DF16</f>
        <v>0</v>
      </c>
      <c r="S105" s="32">
        <f>FPS!DF17</f>
        <v>0</v>
      </c>
      <c r="T105" s="32">
        <f>FPS!DF18</f>
        <v>0</v>
      </c>
      <c r="U105" s="32">
        <f>FPS!DF19</f>
        <v>0</v>
      </c>
      <c r="V105" s="32">
        <f>FPS!DF20</f>
        <v>0</v>
      </c>
      <c r="W105" s="32">
        <f>FPS!DF21</f>
        <v>0</v>
      </c>
      <c r="X105" s="32">
        <f>FPS!DF22</f>
        <v>0</v>
      </c>
      <c r="Y105" s="32">
        <f>FPS!DF23</f>
        <v>0</v>
      </c>
      <c r="Z105" s="32">
        <f>FPS!DF24</f>
        <v>0</v>
      </c>
      <c r="AA105" s="32">
        <f>FPS!DF25</f>
        <v>0</v>
      </c>
      <c r="AB105" s="32">
        <f>FPS!DF26</f>
        <v>0</v>
      </c>
      <c r="AC105" s="32">
        <f>FPS!DF27</f>
        <v>0</v>
      </c>
      <c r="AD105" s="32">
        <f>FPS!DF28</f>
        <v>0</v>
      </c>
      <c r="AE105" s="32">
        <f>FPS!DF29</f>
        <v>0</v>
      </c>
      <c r="AF105" s="32">
        <f>FPS!DF30</f>
        <v>0</v>
      </c>
      <c r="AG105" s="32">
        <f>FPS!DF31</f>
        <v>0</v>
      </c>
      <c r="AH105" s="32">
        <f>FPS!DF32</f>
        <v>0</v>
      </c>
      <c r="AI105" s="32">
        <f>FPS!DF33</f>
        <v>0</v>
      </c>
      <c r="AJ105" s="32">
        <f t="shared" si="5"/>
        <v>0</v>
      </c>
      <c r="AK105" s="32">
        <f t="shared" si="5"/>
        <v>0</v>
      </c>
      <c r="AL105" s="32">
        <f t="shared" si="5"/>
        <v>0</v>
      </c>
    </row>
    <row r="106" spans="1:38" x14ac:dyDescent="0.2">
      <c r="B106" s="32">
        <v>1</v>
      </c>
      <c r="C106" s="32">
        <v>1</v>
      </c>
      <c r="D106" s="32">
        <v>1</v>
      </c>
      <c r="E106" s="32">
        <f>FPS!DG3</f>
        <v>0</v>
      </c>
      <c r="F106" s="32">
        <f>FPS!DG4</f>
        <v>0</v>
      </c>
      <c r="G106" s="32">
        <f>FPS!DG5</f>
        <v>0</v>
      </c>
      <c r="H106" s="32">
        <f>FPS!DG6</f>
        <v>0</v>
      </c>
      <c r="I106" s="32">
        <f>FPS!DG7</f>
        <v>0</v>
      </c>
      <c r="J106" s="32">
        <f>FPS!DG8</f>
        <v>0</v>
      </c>
      <c r="K106" s="32">
        <f>FPS!DG9</f>
        <v>0</v>
      </c>
      <c r="L106" s="32">
        <f>FPS!DG10</f>
        <v>0</v>
      </c>
      <c r="M106" s="32">
        <f>FPS!DG11</f>
        <v>0</v>
      </c>
      <c r="N106" s="32">
        <f>FPS!DG12</f>
        <v>0</v>
      </c>
      <c r="O106" s="32">
        <f>FPS!DG13</f>
        <v>0</v>
      </c>
      <c r="P106" s="32">
        <f>FPS!DG14</f>
        <v>0</v>
      </c>
      <c r="Q106" s="32">
        <f>FPS!DG15</f>
        <v>0</v>
      </c>
      <c r="R106" s="32">
        <f>FPS!DG16</f>
        <v>0</v>
      </c>
      <c r="S106" s="32">
        <f>FPS!DG17</f>
        <v>0</v>
      </c>
      <c r="T106" s="32">
        <f>FPS!DG18</f>
        <v>0</v>
      </c>
      <c r="U106" s="32">
        <f>FPS!DG19</f>
        <v>0</v>
      </c>
      <c r="V106" s="32">
        <f>FPS!DG20</f>
        <v>0</v>
      </c>
      <c r="W106" s="32">
        <f>FPS!DG21</f>
        <v>0</v>
      </c>
      <c r="X106" s="32">
        <f>FPS!DG22</f>
        <v>0</v>
      </c>
      <c r="Y106" s="32">
        <f>FPS!DG23</f>
        <v>0</v>
      </c>
      <c r="Z106" s="32">
        <f>FPS!DG24</f>
        <v>0</v>
      </c>
      <c r="AA106" s="32">
        <f>FPS!DG25</f>
        <v>0</v>
      </c>
      <c r="AB106" s="32">
        <f>FPS!DG26</f>
        <v>0</v>
      </c>
      <c r="AC106" s="32">
        <f>FPS!DG27</f>
        <v>0</v>
      </c>
      <c r="AD106" s="32">
        <f>FPS!DG28</f>
        <v>0</v>
      </c>
      <c r="AE106" s="32">
        <f>FPS!DG29</f>
        <v>0</v>
      </c>
      <c r="AF106" s="32">
        <f>FPS!DG30</f>
        <v>0</v>
      </c>
      <c r="AG106" s="32">
        <f>FPS!DG31</f>
        <v>0</v>
      </c>
      <c r="AH106" s="32">
        <f>FPS!DG32</f>
        <v>0</v>
      </c>
      <c r="AI106" s="32">
        <f>FPS!DG33</f>
        <v>0</v>
      </c>
      <c r="AJ106" s="32">
        <f t="shared" si="5"/>
        <v>0</v>
      </c>
      <c r="AK106" s="32">
        <f t="shared" si="5"/>
        <v>0</v>
      </c>
      <c r="AL106" s="32">
        <f t="shared" si="5"/>
        <v>0</v>
      </c>
    </row>
    <row r="107" spans="1:38" x14ac:dyDescent="0.2">
      <c r="B107" s="32">
        <v>1</v>
      </c>
      <c r="C107" s="32">
        <v>1</v>
      </c>
      <c r="D107" s="32">
        <v>1</v>
      </c>
      <c r="E107" s="32">
        <f>FPS!DH3</f>
        <v>0</v>
      </c>
      <c r="F107" s="32">
        <f>FPS!DH4</f>
        <v>0</v>
      </c>
      <c r="G107" s="32">
        <f>FPS!DH5</f>
        <v>0</v>
      </c>
      <c r="H107" s="32">
        <f>FPS!DH6</f>
        <v>0</v>
      </c>
      <c r="I107" s="32">
        <f>FPS!DH7</f>
        <v>0</v>
      </c>
      <c r="J107" s="32">
        <f>FPS!DH8</f>
        <v>0</v>
      </c>
      <c r="K107" s="32">
        <f>FPS!DH9</f>
        <v>0</v>
      </c>
      <c r="L107" s="32">
        <f>FPS!DH10</f>
        <v>0</v>
      </c>
      <c r="M107" s="32">
        <f>FPS!DH11</f>
        <v>0</v>
      </c>
      <c r="N107" s="32">
        <f>FPS!DH12</f>
        <v>0</v>
      </c>
      <c r="O107" s="32">
        <f>FPS!DH13</f>
        <v>0</v>
      </c>
      <c r="P107" s="32">
        <f>FPS!DH14</f>
        <v>0</v>
      </c>
      <c r="Q107" s="32">
        <f>FPS!DH15</f>
        <v>0</v>
      </c>
      <c r="R107" s="32">
        <f>FPS!DH16</f>
        <v>0</v>
      </c>
      <c r="S107" s="32">
        <f>FPS!DH17</f>
        <v>0</v>
      </c>
      <c r="T107" s="32">
        <f>FPS!DH18</f>
        <v>0</v>
      </c>
      <c r="U107" s="32">
        <f>FPS!DH19</f>
        <v>0</v>
      </c>
      <c r="V107" s="32">
        <f>FPS!DH20</f>
        <v>0</v>
      </c>
      <c r="W107" s="32">
        <f>FPS!DH21</f>
        <v>0</v>
      </c>
      <c r="X107" s="32">
        <f>FPS!DH22</f>
        <v>0</v>
      </c>
      <c r="Y107" s="32">
        <f>FPS!DH23</f>
        <v>0</v>
      </c>
      <c r="Z107" s="32">
        <f>FPS!DH24</f>
        <v>0</v>
      </c>
      <c r="AA107" s="32">
        <f>FPS!DH25</f>
        <v>0</v>
      </c>
      <c r="AB107" s="32">
        <f>FPS!DH26</f>
        <v>0</v>
      </c>
      <c r="AC107" s="32">
        <f>FPS!DH27</f>
        <v>0</v>
      </c>
      <c r="AD107" s="32">
        <f>FPS!DH28</f>
        <v>0</v>
      </c>
      <c r="AE107" s="32">
        <f>FPS!DH29</f>
        <v>0</v>
      </c>
      <c r="AF107" s="32">
        <f>FPS!DH30</f>
        <v>0</v>
      </c>
      <c r="AG107" s="32">
        <f>FPS!DH31</f>
        <v>0</v>
      </c>
      <c r="AH107" s="32">
        <f>FPS!DH32</f>
        <v>0</v>
      </c>
      <c r="AI107" s="32">
        <f>FPS!DH33</f>
        <v>0</v>
      </c>
      <c r="AJ107" s="32">
        <f t="shared" si="5"/>
        <v>0</v>
      </c>
      <c r="AK107" s="32">
        <f t="shared" si="5"/>
        <v>0</v>
      </c>
      <c r="AL107" s="32">
        <f t="shared" si="5"/>
        <v>0</v>
      </c>
    </row>
    <row r="108" spans="1:38" x14ac:dyDescent="0.2">
      <c r="B108" s="32">
        <v>1</v>
      </c>
      <c r="C108" s="32">
        <v>1</v>
      </c>
      <c r="D108" s="32">
        <v>1</v>
      </c>
      <c r="E108" s="32">
        <f>FPS!DI3</f>
        <v>0</v>
      </c>
      <c r="F108" s="32">
        <f>FPS!DI4</f>
        <v>0</v>
      </c>
      <c r="G108" s="32">
        <f>FPS!DI5</f>
        <v>0</v>
      </c>
      <c r="H108" s="32">
        <f>FPS!DI6</f>
        <v>0</v>
      </c>
      <c r="I108" s="32">
        <f>FPS!DI7</f>
        <v>0</v>
      </c>
      <c r="J108" s="32">
        <f>FPS!DI8</f>
        <v>0</v>
      </c>
      <c r="K108" s="32">
        <f>FPS!DI9</f>
        <v>0</v>
      </c>
      <c r="L108" s="32">
        <f>FPS!DI10</f>
        <v>0</v>
      </c>
      <c r="M108" s="32">
        <f>FPS!DI11</f>
        <v>0</v>
      </c>
      <c r="N108" s="32">
        <f>FPS!DI12</f>
        <v>0</v>
      </c>
      <c r="O108" s="32">
        <f>FPS!DI13</f>
        <v>0</v>
      </c>
      <c r="P108" s="32">
        <f>FPS!DI14</f>
        <v>0</v>
      </c>
      <c r="Q108" s="32">
        <f>FPS!DI15</f>
        <v>0</v>
      </c>
      <c r="R108" s="32">
        <f>FPS!DI16</f>
        <v>0</v>
      </c>
      <c r="S108" s="32">
        <f>FPS!DI17</f>
        <v>0</v>
      </c>
      <c r="T108" s="32">
        <f>FPS!DI18</f>
        <v>0</v>
      </c>
      <c r="U108" s="32">
        <f>FPS!DI19</f>
        <v>0</v>
      </c>
      <c r="V108" s="32">
        <f>FPS!DI20</f>
        <v>0</v>
      </c>
      <c r="W108" s="32">
        <f>FPS!DI21</f>
        <v>0</v>
      </c>
      <c r="X108" s="32">
        <f>FPS!DI22</f>
        <v>0</v>
      </c>
      <c r="Y108" s="32">
        <f>FPS!DI23</f>
        <v>0</v>
      </c>
      <c r="Z108" s="32">
        <f>FPS!DI24</f>
        <v>0</v>
      </c>
      <c r="AA108" s="32">
        <f>FPS!DI25</f>
        <v>0</v>
      </c>
      <c r="AB108" s="32">
        <f>FPS!DI26</f>
        <v>0</v>
      </c>
      <c r="AC108" s="32">
        <f>FPS!DI27</f>
        <v>0</v>
      </c>
      <c r="AD108" s="32">
        <f>FPS!DI28</f>
        <v>0</v>
      </c>
      <c r="AE108" s="32">
        <f>FPS!DI29</f>
        <v>0</v>
      </c>
      <c r="AF108" s="32">
        <f>FPS!DI30</f>
        <v>0</v>
      </c>
      <c r="AG108" s="32">
        <f>FPS!DI31</f>
        <v>0</v>
      </c>
      <c r="AH108" s="32">
        <f>FPS!DI32</f>
        <v>0</v>
      </c>
      <c r="AI108" s="32">
        <f>FPS!DI33</f>
        <v>0</v>
      </c>
      <c r="AJ108" s="32">
        <f t="shared" si="5"/>
        <v>0</v>
      </c>
      <c r="AK108" s="32">
        <f t="shared" si="5"/>
        <v>0</v>
      </c>
      <c r="AL108" s="32">
        <f t="shared" si="5"/>
        <v>0</v>
      </c>
    </row>
    <row r="109" spans="1:38" x14ac:dyDescent="0.2">
      <c r="A109" s="23">
        <v>29</v>
      </c>
      <c r="B109" s="32">
        <v>1</v>
      </c>
      <c r="C109" s="32">
        <v>1</v>
      </c>
      <c r="D109" s="32">
        <v>1</v>
      </c>
      <c r="E109" s="32">
        <f>FPS!DJ3</f>
        <v>0</v>
      </c>
      <c r="F109" s="32">
        <f>FPS!DJ4</f>
        <v>0</v>
      </c>
      <c r="G109" s="32">
        <f>FPS!DJ5</f>
        <v>0</v>
      </c>
      <c r="H109" s="32">
        <f>FPS!DJ6</f>
        <v>0</v>
      </c>
      <c r="I109" s="32">
        <f>FPS!DJ7</f>
        <v>0</v>
      </c>
      <c r="J109" s="32">
        <f>FPS!DJ8</f>
        <v>0</v>
      </c>
      <c r="K109" s="32">
        <f>FPS!DJ9</f>
        <v>0</v>
      </c>
      <c r="L109" s="32">
        <f>FPS!DJ10</f>
        <v>0</v>
      </c>
      <c r="M109" s="32">
        <f>FPS!DJ11</f>
        <v>0</v>
      </c>
      <c r="N109" s="32">
        <f>FPS!DJ12</f>
        <v>0</v>
      </c>
      <c r="O109" s="32">
        <f>FPS!DJ13</f>
        <v>0</v>
      </c>
      <c r="P109" s="32">
        <f>FPS!DJ14</f>
        <v>0</v>
      </c>
      <c r="Q109" s="32">
        <f>FPS!DJ15</f>
        <v>0</v>
      </c>
      <c r="R109" s="32">
        <f>FPS!DJ16</f>
        <v>0</v>
      </c>
      <c r="S109" s="32">
        <f>FPS!DJ17</f>
        <v>0</v>
      </c>
      <c r="T109" s="32">
        <f>FPS!DJ18</f>
        <v>0</v>
      </c>
      <c r="U109" s="32">
        <f>FPS!DJ19</f>
        <v>0</v>
      </c>
      <c r="V109" s="32">
        <f>FPS!DJ20</f>
        <v>0</v>
      </c>
      <c r="W109" s="32">
        <f>FPS!DJ21</f>
        <v>0</v>
      </c>
      <c r="X109" s="32">
        <f>FPS!DJ22</f>
        <v>0</v>
      </c>
      <c r="Y109" s="32">
        <f>FPS!DJ23</f>
        <v>0</v>
      </c>
      <c r="Z109" s="32">
        <f>FPS!DJ24</f>
        <v>0</v>
      </c>
      <c r="AA109" s="32">
        <f>FPS!DJ25</f>
        <v>0</v>
      </c>
      <c r="AB109" s="32">
        <f>FPS!DJ26</f>
        <v>0</v>
      </c>
      <c r="AC109" s="32">
        <f>FPS!DJ27</f>
        <v>0</v>
      </c>
      <c r="AD109" s="32">
        <f>FPS!DJ28</f>
        <v>0</v>
      </c>
      <c r="AE109" s="32">
        <f>FPS!DJ29</f>
        <v>0</v>
      </c>
      <c r="AF109" s="32">
        <f>FPS!DJ30</f>
        <v>0</v>
      </c>
      <c r="AG109" s="32">
        <f>FPS!DJ31</f>
        <v>0</v>
      </c>
      <c r="AH109" s="32">
        <f>FPS!DJ32</f>
        <v>0</v>
      </c>
      <c r="AI109" s="32">
        <f>FPS!DJ33</f>
        <v>0</v>
      </c>
      <c r="AJ109" s="32">
        <f t="shared" si="5"/>
        <v>0</v>
      </c>
      <c r="AK109" s="32">
        <f t="shared" si="5"/>
        <v>0</v>
      </c>
      <c r="AL109" s="32">
        <f t="shared" si="5"/>
        <v>0</v>
      </c>
    </row>
    <row r="110" spans="1:38" x14ac:dyDescent="0.2">
      <c r="B110" s="32">
        <v>1</v>
      </c>
      <c r="C110" s="32">
        <v>1</v>
      </c>
      <c r="D110" s="32">
        <v>1</v>
      </c>
      <c r="E110" s="32">
        <f>FPS!DK3</f>
        <v>0</v>
      </c>
      <c r="F110" s="32">
        <f>FPS!DK4</f>
        <v>0</v>
      </c>
      <c r="G110" s="32">
        <f>FPS!DK5</f>
        <v>0</v>
      </c>
      <c r="H110" s="32">
        <f>FPS!DK6</f>
        <v>0</v>
      </c>
      <c r="I110" s="32">
        <f>FPS!DK7</f>
        <v>0</v>
      </c>
      <c r="J110" s="32">
        <f>FPS!DK8</f>
        <v>0</v>
      </c>
      <c r="K110" s="32">
        <f>FPS!DK9</f>
        <v>0</v>
      </c>
      <c r="L110" s="32">
        <f>FPS!DK10</f>
        <v>0</v>
      </c>
      <c r="M110" s="32">
        <f>FPS!DK11</f>
        <v>0</v>
      </c>
      <c r="N110" s="32">
        <f>FPS!DK12</f>
        <v>0</v>
      </c>
      <c r="O110" s="32">
        <f>FPS!DK13</f>
        <v>0</v>
      </c>
      <c r="P110" s="32">
        <f>FPS!DK14</f>
        <v>0</v>
      </c>
      <c r="Q110" s="32">
        <f>FPS!DK15</f>
        <v>0</v>
      </c>
      <c r="R110" s="32">
        <f>FPS!DK16</f>
        <v>0</v>
      </c>
      <c r="S110" s="32">
        <f>FPS!DK17</f>
        <v>0</v>
      </c>
      <c r="T110" s="32">
        <f>FPS!DK18</f>
        <v>0</v>
      </c>
      <c r="U110" s="32">
        <f>FPS!DK19</f>
        <v>0</v>
      </c>
      <c r="V110" s="32">
        <f>FPS!DK20</f>
        <v>0</v>
      </c>
      <c r="W110" s="32">
        <f>FPS!DK21</f>
        <v>0</v>
      </c>
      <c r="X110" s="32">
        <f>FPS!DK22</f>
        <v>0</v>
      </c>
      <c r="Y110" s="32">
        <f>FPS!DK23</f>
        <v>0</v>
      </c>
      <c r="Z110" s="32">
        <f>FPS!DK24</f>
        <v>0</v>
      </c>
      <c r="AA110" s="32">
        <f>FPS!DK25</f>
        <v>0</v>
      </c>
      <c r="AB110" s="32">
        <f>FPS!DK26</f>
        <v>0</v>
      </c>
      <c r="AC110" s="32">
        <f>FPS!DK27</f>
        <v>0</v>
      </c>
      <c r="AD110" s="32">
        <f>FPS!DK28</f>
        <v>0</v>
      </c>
      <c r="AE110" s="32">
        <f>FPS!DK29</f>
        <v>0</v>
      </c>
      <c r="AF110" s="32">
        <f>FPS!DK30</f>
        <v>0</v>
      </c>
      <c r="AG110" s="32">
        <f>FPS!DK31</f>
        <v>0</v>
      </c>
      <c r="AH110" s="32">
        <f>FPS!DK32</f>
        <v>0</v>
      </c>
      <c r="AI110" s="32">
        <f>FPS!DK33</f>
        <v>0</v>
      </c>
      <c r="AJ110" s="32">
        <f t="shared" si="5"/>
        <v>0</v>
      </c>
      <c r="AK110" s="32">
        <f t="shared" si="5"/>
        <v>0</v>
      </c>
      <c r="AL110" s="32">
        <f t="shared" si="5"/>
        <v>0</v>
      </c>
    </row>
    <row r="111" spans="1:38" x14ac:dyDescent="0.2">
      <c r="B111" s="32">
        <v>1</v>
      </c>
      <c r="C111" s="32">
        <v>1</v>
      </c>
      <c r="D111" s="32">
        <v>1</v>
      </c>
      <c r="E111" s="32">
        <f>FPS!DL3</f>
        <v>0</v>
      </c>
      <c r="F111" s="32">
        <f>FPS!DL4</f>
        <v>0</v>
      </c>
      <c r="G111" s="32">
        <f>FPS!DL5</f>
        <v>0</v>
      </c>
      <c r="H111" s="32">
        <f>FPS!DL6</f>
        <v>0</v>
      </c>
      <c r="I111" s="32">
        <f>FPS!DL7</f>
        <v>0</v>
      </c>
      <c r="J111" s="32">
        <f>FPS!DL8</f>
        <v>0</v>
      </c>
      <c r="K111" s="32">
        <f>FPS!DL9</f>
        <v>0</v>
      </c>
      <c r="L111" s="32">
        <f>FPS!DL10</f>
        <v>0</v>
      </c>
      <c r="M111" s="32">
        <f>FPS!DL11</f>
        <v>0</v>
      </c>
      <c r="N111" s="32">
        <f>FPS!DL12</f>
        <v>0</v>
      </c>
      <c r="O111" s="32">
        <f>FPS!DL13</f>
        <v>0</v>
      </c>
      <c r="P111" s="32">
        <f>FPS!DL14</f>
        <v>0</v>
      </c>
      <c r="Q111" s="32">
        <f>FPS!DL15</f>
        <v>0</v>
      </c>
      <c r="R111" s="32">
        <f>FPS!DL16</f>
        <v>0</v>
      </c>
      <c r="S111" s="32">
        <f>FPS!DL17</f>
        <v>0</v>
      </c>
      <c r="T111" s="32">
        <f>FPS!DL18</f>
        <v>0</v>
      </c>
      <c r="U111" s="32">
        <f>FPS!DL19</f>
        <v>0</v>
      </c>
      <c r="V111" s="32">
        <f>FPS!DL20</f>
        <v>0</v>
      </c>
      <c r="W111" s="32">
        <f>FPS!DL21</f>
        <v>0</v>
      </c>
      <c r="X111" s="32">
        <f>FPS!DL22</f>
        <v>0</v>
      </c>
      <c r="Y111" s="32">
        <f>FPS!DL23</f>
        <v>0</v>
      </c>
      <c r="Z111" s="32">
        <f>FPS!DL24</f>
        <v>0</v>
      </c>
      <c r="AA111" s="32">
        <f>FPS!DL25</f>
        <v>0</v>
      </c>
      <c r="AB111" s="32">
        <f>FPS!DL26</f>
        <v>0</v>
      </c>
      <c r="AC111" s="32">
        <f>FPS!DL27</f>
        <v>0</v>
      </c>
      <c r="AD111" s="32">
        <f>FPS!DL28</f>
        <v>0</v>
      </c>
      <c r="AE111" s="32">
        <f>FPS!DL29</f>
        <v>0</v>
      </c>
      <c r="AF111" s="32">
        <f>FPS!DL30</f>
        <v>0</v>
      </c>
      <c r="AG111" s="32">
        <f>FPS!DL31</f>
        <v>0</v>
      </c>
      <c r="AH111" s="32">
        <f>FPS!DL32</f>
        <v>0</v>
      </c>
      <c r="AI111" s="32">
        <f>FPS!DL33</f>
        <v>0</v>
      </c>
      <c r="AJ111" s="32">
        <f t="shared" si="5"/>
        <v>0</v>
      </c>
      <c r="AK111" s="32">
        <f t="shared" si="5"/>
        <v>0</v>
      </c>
      <c r="AL111" s="32">
        <f t="shared" si="5"/>
        <v>0</v>
      </c>
    </row>
    <row r="112" spans="1:38" x14ac:dyDescent="0.2">
      <c r="B112" s="32">
        <v>1</v>
      </c>
      <c r="C112" s="32">
        <v>1</v>
      </c>
      <c r="D112" s="32">
        <v>1</v>
      </c>
      <c r="E112" s="32">
        <f>FPS!DM3</f>
        <v>0</v>
      </c>
      <c r="F112" s="32">
        <f>FPS!DM4</f>
        <v>0</v>
      </c>
      <c r="G112" s="32">
        <f>FPS!DM5</f>
        <v>0</v>
      </c>
      <c r="H112" s="32">
        <f>FPS!DM6</f>
        <v>0</v>
      </c>
      <c r="I112" s="32">
        <f>FPS!DM7</f>
        <v>0</v>
      </c>
      <c r="J112" s="32">
        <f>FPS!DM8</f>
        <v>0</v>
      </c>
      <c r="K112" s="32">
        <f>FPS!DM9</f>
        <v>0</v>
      </c>
      <c r="L112" s="32">
        <f>FPS!DM10</f>
        <v>0</v>
      </c>
      <c r="M112" s="32">
        <f>FPS!DM11</f>
        <v>0</v>
      </c>
      <c r="N112" s="32">
        <f>FPS!DM12</f>
        <v>0</v>
      </c>
      <c r="O112" s="32">
        <f>FPS!DM13</f>
        <v>0</v>
      </c>
      <c r="P112" s="32">
        <f>FPS!DM14</f>
        <v>0</v>
      </c>
      <c r="Q112" s="32">
        <f>FPS!DM15</f>
        <v>0</v>
      </c>
      <c r="R112" s="32">
        <f>FPS!DM16</f>
        <v>0</v>
      </c>
      <c r="S112" s="32">
        <f>FPS!DM17</f>
        <v>0</v>
      </c>
      <c r="T112" s="32">
        <f>FPS!DM18</f>
        <v>0</v>
      </c>
      <c r="U112" s="32">
        <f>FPS!DM19</f>
        <v>0</v>
      </c>
      <c r="V112" s="32">
        <f>FPS!DM20</f>
        <v>0</v>
      </c>
      <c r="W112" s="32">
        <f>FPS!DM21</f>
        <v>0</v>
      </c>
      <c r="X112" s="32">
        <f>FPS!DM22</f>
        <v>0</v>
      </c>
      <c r="Y112" s="32">
        <f>FPS!DM23</f>
        <v>0</v>
      </c>
      <c r="Z112" s="32">
        <f>FPS!DM24</f>
        <v>0</v>
      </c>
      <c r="AA112" s="32">
        <f>FPS!DM25</f>
        <v>0</v>
      </c>
      <c r="AB112" s="32">
        <f>FPS!DM26</f>
        <v>0</v>
      </c>
      <c r="AC112" s="32">
        <f>FPS!DM27</f>
        <v>0</v>
      </c>
      <c r="AD112" s="32">
        <f>FPS!DM28</f>
        <v>0</v>
      </c>
      <c r="AE112" s="32">
        <f>FPS!DM29</f>
        <v>0</v>
      </c>
      <c r="AF112" s="32">
        <f>FPS!DM30</f>
        <v>0</v>
      </c>
      <c r="AG112" s="32">
        <f>FPS!DM31</f>
        <v>0</v>
      </c>
      <c r="AH112" s="32">
        <f>FPS!DM32</f>
        <v>0</v>
      </c>
      <c r="AI112" s="32">
        <f>FPS!DM33</f>
        <v>0</v>
      </c>
      <c r="AJ112" s="32">
        <f t="shared" si="5"/>
        <v>0</v>
      </c>
      <c r="AK112" s="32">
        <f t="shared" si="5"/>
        <v>0</v>
      </c>
      <c r="AL112" s="32">
        <f t="shared" si="5"/>
        <v>0</v>
      </c>
    </row>
    <row r="113" spans="1:38" x14ac:dyDescent="0.2">
      <c r="A113" s="23">
        <v>30</v>
      </c>
      <c r="B113" s="32">
        <v>1</v>
      </c>
      <c r="C113" s="32">
        <v>1</v>
      </c>
      <c r="D113" s="32">
        <v>1</v>
      </c>
      <c r="E113" s="32">
        <f>FPS!DN3</f>
        <v>0</v>
      </c>
      <c r="F113" s="32">
        <f>FPS!DN4</f>
        <v>0</v>
      </c>
      <c r="G113" s="32">
        <f>FPS!DN5</f>
        <v>0</v>
      </c>
      <c r="H113" s="32">
        <f>FPS!DN6</f>
        <v>0</v>
      </c>
      <c r="I113" s="32">
        <f>FPS!DN7</f>
        <v>0</v>
      </c>
      <c r="J113" s="32">
        <f>FPS!DN8</f>
        <v>0</v>
      </c>
      <c r="K113" s="32">
        <f>FPS!DN9</f>
        <v>0</v>
      </c>
      <c r="L113" s="32">
        <f>FPS!DN10</f>
        <v>0</v>
      </c>
      <c r="M113" s="32">
        <f>FPS!DN11</f>
        <v>0</v>
      </c>
      <c r="N113" s="32">
        <f>FPS!DN12</f>
        <v>0</v>
      </c>
      <c r="O113" s="32">
        <f>FPS!DN13</f>
        <v>0</v>
      </c>
      <c r="P113" s="32">
        <f>FPS!DN14</f>
        <v>0</v>
      </c>
      <c r="Q113" s="32">
        <f>FPS!DN15</f>
        <v>0</v>
      </c>
      <c r="R113" s="32">
        <f>FPS!DN16</f>
        <v>0</v>
      </c>
      <c r="S113" s="32">
        <f>FPS!DN17</f>
        <v>0</v>
      </c>
      <c r="T113" s="32">
        <f>FPS!DN18</f>
        <v>0</v>
      </c>
      <c r="U113" s="32">
        <f>FPS!DN19</f>
        <v>0</v>
      </c>
      <c r="V113" s="32">
        <f>FPS!DN20</f>
        <v>0</v>
      </c>
      <c r="W113" s="32">
        <f>FPS!DN21</f>
        <v>0</v>
      </c>
      <c r="X113" s="32">
        <f>FPS!DN22</f>
        <v>0</v>
      </c>
      <c r="Y113" s="32">
        <f>FPS!DN23</f>
        <v>0</v>
      </c>
      <c r="Z113" s="32">
        <f>FPS!DN24</f>
        <v>0</v>
      </c>
      <c r="AA113" s="32">
        <f>FPS!DN25</f>
        <v>0</v>
      </c>
      <c r="AB113" s="32">
        <f>FPS!DN26</f>
        <v>0</v>
      </c>
      <c r="AC113" s="32">
        <f>FPS!DN27</f>
        <v>0</v>
      </c>
      <c r="AD113" s="32">
        <f>FPS!DN28</f>
        <v>0</v>
      </c>
      <c r="AE113" s="32">
        <f>FPS!DN29</f>
        <v>0</v>
      </c>
      <c r="AF113" s="32">
        <f>FPS!DN30</f>
        <v>0</v>
      </c>
      <c r="AG113" s="32">
        <f>FPS!DN31</f>
        <v>0</v>
      </c>
      <c r="AH113" s="32">
        <f>FPS!DN32</f>
        <v>0</v>
      </c>
      <c r="AI113" s="32">
        <f>FPS!DN33</f>
        <v>0</v>
      </c>
      <c r="AJ113" s="32">
        <f t="shared" si="5"/>
        <v>0</v>
      </c>
      <c r="AK113" s="32">
        <f t="shared" si="5"/>
        <v>0</v>
      </c>
      <c r="AL113" s="32">
        <f t="shared" si="5"/>
        <v>0</v>
      </c>
    </row>
    <row r="114" spans="1:38" x14ac:dyDescent="0.2">
      <c r="B114" s="32">
        <v>1</v>
      </c>
      <c r="C114" s="32">
        <v>1</v>
      </c>
      <c r="D114" s="32">
        <v>1</v>
      </c>
      <c r="E114" s="32">
        <f>FPS!DO3</f>
        <v>0</v>
      </c>
      <c r="F114" s="32">
        <f>FPS!DO4</f>
        <v>0</v>
      </c>
      <c r="G114" s="32">
        <f>FPS!DO5</f>
        <v>0</v>
      </c>
      <c r="H114" s="32">
        <f>FPS!DO6</f>
        <v>0</v>
      </c>
      <c r="I114" s="32">
        <f>FPS!DO7</f>
        <v>0</v>
      </c>
      <c r="J114" s="32">
        <f>FPS!DO8</f>
        <v>0</v>
      </c>
      <c r="K114" s="32">
        <f>FPS!DO9</f>
        <v>0</v>
      </c>
      <c r="L114" s="32">
        <f>FPS!DO10</f>
        <v>0</v>
      </c>
      <c r="M114" s="32">
        <f>FPS!DO11</f>
        <v>0</v>
      </c>
      <c r="N114" s="32">
        <f>FPS!DO12</f>
        <v>0</v>
      </c>
      <c r="O114" s="32">
        <f>FPS!DO13</f>
        <v>0</v>
      </c>
      <c r="P114" s="32">
        <f>FPS!DO14</f>
        <v>0</v>
      </c>
      <c r="Q114" s="32">
        <f>FPS!DO15</f>
        <v>0</v>
      </c>
      <c r="R114" s="32">
        <f>FPS!DO16</f>
        <v>0</v>
      </c>
      <c r="S114" s="32">
        <f>FPS!DO17</f>
        <v>0</v>
      </c>
      <c r="T114" s="32">
        <f>FPS!DO18</f>
        <v>0</v>
      </c>
      <c r="U114" s="32">
        <f>FPS!DO19</f>
        <v>0</v>
      </c>
      <c r="V114" s="32">
        <f>FPS!DO20</f>
        <v>0</v>
      </c>
      <c r="W114" s="32">
        <f>FPS!DO21</f>
        <v>0</v>
      </c>
      <c r="X114" s="32">
        <f>FPS!DO22</f>
        <v>0</v>
      </c>
      <c r="Y114" s="32">
        <f>FPS!DO23</f>
        <v>0</v>
      </c>
      <c r="Z114" s="32">
        <f>FPS!DO24</f>
        <v>0</v>
      </c>
      <c r="AA114" s="32">
        <f>FPS!DO25</f>
        <v>0</v>
      </c>
      <c r="AB114" s="32">
        <f>FPS!DO26</f>
        <v>0</v>
      </c>
      <c r="AC114" s="32">
        <f>FPS!DO27</f>
        <v>0</v>
      </c>
      <c r="AD114" s="32">
        <f>FPS!DO28</f>
        <v>0</v>
      </c>
      <c r="AE114" s="32">
        <f>FPS!DO29</f>
        <v>0</v>
      </c>
      <c r="AF114" s="32">
        <f>FPS!DO30</f>
        <v>0</v>
      </c>
      <c r="AG114" s="32">
        <f>FPS!DO31</f>
        <v>0</v>
      </c>
      <c r="AH114" s="32">
        <f>FPS!DO32</f>
        <v>0</v>
      </c>
      <c r="AI114" s="32">
        <f>FPS!DO33</f>
        <v>0</v>
      </c>
      <c r="AJ114" s="32">
        <f t="shared" si="5"/>
        <v>0</v>
      </c>
      <c r="AK114" s="32">
        <f t="shared" si="5"/>
        <v>0</v>
      </c>
      <c r="AL114" s="32">
        <f t="shared" si="5"/>
        <v>0</v>
      </c>
    </row>
    <row r="115" spans="1:38" x14ac:dyDescent="0.2">
      <c r="B115" s="32">
        <v>1</v>
      </c>
      <c r="C115" s="32">
        <v>1</v>
      </c>
      <c r="D115" s="32">
        <v>1</v>
      </c>
      <c r="E115" s="32">
        <f>FPS!DP3</f>
        <v>0</v>
      </c>
      <c r="F115" s="32">
        <f>FPS!DP4</f>
        <v>0</v>
      </c>
      <c r="G115" s="32">
        <f>FPS!DP5</f>
        <v>0</v>
      </c>
      <c r="H115" s="32">
        <f>FPS!DP6</f>
        <v>0</v>
      </c>
      <c r="I115" s="32">
        <f>FPS!DP7</f>
        <v>0</v>
      </c>
      <c r="J115" s="32">
        <f>FPS!DP8</f>
        <v>0</v>
      </c>
      <c r="K115" s="32">
        <f>FPS!DP9</f>
        <v>0</v>
      </c>
      <c r="L115" s="32">
        <f>FPS!DP10</f>
        <v>0</v>
      </c>
      <c r="M115" s="32">
        <f>FPS!DP11</f>
        <v>0</v>
      </c>
      <c r="N115" s="32">
        <f>FPS!DP12</f>
        <v>0</v>
      </c>
      <c r="O115" s="32">
        <f>FPS!DP13</f>
        <v>0</v>
      </c>
      <c r="P115" s="32">
        <f>FPS!DP14</f>
        <v>0</v>
      </c>
      <c r="Q115" s="32">
        <f>FPS!DP15</f>
        <v>0</v>
      </c>
      <c r="R115" s="32">
        <f>FPS!DP16</f>
        <v>0</v>
      </c>
      <c r="S115" s="32">
        <f>FPS!DP17</f>
        <v>0</v>
      </c>
      <c r="T115" s="32">
        <f>FPS!DP18</f>
        <v>0</v>
      </c>
      <c r="U115" s="32">
        <f>FPS!DP19</f>
        <v>0</v>
      </c>
      <c r="V115" s="32">
        <f>FPS!DP20</f>
        <v>0</v>
      </c>
      <c r="W115" s="32">
        <f>FPS!DP21</f>
        <v>0</v>
      </c>
      <c r="X115" s="32">
        <f>FPS!DP22</f>
        <v>0</v>
      </c>
      <c r="Y115" s="32">
        <f>FPS!DP23</f>
        <v>0</v>
      </c>
      <c r="Z115" s="32">
        <f>FPS!DP24</f>
        <v>0</v>
      </c>
      <c r="AA115" s="32">
        <f>FPS!DP25</f>
        <v>0</v>
      </c>
      <c r="AB115" s="32">
        <f>FPS!DP26</f>
        <v>0</v>
      </c>
      <c r="AC115" s="32">
        <f>FPS!DP27</f>
        <v>0</v>
      </c>
      <c r="AD115" s="32">
        <f>FPS!DP28</f>
        <v>0</v>
      </c>
      <c r="AE115" s="32">
        <f>FPS!DP29</f>
        <v>0</v>
      </c>
      <c r="AF115" s="32">
        <f>FPS!DP30</f>
        <v>0</v>
      </c>
      <c r="AG115" s="32">
        <f>FPS!DP31</f>
        <v>0</v>
      </c>
      <c r="AH115" s="32">
        <f>FPS!DP32</f>
        <v>0</v>
      </c>
      <c r="AI115" s="32">
        <f>FPS!DP33</f>
        <v>0</v>
      </c>
      <c r="AJ115" s="32">
        <f t="shared" si="5"/>
        <v>0</v>
      </c>
      <c r="AK115" s="32">
        <f t="shared" si="5"/>
        <v>0</v>
      </c>
      <c r="AL115" s="32">
        <f t="shared" si="5"/>
        <v>0</v>
      </c>
    </row>
    <row r="116" spans="1:38" x14ac:dyDescent="0.2">
      <c r="B116" s="32">
        <v>1</v>
      </c>
      <c r="C116" s="32">
        <v>1</v>
      </c>
      <c r="D116" s="32">
        <v>1</v>
      </c>
      <c r="E116" s="32">
        <f>FPS!DQ3</f>
        <v>0</v>
      </c>
      <c r="F116" s="32">
        <f>FPS!DQ4</f>
        <v>0</v>
      </c>
      <c r="G116" s="32">
        <f>FPS!DQ5</f>
        <v>0</v>
      </c>
      <c r="H116" s="32">
        <f>FPS!DQ6</f>
        <v>0</v>
      </c>
      <c r="I116" s="32">
        <f>FPS!DQ7</f>
        <v>0</v>
      </c>
      <c r="J116" s="32">
        <f>FPS!DQ8</f>
        <v>0</v>
      </c>
      <c r="K116" s="32">
        <f>FPS!DQ9</f>
        <v>0</v>
      </c>
      <c r="L116" s="32">
        <f>FPS!DQ10</f>
        <v>0</v>
      </c>
      <c r="M116" s="32">
        <f>FPS!DQ11</f>
        <v>0</v>
      </c>
      <c r="N116" s="32">
        <f>FPS!DQ12</f>
        <v>0</v>
      </c>
      <c r="O116" s="32">
        <f>FPS!DQ13</f>
        <v>0</v>
      </c>
      <c r="P116" s="32">
        <f>FPS!DQ14</f>
        <v>0</v>
      </c>
      <c r="Q116" s="32">
        <f>FPS!DQ15</f>
        <v>0</v>
      </c>
      <c r="R116" s="32">
        <f>FPS!DQ16</f>
        <v>0</v>
      </c>
      <c r="S116" s="32">
        <f>FPS!DQ17</f>
        <v>0</v>
      </c>
      <c r="T116" s="32">
        <f>FPS!DQ18</f>
        <v>0</v>
      </c>
      <c r="U116" s="32">
        <f>FPS!DQ19</f>
        <v>0</v>
      </c>
      <c r="V116" s="32">
        <f>FPS!DQ20</f>
        <v>0</v>
      </c>
      <c r="W116" s="32">
        <f>FPS!DQ21</f>
        <v>0</v>
      </c>
      <c r="X116" s="32">
        <f>FPS!DQ22</f>
        <v>0</v>
      </c>
      <c r="Y116" s="32">
        <f>FPS!DQ23</f>
        <v>0</v>
      </c>
      <c r="Z116" s="32">
        <f>FPS!DQ24</f>
        <v>0</v>
      </c>
      <c r="AA116" s="32">
        <f>FPS!DQ25</f>
        <v>0</v>
      </c>
      <c r="AB116" s="32">
        <f>FPS!DQ26</f>
        <v>0</v>
      </c>
      <c r="AC116" s="32">
        <f>FPS!DQ27</f>
        <v>0</v>
      </c>
      <c r="AD116" s="32">
        <f>FPS!DQ28</f>
        <v>0</v>
      </c>
      <c r="AE116" s="32">
        <f>FPS!DQ29</f>
        <v>0</v>
      </c>
      <c r="AF116" s="32">
        <f>FPS!DQ30</f>
        <v>0</v>
      </c>
      <c r="AG116" s="32">
        <f>FPS!DQ31</f>
        <v>0</v>
      </c>
      <c r="AH116" s="32">
        <f>FPS!DQ32</f>
        <v>0</v>
      </c>
      <c r="AI116" s="32">
        <f>FPS!DQ33</f>
        <v>0</v>
      </c>
      <c r="AJ116" s="32">
        <f t="shared" si="5"/>
        <v>0</v>
      </c>
      <c r="AK116" s="32">
        <f t="shared" si="5"/>
        <v>0</v>
      </c>
      <c r="AL116" s="32">
        <f t="shared" si="5"/>
        <v>0</v>
      </c>
    </row>
    <row r="117" spans="1:38" x14ac:dyDescent="0.2">
      <c r="W117" s="32"/>
      <c r="X117" s="32"/>
      <c r="Y117" s="32"/>
      <c r="AB117" s="32"/>
      <c r="AC117" s="32"/>
      <c r="AD117" s="32"/>
      <c r="AE117" s="32"/>
      <c r="AF117" s="32"/>
      <c r="AG117" s="32"/>
      <c r="AH117" s="32"/>
      <c r="AI117" s="32"/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21"/>
  <sheetViews>
    <sheetView workbookViewId="0">
      <selection activeCell="F12" sqref="F12"/>
    </sheetView>
  </sheetViews>
  <sheetFormatPr defaultRowHeight="12.75" x14ac:dyDescent="0.2"/>
  <sheetData>
    <row r="1" spans="1:38" x14ac:dyDescent="0.2">
      <c r="A1">
        <v>79</v>
      </c>
      <c r="B1">
        <v>80</v>
      </c>
      <c r="C1">
        <v>81</v>
      </c>
      <c r="D1">
        <v>82</v>
      </c>
      <c r="E1">
        <v>83</v>
      </c>
      <c r="F1">
        <v>84</v>
      </c>
      <c r="G1">
        <v>85</v>
      </c>
      <c r="H1">
        <v>86</v>
      </c>
      <c r="I1">
        <v>87</v>
      </c>
      <c r="J1">
        <v>88</v>
      </c>
      <c r="K1">
        <v>89</v>
      </c>
      <c r="L1">
        <v>90</v>
      </c>
      <c r="M1">
        <v>91</v>
      </c>
      <c r="N1">
        <v>92</v>
      </c>
      <c r="O1">
        <v>93</v>
      </c>
      <c r="P1">
        <v>94</v>
      </c>
      <c r="Q1">
        <v>95</v>
      </c>
      <c r="R1">
        <v>96</v>
      </c>
      <c r="S1">
        <v>97</v>
      </c>
      <c r="T1">
        <v>98</v>
      </c>
      <c r="U1">
        <v>99</v>
      </c>
      <c r="V1">
        <v>0</v>
      </c>
      <c r="W1">
        <v>1</v>
      </c>
      <c r="X1">
        <v>2</v>
      </c>
      <c r="Y1">
        <v>3</v>
      </c>
      <c r="Z1">
        <v>4</v>
      </c>
      <c r="AA1">
        <v>5</v>
      </c>
      <c r="AB1">
        <v>6</v>
      </c>
      <c r="AC1">
        <v>7</v>
      </c>
      <c r="AD1">
        <v>8</v>
      </c>
      <c r="AE1">
        <v>9</v>
      </c>
      <c r="AF1">
        <v>10</v>
      </c>
      <c r="AG1">
        <v>11</v>
      </c>
      <c r="AH1">
        <v>12</v>
      </c>
      <c r="AI1">
        <v>13</v>
      </c>
      <c r="AJ1">
        <v>14</v>
      </c>
      <c r="AK1">
        <v>15</v>
      </c>
    </row>
    <row r="2" spans="1:38" x14ac:dyDescent="0.2">
      <c r="A2">
        <v>0</v>
      </c>
      <c r="B2">
        <v>1</v>
      </c>
      <c r="C2">
        <v>1</v>
      </c>
      <c r="D2">
        <v>1</v>
      </c>
      <c r="E2">
        <v>1</v>
      </c>
      <c r="F2">
        <v>0.93659899999999996</v>
      </c>
      <c r="G2">
        <v>0.92793599999999998</v>
      </c>
      <c r="H2">
        <v>0.90386500000000003</v>
      </c>
      <c r="I2">
        <v>0.73087500000000005</v>
      </c>
      <c r="J2">
        <v>0.71733499999999994</v>
      </c>
      <c r="K2">
        <v>0.64558800000000005</v>
      </c>
      <c r="L2">
        <v>0.65287700000000004</v>
      </c>
      <c r="M2">
        <v>0.56965100000000002</v>
      </c>
      <c r="N2">
        <v>0.62776900000000002</v>
      </c>
      <c r="O2">
        <v>0.43504100000000001</v>
      </c>
      <c r="P2">
        <v>0.499164</v>
      </c>
      <c r="Q2">
        <v>0.59591300000000003</v>
      </c>
      <c r="R2">
        <v>0.25400800000000001</v>
      </c>
      <c r="S2">
        <v>0</v>
      </c>
      <c r="T2">
        <v>0.201487</v>
      </c>
      <c r="U2">
        <v>0.37506400000000001</v>
      </c>
      <c r="V2">
        <v>0.29823699999999997</v>
      </c>
      <c r="W2">
        <v>8.4414000000000003E-2</v>
      </c>
      <c r="X2">
        <v>7.8909000000000007E-2</v>
      </c>
      <c r="Y2">
        <v>0.29974699999999999</v>
      </c>
      <c r="Z2">
        <v>0.20691100000000001</v>
      </c>
      <c r="AA2">
        <v>0.269237</v>
      </c>
      <c r="AB2">
        <v>0.37848700000000002</v>
      </c>
      <c r="AC2">
        <v>0.381023</v>
      </c>
      <c r="AD2">
        <v>0.356512</v>
      </c>
      <c r="AE2">
        <v>0.25494499999999998</v>
      </c>
      <c r="AF2">
        <v>0.52383000000000002</v>
      </c>
      <c r="AG2">
        <v>0.31394</v>
      </c>
      <c r="AH2">
        <v>0.294348</v>
      </c>
      <c r="AI2">
        <v>0.34784100000000001</v>
      </c>
      <c r="AJ2">
        <v>0.318709666666667</v>
      </c>
      <c r="AK2">
        <v>0.318709666666667</v>
      </c>
      <c r="AL2">
        <v>0.318709666666667</v>
      </c>
    </row>
    <row r="3" spans="1:38" x14ac:dyDescent="0.2">
      <c r="B3">
        <v>1</v>
      </c>
      <c r="C3">
        <v>1</v>
      </c>
      <c r="D3">
        <v>1</v>
      </c>
      <c r="E3">
        <v>1</v>
      </c>
      <c r="F3">
        <v>0.93659899999999996</v>
      </c>
      <c r="G3">
        <v>0.92793599999999998</v>
      </c>
      <c r="H3">
        <v>0.90386500000000003</v>
      </c>
      <c r="I3">
        <v>0.73087500000000005</v>
      </c>
      <c r="J3">
        <v>0.71733499999999994</v>
      </c>
      <c r="K3">
        <v>0.64558800000000005</v>
      </c>
      <c r="L3">
        <v>0.65287700000000004</v>
      </c>
      <c r="M3">
        <v>0.56965100000000002</v>
      </c>
      <c r="N3">
        <v>0.62776900000000002</v>
      </c>
      <c r="O3">
        <v>0.43504100000000001</v>
      </c>
      <c r="P3">
        <v>0.499164</v>
      </c>
      <c r="Q3">
        <v>0.59591300000000003</v>
      </c>
      <c r="R3">
        <v>0.25400800000000001</v>
      </c>
      <c r="S3">
        <v>0</v>
      </c>
      <c r="T3">
        <v>0.201487</v>
      </c>
      <c r="U3">
        <v>0.37506400000000001</v>
      </c>
      <c r="V3">
        <v>0.29823699999999997</v>
      </c>
      <c r="W3">
        <v>8.4414000000000003E-2</v>
      </c>
      <c r="X3">
        <v>7.8909000000000007E-2</v>
      </c>
      <c r="Y3">
        <v>0.29974699999999999</v>
      </c>
      <c r="Z3">
        <v>0.20691100000000001</v>
      </c>
      <c r="AA3">
        <v>0.269237</v>
      </c>
      <c r="AB3">
        <v>0.37848700000000002</v>
      </c>
      <c r="AC3">
        <v>0.381023</v>
      </c>
      <c r="AD3">
        <v>0.356512</v>
      </c>
      <c r="AE3">
        <v>0.25494499999999998</v>
      </c>
      <c r="AF3">
        <v>0.52383000000000002</v>
      </c>
      <c r="AG3">
        <v>0.31394</v>
      </c>
      <c r="AH3">
        <v>0.294348</v>
      </c>
      <c r="AI3">
        <v>0.34784100000000001</v>
      </c>
      <c r="AJ3">
        <v>0.318709666666667</v>
      </c>
      <c r="AK3">
        <v>0.318709666666667</v>
      </c>
      <c r="AL3">
        <v>0.318709666666667</v>
      </c>
    </row>
    <row r="4" spans="1:38" x14ac:dyDescent="0.2">
      <c r="B4">
        <v>1</v>
      </c>
      <c r="C4">
        <v>1</v>
      </c>
      <c r="D4">
        <v>1</v>
      </c>
      <c r="E4">
        <v>1</v>
      </c>
      <c r="F4">
        <v>0.93659899999999996</v>
      </c>
      <c r="G4">
        <v>0.92793599999999998</v>
      </c>
      <c r="H4">
        <v>0.90386500000000003</v>
      </c>
      <c r="I4">
        <v>0.73087500000000005</v>
      </c>
      <c r="J4">
        <v>0.71733499999999994</v>
      </c>
      <c r="K4">
        <v>0.64558800000000005</v>
      </c>
      <c r="L4">
        <v>0.65287700000000004</v>
      </c>
      <c r="M4">
        <v>0.56965100000000002</v>
      </c>
      <c r="N4">
        <v>0.62776900000000002</v>
      </c>
      <c r="O4">
        <v>0.43504100000000001</v>
      </c>
      <c r="P4">
        <v>0.499164</v>
      </c>
      <c r="Q4">
        <v>0.59591300000000003</v>
      </c>
      <c r="R4">
        <v>0.25400800000000001</v>
      </c>
      <c r="S4">
        <v>0</v>
      </c>
      <c r="T4">
        <v>0.201487</v>
      </c>
      <c r="U4">
        <v>0.37506400000000001</v>
      </c>
      <c r="V4">
        <v>0.29823699999999997</v>
      </c>
      <c r="W4">
        <v>8.4414000000000003E-2</v>
      </c>
      <c r="X4">
        <v>7.8909000000000007E-2</v>
      </c>
      <c r="Y4">
        <v>0.29974699999999999</v>
      </c>
      <c r="Z4">
        <v>0.20691100000000001</v>
      </c>
      <c r="AA4">
        <v>0.269237</v>
      </c>
      <c r="AB4">
        <v>0.37848700000000002</v>
      </c>
      <c r="AC4">
        <v>0.381023</v>
      </c>
      <c r="AD4">
        <v>0.356512</v>
      </c>
      <c r="AE4">
        <v>0.25494499999999998</v>
      </c>
      <c r="AF4">
        <v>0.52383000000000002</v>
      </c>
      <c r="AG4">
        <v>0.31394</v>
      </c>
      <c r="AH4">
        <v>0.294348</v>
      </c>
      <c r="AI4">
        <v>0.34784100000000001</v>
      </c>
      <c r="AJ4">
        <v>0.318709666666667</v>
      </c>
      <c r="AK4">
        <v>0.318709666666667</v>
      </c>
      <c r="AL4">
        <v>0.318709666666667</v>
      </c>
    </row>
    <row r="5" spans="1:38" x14ac:dyDescent="0.2">
      <c r="B5">
        <v>1</v>
      </c>
      <c r="C5">
        <v>1</v>
      </c>
      <c r="D5">
        <v>1</v>
      </c>
      <c r="E5">
        <v>1</v>
      </c>
      <c r="F5">
        <v>0.93659899999999996</v>
      </c>
      <c r="G5">
        <v>0.92793599999999998</v>
      </c>
      <c r="H5">
        <v>0.90386500000000003</v>
      </c>
      <c r="I5">
        <v>0.73087500000000005</v>
      </c>
      <c r="J5">
        <v>0.71733499999999994</v>
      </c>
      <c r="K5">
        <v>0.64558800000000005</v>
      </c>
      <c r="L5">
        <v>0.65287700000000004</v>
      </c>
      <c r="M5">
        <v>0.56965100000000002</v>
      </c>
      <c r="N5">
        <v>0.62776900000000002</v>
      </c>
      <c r="O5">
        <v>0.43504100000000001</v>
      </c>
      <c r="P5">
        <v>0.499164</v>
      </c>
      <c r="Q5">
        <v>0.59591300000000003</v>
      </c>
      <c r="R5">
        <v>0.25400800000000001</v>
      </c>
      <c r="S5">
        <v>0</v>
      </c>
      <c r="T5">
        <v>0.201487</v>
      </c>
      <c r="U5">
        <v>0.37506400000000001</v>
      </c>
      <c r="V5">
        <v>0.29823699999999997</v>
      </c>
      <c r="W5">
        <v>8.4414000000000003E-2</v>
      </c>
      <c r="X5">
        <v>7.8909000000000007E-2</v>
      </c>
      <c r="Y5">
        <v>0.29974699999999999</v>
      </c>
      <c r="Z5">
        <v>0.20691100000000001</v>
      </c>
      <c r="AA5">
        <v>0.269237</v>
      </c>
      <c r="AB5">
        <v>0.37848700000000002</v>
      </c>
      <c r="AC5">
        <v>0.381023</v>
      </c>
      <c r="AD5">
        <v>0.356512</v>
      </c>
      <c r="AE5">
        <v>0.25494499999999998</v>
      </c>
      <c r="AF5">
        <v>0.52383000000000002</v>
      </c>
      <c r="AG5">
        <v>0.31394</v>
      </c>
      <c r="AH5">
        <v>0.294348</v>
      </c>
      <c r="AI5">
        <v>0.34784100000000001</v>
      </c>
      <c r="AJ5">
        <v>0.318709666666667</v>
      </c>
      <c r="AK5">
        <v>0.318709666666667</v>
      </c>
      <c r="AL5">
        <v>0.318709666666667</v>
      </c>
    </row>
    <row r="6" spans="1:38" x14ac:dyDescent="0.2">
      <c r="A6">
        <v>1</v>
      </c>
      <c r="B6">
        <v>1</v>
      </c>
      <c r="C6">
        <v>1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2">
      <c r="B7">
        <v>1</v>
      </c>
      <c r="C7">
        <v>1</v>
      </c>
      <c r="D7">
        <v>1</v>
      </c>
      <c r="E7">
        <v>1</v>
      </c>
      <c r="F7">
        <v>0.93659899999999996</v>
      </c>
      <c r="G7">
        <v>0.92793599999999998</v>
      </c>
      <c r="H7">
        <v>0.90386500000000003</v>
      </c>
      <c r="I7">
        <v>0.73087500000000005</v>
      </c>
      <c r="J7">
        <v>0.71733499999999994</v>
      </c>
      <c r="K7">
        <v>0.64558800000000005</v>
      </c>
      <c r="L7">
        <v>0.65287700000000004</v>
      </c>
      <c r="M7">
        <v>0.56965100000000002</v>
      </c>
      <c r="N7">
        <v>0.62776900000000002</v>
      </c>
      <c r="O7">
        <v>0.43504100000000001</v>
      </c>
      <c r="P7">
        <v>0.499164</v>
      </c>
      <c r="Q7">
        <v>0.59591300000000003</v>
      </c>
      <c r="R7">
        <v>0.25400800000000001</v>
      </c>
      <c r="S7">
        <v>0</v>
      </c>
      <c r="T7">
        <v>0.201487</v>
      </c>
      <c r="U7">
        <v>0.37506400000000001</v>
      </c>
      <c r="V7">
        <v>0.29823699999999997</v>
      </c>
      <c r="W7">
        <v>8.4414000000000003E-2</v>
      </c>
      <c r="X7">
        <v>7.8909000000000007E-2</v>
      </c>
      <c r="Y7">
        <v>0.29974699999999999</v>
      </c>
      <c r="Z7">
        <v>0.20691100000000001</v>
      </c>
      <c r="AA7">
        <v>0.269237</v>
      </c>
      <c r="AB7">
        <v>0.37848700000000002</v>
      </c>
      <c r="AC7">
        <v>0.381023</v>
      </c>
      <c r="AD7">
        <v>0.356512</v>
      </c>
      <c r="AE7">
        <v>0.25494499999999998</v>
      </c>
      <c r="AF7">
        <v>0.52383000000000002</v>
      </c>
      <c r="AG7">
        <v>0.31394</v>
      </c>
      <c r="AH7">
        <v>0.294348</v>
      </c>
      <c r="AI7">
        <v>0.34784100000000001</v>
      </c>
      <c r="AJ7">
        <v>0.318709666666667</v>
      </c>
      <c r="AK7">
        <v>0.318709666666667</v>
      </c>
      <c r="AL7">
        <v>0.318709666666667</v>
      </c>
    </row>
    <row r="8" spans="1:38" x14ac:dyDescent="0.2">
      <c r="B8">
        <v>1</v>
      </c>
      <c r="C8">
        <v>1</v>
      </c>
      <c r="D8">
        <v>1</v>
      </c>
      <c r="E8">
        <v>1</v>
      </c>
      <c r="F8">
        <v>0.93659899999999996</v>
      </c>
      <c r="G8">
        <v>0.92793599999999998</v>
      </c>
      <c r="H8">
        <v>0.90386500000000003</v>
      </c>
      <c r="I8">
        <v>0.73087500000000005</v>
      </c>
      <c r="J8">
        <v>0.71733499999999994</v>
      </c>
      <c r="K8">
        <v>0.64558800000000005</v>
      </c>
      <c r="L8">
        <v>0.65287700000000004</v>
      </c>
      <c r="M8">
        <v>0.56965100000000002</v>
      </c>
      <c r="N8">
        <v>0.62776900000000002</v>
      </c>
      <c r="O8">
        <v>0.43504100000000001</v>
      </c>
      <c r="P8">
        <v>0.499164</v>
      </c>
      <c r="Q8">
        <v>0.59591300000000003</v>
      </c>
      <c r="R8">
        <v>0.25400800000000001</v>
      </c>
      <c r="S8">
        <v>0</v>
      </c>
      <c r="T8">
        <v>0.201487</v>
      </c>
      <c r="U8">
        <v>0.37506400000000001</v>
      </c>
      <c r="V8">
        <v>0.29823699999999997</v>
      </c>
      <c r="W8">
        <v>8.4414000000000003E-2</v>
      </c>
      <c r="X8">
        <v>7.8909000000000007E-2</v>
      </c>
      <c r="Y8">
        <v>0.29974699999999999</v>
      </c>
      <c r="Z8">
        <v>0.20691100000000001</v>
      </c>
      <c r="AA8">
        <v>0.269237</v>
      </c>
      <c r="AB8">
        <v>0.37848700000000002</v>
      </c>
      <c r="AC8">
        <v>0.381023</v>
      </c>
      <c r="AD8">
        <v>0.356512</v>
      </c>
      <c r="AE8">
        <v>0.25494499999999998</v>
      </c>
      <c r="AF8">
        <v>0.52383000000000002</v>
      </c>
      <c r="AG8">
        <v>0.31394</v>
      </c>
      <c r="AH8">
        <v>0.294348</v>
      </c>
      <c r="AI8">
        <v>0.34784100000000001</v>
      </c>
      <c r="AJ8">
        <v>0.318709666666667</v>
      </c>
      <c r="AK8">
        <v>0.318709666666667</v>
      </c>
      <c r="AL8">
        <v>0.318709666666667</v>
      </c>
    </row>
    <row r="9" spans="1:38" x14ac:dyDescent="0.2">
      <c r="B9">
        <v>1</v>
      </c>
      <c r="C9">
        <v>1</v>
      </c>
      <c r="D9">
        <v>1</v>
      </c>
      <c r="E9">
        <v>1</v>
      </c>
      <c r="F9">
        <v>0.93659899999999996</v>
      </c>
      <c r="G9">
        <v>0.92793599999999998</v>
      </c>
      <c r="H9">
        <v>0.90386500000000003</v>
      </c>
      <c r="I9">
        <v>0.73087500000000005</v>
      </c>
      <c r="J9">
        <v>0.71733499999999994</v>
      </c>
      <c r="K9">
        <v>0.64558800000000005</v>
      </c>
      <c r="L9">
        <v>0.65287700000000004</v>
      </c>
      <c r="M9">
        <v>0.56965100000000002</v>
      </c>
      <c r="N9">
        <v>0.62776900000000002</v>
      </c>
      <c r="O9">
        <v>0.43504100000000001</v>
      </c>
      <c r="P9">
        <v>0.499164</v>
      </c>
      <c r="Q9">
        <v>0.59591300000000003</v>
      </c>
      <c r="R9">
        <v>0.25400800000000001</v>
      </c>
      <c r="S9">
        <v>0</v>
      </c>
      <c r="T9">
        <v>0.201487</v>
      </c>
      <c r="U9">
        <v>0.37506400000000001</v>
      </c>
      <c r="V9">
        <v>0.29823699999999997</v>
      </c>
      <c r="W9">
        <v>8.4414000000000003E-2</v>
      </c>
      <c r="X9">
        <v>7.8909000000000007E-2</v>
      </c>
      <c r="Y9">
        <v>0.29974699999999999</v>
      </c>
      <c r="Z9">
        <v>0.20691100000000001</v>
      </c>
      <c r="AA9">
        <v>0.269237</v>
      </c>
      <c r="AB9">
        <v>0.37848700000000002</v>
      </c>
      <c r="AC9">
        <v>0.381023</v>
      </c>
      <c r="AD9">
        <v>0.356512</v>
      </c>
      <c r="AE9">
        <v>0.25494499999999998</v>
      </c>
      <c r="AF9">
        <v>0.52383000000000002</v>
      </c>
      <c r="AG9">
        <v>0.31394</v>
      </c>
      <c r="AH9">
        <v>0.294348</v>
      </c>
      <c r="AI9">
        <v>0.34784100000000001</v>
      </c>
      <c r="AJ9">
        <v>0.318709666666667</v>
      </c>
      <c r="AK9">
        <v>0.318709666666667</v>
      </c>
      <c r="AL9">
        <v>0.318709666666667</v>
      </c>
    </row>
    <row r="10" spans="1:38" x14ac:dyDescent="0.2">
      <c r="A10">
        <v>2</v>
      </c>
      <c r="B10">
        <v>1</v>
      </c>
      <c r="C10">
        <v>1</v>
      </c>
      <c r="D10">
        <v>1</v>
      </c>
      <c r="E10">
        <v>1</v>
      </c>
      <c r="F10">
        <v>0.93659899999999996</v>
      </c>
      <c r="G10">
        <v>0.92793599999999998</v>
      </c>
      <c r="H10">
        <v>0.90386500000000003</v>
      </c>
      <c r="I10">
        <v>0.73087500000000005</v>
      </c>
      <c r="J10">
        <v>0.71733499999999994</v>
      </c>
      <c r="K10">
        <v>0.64558800000000005</v>
      </c>
      <c r="L10">
        <v>0.65287700000000004</v>
      </c>
      <c r="M10">
        <v>0.56965100000000002</v>
      </c>
      <c r="N10">
        <v>0.62776900000000002</v>
      </c>
      <c r="O10">
        <v>0.43504100000000001</v>
      </c>
      <c r="P10">
        <v>0.499164</v>
      </c>
      <c r="Q10">
        <v>0.59591300000000003</v>
      </c>
      <c r="R10">
        <v>0.25400800000000001</v>
      </c>
      <c r="S10">
        <v>0</v>
      </c>
      <c r="T10">
        <v>0.201487</v>
      </c>
      <c r="U10">
        <v>0.37506400000000001</v>
      </c>
      <c r="V10">
        <v>0.29823699999999997</v>
      </c>
      <c r="W10">
        <v>8.4414000000000003E-2</v>
      </c>
      <c r="X10">
        <v>7.8909000000000007E-2</v>
      </c>
      <c r="Y10">
        <v>0.29974699999999999</v>
      </c>
      <c r="Z10">
        <v>0.20691100000000001</v>
      </c>
      <c r="AA10">
        <v>0.269237</v>
      </c>
      <c r="AB10">
        <v>0.37848700000000002</v>
      </c>
      <c r="AC10">
        <v>0.381023</v>
      </c>
      <c r="AD10">
        <v>0.356512</v>
      </c>
      <c r="AE10">
        <v>0.25494499999999998</v>
      </c>
      <c r="AF10">
        <v>0.52383000000000002</v>
      </c>
      <c r="AG10">
        <v>0.31394</v>
      </c>
      <c r="AH10">
        <v>0.294348</v>
      </c>
      <c r="AI10">
        <v>0.34784100000000001</v>
      </c>
      <c r="AJ10">
        <v>0.318709666666667</v>
      </c>
      <c r="AK10">
        <v>0.318709666666667</v>
      </c>
      <c r="AL10">
        <v>0.318709666666667</v>
      </c>
    </row>
    <row r="11" spans="1:38" x14ac:dyDescent="0.2">
      <c r="B11">
        <v>1</v>
      </c>
      <c r="C11">
        <v>1</v>
      </c>
      <c r="D11">
        <v>1</v>
      </c>
      <c r="E11">
        <v>1</v>
      </c>
      <c r="F11">
        <v>0.93659899999999996</v>
      </c>
      <c r="G11">
        <v>0.92793599999999998</v>
      </c>
      <c r="H11">
        <v>0.90386500000000003</v>
      </c>
      <c r="I11">
        <v>0.73087500000000005</v>
      </c>
      <c r="J11">
        <v>0.71733499999999994</v>
      </c>
      <c r="K11">
        <v>0.64558800000000005</v>
      </c>
      <c r="L11">
        <v>0.65287700000000004</v>
      </c>
      <c r="M11">
        <v>0.56965100000000002</v>
      </c>
      <c r="N11">
        <v>0.62776900000000002</v>
      </c>
      <c r="O11">
        <v>0.43504100000000001</v>
      </c>
      <c r="P11">
        <v>0.499164</v>
      </c>
      <c r="Q11">
        <v>0.59591300000000003</v>
      </c>
      <c r="R11">
        <v>0.25400800000000001</v>
      </c>
      <c r="S11">
        <v>0</v>
      </c>
      <c r="T11">
        <v>0.201487</v>
      </c>
      <c r="U11">
        <v>0.37506400000000001</v>
      </c>
      <c r="V11">
        <v>0.29823699999999997</v>
      </c>
      <c r="W11">
        <v>8.4414000000000003E-2</v>
      </c>
      <c r="X11">
        <v>7.8909000000000007E-2</v>
      </c>
      <c r="Y11">
        <v>0.29974699999999999</v>
      </c>
      <c r="Z11">
        <v>0.20691100000000001</v>
      </c>
      <c r="AA11">
        <v>0.269237</v>
      </c>
      <c r="AB11">
        <v>0.37848700000000002</v>
      </c>
      <c r="AC11">
        <v>0.381023</v>
      </c>
      <c r="AD11">
        <v>0.356512</v>
      </c>
      <c r="AE11">
        <v>0.25494499999999998</v>
      </c>
      <c r="AF11">
        <v>0.52383000000000002</v>
      </c>
      <c r="AG11">
        <v>0.31394</v>
      </c>
      <c r="AH11">
        <v>0.294348</v>
      </c>
      <c r="AI11">
        <v>0.34784100000000001</v>
      </c>
      <c r="AJ11">
        <v>0.318709666666667</v>
      </c>
      <c r="AK11">
        <v>0.318709666666667</v>
      </c>
      <c r="AL11">
        <v>0.318709666666667</v>
      </c>
    </row>
    <row r="12" spans="1:38" x14ac:dyDescent="0.2">
      <c r="B12">
        <v>1</v>
      </c>
      <c r="C12">
        <v>1</v>
      </c>
      <c r="D12">
        <v>1</v>
      </c>
      <c r="E12">
        <v>1</v>
      </c>
      <c r="F12">
        <v>0.93659899999999996</v>
      </c>
      <c r="G12">
        <v>0.92793599999999998</v>
      </c>
      <c r="H12">
        <v>0.90386500000000003</v>
      </c>
      <c r="I12">
        <v>0.73087500000000005</v>
      </c>
      <c r="J12">
        <v>0.71733499999999994</v>
      </c>
      <c r="K12">
        <v>0.64558800000000005</v>
      </c>
      <c r="L12">
        <v>0.65287700000000004</v>
      </c>
      <c r="M12">
        <v>0.56965100000000002</v>
      </c>
      <c r="N12">
        <v>0.62776900000000002</v>
      </c>
      <c r="O12">
        <v>0.43504100000000001</v>
      </c>
      <c r="P12">
        <v>0.499164</v>
      </c>
      <c r="Q12">
        <v>0.59591300000000003</v>
      </c>
      <c r="R12">
        <v>0.25400800000000001</v>
      </c>
      <c r="S12">
        <v>0</v>
      </c>
      <c r="T12">
        <v>0.201487</v>
      </c>
      <c r="U12">
        <v>0.37506400000000001</v>
      </c>
      <c r="V12">
        <v>0.29823699999999997</v>
      </c>
      <c r="W12">
        <v>8.4414000000000003E-2</v>
      </c>
      <c r="X12">
        <v>7.8909000000000007E-2</v>
      </c>
      <c r="Y12">
        <v>0.29974699999999999</v>
      </c>
      <c r="Z12">
        <v>0.20691100000000001</v>
      </c>
      <c r="AA12">
        <v>0.269237</v>
      </c>
      <c r="AB12">
        <v>0.37848700000000002</v>
      </c>
      <c r="AC12">
        <v>0.381023</v>
      </c>
      <c r="AD12">
        <v>0.356512</v>
      </c>
      <c r="AE12">
        <v>0.25494499999999998</v>
      </c>
      <c r="AF12">
        <v>0.52383000000000002</v>
      </c>
      <c r="AG12">
        <v>0.31394</v>
      </c>
      <c r="AH12">
        <v>0.294348</v>
      </c>
      <c r="AI12">
        <v>0.34784100000000001</v>
      </c>
      <c r="AJ12">
        <v>0.318709666666667</v>
      </c>
      <c r="AK12">
        <v>0.318709666666667</v>
      </c>
      <c r="AL12">
        <v>0.318709666666667</v>
      </c>
    </row>
    <row r="13" spans="1:38" x14ac:dyDescent="0.2">
      <c r="B13">
        <v>1</v>
      </c>
      <c r="C13">
        <v>1</v>
      </c>
      <c r="D13">
        <v>1</v>
      </c>
      <c r="E13">
        <v>1</v>
      </c>
      <c r="F13">
        <v>0.93659899999999996</v>
      </c>
      <c r="G13">
        <v>0.92793599999999998</v>
      </c>
      <c r="H13">
        <v>0.90386500000000003</v>
      </c>
      <c r="I13">
        <v>0.73087500000000005</v>
      </c>
      <c r="J13">
        <v>0.71733499999999994</v>
      </c>
      <c r="K13">
        <v>0.64558800000000005</v>
      </c>
      <c r="L13">
        <v>0.65287700000000004</v>
      </c>
      <c r="M13">
        <v>0.56965100000000002</v>
      </c>
      <c r="N13">
        <v>0.62776900000000002</v>
      </c>
      <c r="O13">
        <v>0.43504100000000001</v>
      </c>
      <c r="P13">
        <v>0.499164</v>
      </c>
      <c r="Q13">
        <v>0.59591300000000003</v>
      </c>
      <c r="R13">
        <v>0.25400800000000001</v>
      </c>
      <c r="S13">
        <v>0</v>
      </c>
      <c r="T13">
        <v>0.201487</v>
      </c>
      <c r="U13">
        <v>0.37506400000000001</v>
      </c>
      <c r="V13">
        <v>0.29823699999999997</v>
      </c>
      <c r="W13">
        <v>8.4414000000000003E-2</v>
      </c>
      <c r="X13">
        <v>7.8909000000000007E-2</v>
      </c>
      <c r="Y13">
        <v>0.29974699999999999</v>
      </c>
      <c r="Z13">
        <v>0.20691100000000001</v>
      </c>
      <c r="AA13">
        <v>0.269237</v>
      </c>
      <c r="AB13">
        <v>0.37848700000000002</v>
      </c>
      <c r="AC13">
        <v>0.381023</v>
      </c>
      <c r="AD13">
        <v>0.356512</v>
      </c>
      <c r="AE13">
        <v>0.25494499999999998</v>
      </c>
      <c r="AF13">
        <v>0.52383000000000002</v>
      </c>
      <c r="AG13">
        <v>0.31394</v>
      </c>
      <c r="AH13">
        <v>0.294348</v>
      </c>
      <c r="AI13">
        <v>0.34784100000000001</v>
      </c>
      <c r="AJ13">
        <v>0.318709666666667</v>
      </c>
      <c r="AK13">
        <v>0.318709666666667</v>
      </c>
      <c r="AL13">
        <v>0.318709666666667</v>
      </c>
    </row>
    <row r="14" spans="1:38" x14ac:dyDescent="0.2">
      <c r="A14">
        <v>3</v>
      </c>
      <c r="B14">
        <v>1</v>
      </c>
      <c r="C14">
        <v>1</v>
      </c>
      <c r="D14">
        <v>1</v>
      </c>
      <c r="E14">
        <v>1</v>
      </c>
      <c r="F14">
        <v>0.93659899999999996</v>
      </c>
      <c r="G14">
        <v>0.92793599999999998</v>
      </c>
      <c r="H14">
        <v>0.90386500000000003</v>
      </c>
      <c r="I14">
        <v>0.73087500000000005</v>
      </c>
      <c r="J14">
        <v>0.71733499999999994</v>
      </c>
      <c r="K14">
        <v>0.64558800000000005</v>
      </c>
      <c r="L14">
        <v>0.65287700000000004</v>
      </c>
      <c r="M14">
        <v>0.56965100000000002</v>
      </c>
      <c r="N14">
        <v>0.62776900000000002</v>
      </c>
      <c r="O14">
        <v>0.43504100000000001</v>
      </c>
      <c r="P14">
        <v>0.499164</v>
      </c>
      <c r="Q14">
        <v>0.59591300000000003</v>
      </c>
      <c r="R14">
        <v>0.25400800000000001</v>
      </c>
      <c r="S14">
        <v>0</v>
      </c>
      <c r="T14">
        <v>0.201487</v>
      </c>
      <c r="U14">
        <v>0.37506400000000001</v>
      </c>
      <c r="V14">
        <v>0.29823699999999997</v>
      </c>
      <c r="W14">
        <v>8.4414000000000003E-2</v>
      </c>
      <c r="X14">
        <v>7.8909000000000007E-2</v>
      </c>
      <c r="Y14">
        <v>0.29974699999999999</v>
      </c>
      <c r="Z14">
        <v>0.20691100000000001</v>
      </c>
      <c r="AA14">
        <v>0.269237</v>
      </c>
      <c r="AB14">
        <v>0.37848700000000002</v>
      </c>
      <c r="AC14">
        <v>0.381023</v>
      </c>
      <c r="AD14">
        <v>0.356512</v>
      </c>
      <c r="AE14">
        <v>0.25494499999999998</v>
      </c>
      <c r="AF14">
        <v>0.52383000000000002</v>
      </c>
      <c r="AG14">
        <v>0.31394</v>
      </c>
      <c r="AH14">
        <v>0.294348</v>
      </c>
      <c r="AI14">
        <v>0.34784100000000001</v>
      </c>
      <c r="AJ14">
        <v>0.318709666666667</v>
      </c>
      <c r="AK14">
        <v>0.318709666666667</v>
      </c>
      <c r="AL14">
        <v>0.318709666666667</v>
      </c>
    </row>
    <row r="15" spans="1:38" x14ac:dyDescent="0.2">
      <c r="B15">
        <v>1</v>
      </c>
      <c r="C15">
        <v>1</v>
      </c>
      <c r="D15">
        <v>1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2">
      <c r="B16">
        <v>1</v>
      </c>
      <c r="C16">
        <v>1</v>
      </c>
      <c r="D16">
        <v>1</v>
      </c>
      <c r="E16">
        <v>1</v>
      </c>
      <c r="F16">
        <v>0.93659899999999996</v>
      </c>
      <c r="G16">
        <v>0.92793599999999998</v>
      </c>
      <c r="H16">
        <v>0.90386500000000003</v>
      </c>
      <c r="I16">
        <v>0.73087500000000005</v>
      </c>
      <c r="J16">
        <v>0.71733499999999994</v>
      </c>
      <c r="K16">
        <v>0.64558800000000005</v>
      </c>
      <c r="L16">
        <v>0.65287700000000004</v>
      </c>
      <c r="M16">
        <v>0.56965100000000002</v>
      </c>
      <c r="N16">
        <v>0.62776900000000002</v>
      </c>
      <c r="O16">
        <v>0.43504100000000001</v>
      </c>
      <c r="P16">
        <v>0.499164</v>
      </c>
      <c r="Q16">
        <v>0.59591300000000003</v>
      </c>
      <c r="R16">
        <v>0.25400800000000001</v>
      </c>
      <c r="S16">
        <v>0</v>
      </c>
      <c r="T16">
        <v>0.201487</v>
      </c>
      <c r="U16">
        <v>0.37506400000000001</v>
      </c>
      <c r="V16">
        <v>0.29823699999999997</v>
      </c>
      <c r="W16">
        <v>8.4414000000000003E-2</v>
      </c>
      <c r="X16">
        <v>7.8909000000000007E-2</v>
      </c>
      <c r="Y16">
        <v>0.29974699999999999</v>
      </c>
      <c r="Z16">
        <v>0.20691100000000001</v>
      </c>
      <c r="AA16">
        <v>0.269237</v>
      </c>
      <c r="AB16">
        <v>0.37848700000000002</v>
      </c>
      <c r="AC16">
        <v>0.381023</v>
      </c>
      <c r="AD16">
        <v>0.356512</v>
      </c>
      <c r="AE16">
        <v>0.25494499999999998</v>
      </c>
      <c r="AF16">
        <v>0.52383000000000002</v>
      </c>
      <c r="AG16">
        <v>0.31394</v>
      </c>
      <c r="AH16">
        <v>0.294348</v>
      </c>
      <c r="AI16">
        <v>0.34784100000000001</v>
      </c>
      <c r="AJ16">
        <v>0.318709666666667</v>
      </c>
      <c r="AK16">
        <v>0.318709666666667</v>
      </c>
      <c r="AL16">
        <v>0.318709666666667</v>
      </c>
    </row>
    <row r="17" spans="1:38" x14ac:dyDescent="0.2">
      <c r="B17">
        <v>1</v>
      </c>
      <c r="C17">
        <v>1</v>
      </c>
      <c r="D17">
        <v>1</v>
      </c>
      <c r="E17">
        <v>1</v>
      </c>
      <c r="F17">
        <v>0.93659899999999996</v>
      </c>
      <c r="G17">
        <v>0.92793599999999998</v>
      </c>
      <c r="H17">
        <v>0.90386500000000003</v>
      </c>
      <c r="I17">
        <v>0.73087500000000005</v>
      </c>
      <c r="J17">
        <v>0.71733499999999994</v>
      </c>
      <c r="K17">
        <v>0.64558800000000005</v>
      </c>
      <c r="L17">
        <v>0.65287700000000004</v>
      </c>
      <c r="M17">
        <v>0.56965100000000002</v>
      </c>
      <c r="N17">
        <v>0.62776900000000002</v>
      </c>
      <c r="O17">
        <v>0.43504100000000001</v>
      </c>
      <c r="P17">
        <v>0.499164</v>
      </c>
      <c r="Q17">
        <v>0.59591300000000003</v>
      </c>
      <c r="R17">
        <v>0.25400800000000001</v>
      </c>
      <c r="S17">
        <v>0</v>
      </c>
      <c r="T17">
        <v>0.201487</v>
      </c>
      <c r="U17">
        <v>0.37506400000000001</v>
      </c>
      <c r="V17">
        <v>0.29823699999999997</v>
      </c>
      <c r="W17">
        <v>8.4414000000000003E-2</v>
      </c>
      <c r="X17">
        <v>7.8909000000000007E-2</v>
      </c>
      <c r="Y17">
        <v>0.29974699999999999</v>
      </c>
      <c r="Z17">
        <v>0.20691100000000001</v>
      </c>
      <c r="AA17">
        <v>0.269237</v>
      </c>
      <c r="AB17">
        <v>0.37848700000000002</v>
      </c>
      <c r="AC17">
        <v>0.381023</v>
      </c>
      <c r="AD17">
        <v>0.356512</v>
      </c>
      <c r="AE17">
        <v>0.25494499999999998</v>
      </c>
      <c r="AF17">
        <v>0.52383000000000002</v>
      </c>
      <c r="AG17">
        <v>0.31394</v>
      </c>
      <c r="AH17">
        <v>0.294348</v>
      </c>
      <c r="AI17">
        <v>0.34784100000000001</v>
      </c>
      <c r="AJ17">
        <v>0.318709666666667</v>
      </c>
      <c r="AK17">
        <v>0.318709666666667</v>
      </c>
      <c r="AL17">
        <v>0.318709666666667</v>
      </c>
    </row>
    <row r="18" spans="1:38" x14ac:dyDescent="0.2">
      <c r="A18">
        <v>4</v>
      </c>
      <c r="B18">
        <v>1</v>
      </c>
      <c r="C18">
        <v>1</v>
      </c>
      <c r="D18">
        <v>1</v>
      </c>
      <c r="E18">
        <v>1</v>
      </c>
      <c r="F18">
        <v>0.93659899999999996</v>
      </c>
      <c r="G18">
        <v>0.92793599999999998</v>
      </c>
      <c r="H18">
        <v>0.90386500000000003</v>
      </c>
      <c r="I18">
        <v>0.73087500000000005</v>
      </c>
      <c r="J18">
        <v>0.71733499999999994</v>
      </c>
      <c r="K18">
        <v>0.64558800000000005</v>
      </c>
      <c r="L18">
        <v>0.65287700000000004</v>
      </c>
      <c r="M18">
        <v>0.56965100000000002</v>
      </c>
      <c r="N18">
        <v>0.62776900000000002</v>
      </c>
      <c r="O18">
        <v>0.43504100000000001</v>
      </c>
      <c r="P18">
        <v>0.499164</v>
      </c>
      <c r="Q18">
        <v>0.59591300000000003</v>
      </c>
      <c r="R18">
        <v>0.25400800000000001</v>
      </c>
      <c r="S18">
        <v>0</v>
      </c>
      <c r="T18">
        <v>0.201487</v>
      </c>
      <c r="U18">
        <v>0.37506400000000001</v>
      </c>
      <c r="V18">
        <v>0.29823699999999997</v>
      </c>
      <c r="W18">
        <v>8.4414000000000003E-2</v>
      </c>
      <c r="X18">
        <v>7.8909000000000007E-2</v>
      </c>
      <c r="Y18">
        <v>0.29974699999999999</v>
      </c>
      <c r="Z18">
        <v>0.20691100000000001</v>
      </c>
      <c r="AA18">
        <v>0.269237</v>
      </c>
      <c r="AB18">
        <v>0.37848700000000002</v>
      </c>
      <c r="AC18">
        <v>0.381023</v>
      </c>
      <c r="AD18">
        <v>0.356512</v>
      </c>
      <c r="AE18">
        <v>0.25494499999999998</v>
      </c>
      <c r="AF18">
        <v>0.52383000000000002</v>
      </c>
      <c r="AG18">
        <v>0.31394</v>
      </c>
      <c r="AH18">
        <v>0.294348</v>
      </c>
      <c r="AI18">
        <v>0.34784100000000001</v>
      </c>
      <c r="AJ18">
        <v>0.318709666666667</v>
      </c>
      <c r="AK18">
        <v>0.318709666666667</v>
      </c>
      <c r="AL18">
        <v>0.318709666666667</v>
      </c>
    </row>
    <row r="19" spans="1:38" x14ac:dyDescent="0.2">
      <c r="B19">
        <v>1</v>
      </c>
      <c r="C19">
        <v>1</v>
      </c>
      <c r="D19">
        <v>1</v>
      </c>
      <c r="E19">
        <v>1</v>
      </c>
      <c r="F19">
        <v>0.93659899999999996</v>
      </c>
      <c r="G19">
        <v>0.92793599999999998</v>
      </c>
      <c r="H19">
        <v>0.90386500000000003</v>
      </c>
      <c r="I19">
        <v>0.73087500000000005</v>
      </c>
      <c r="J19">
        <v>0.71733499999999994</v>
      </c>
      <c r="K19">
        <v>0.64558800000000005</v>
      </c>
      <c r="L19">
        <v>0.65287700000000004</v>
      </c>
      <c r="M19">
        <v>0.56965100000000002</v>
      </c>
      <c r="N19">
        <v>0.62776900000000002</v>
      </c>
      <c r="O19">
        <v>0.43504100000000001</v>
      </c>
      <c r="P19">
        <v>0.499164</v>
      </c>
      <c r="Q19">
        <v>0.59591300000000003</v>
      </c>
      <c r="R19">
        <v>0.25400800000000001</v>
      </c>
      <c r="S19">
        <v>0</v>
      </c>
      <c r="T19">
        <v>0.201487</v>
      </c>
      <c r="U19">
        <v>0.37506400000000001</v>
      </c>
      <c r="V19">
        <v>0.29823699999999997</v>
      </c>
      <c r="W19">
        <v>8.4414000000000003E-2</v>
      </c>
      <c r="X19">
        <v>7.8909000000000007E-2</v>
      </c>
      <c r="Y19">
        <v>0.29974699999999999</v>
      </c>
      <c r="Z19">
        <v>0.20691100000000001</v>
      </c>
      <c r="AA19">
        <v>0.269237</v>
      </c>
      <c r="AB19">
        <v>0.37848700000000002</v>
      </c>
      <c r="AC19">
        <v>0.381023</v>
      </c>
      <c r="AD19">
        <v>0.356512</v>
      </c>
      <c r="AE19">
        <v>0.25494499999999998</v>
      </c>
      <c r="AF19">
        <v>0.52383000000000002</v>
      </c>
      <c r="AG19">
        <v>0.31394</v>
      </c>
      <c r="AH19">
        <v>0.294348</v>
      </c>
      <c r="AI19">
        <v>0.34784100000000001</v>
      </c>
      <c r="AJ19">
        <v>0.318709666666667</v>
      </c>
      <c r="AK19">
        <v>0.318709666666667</v>
      </c>
      <c r="AL19">
        <v>0.318709666666667</v>
      </c>
    </row>
    <row r="20" spans="1:38" x14ac:dyDescent="0.2">
      <c r="B20">
        <v>1</v>
      </c>
      <c r="C20">
        <v>1</v>
      </c>
      <c r="D20">
        <v>1</v>
      </c>
      <c r="E20">
        <v>1</v>
      </c>
      <c r="F20">
        <v>0.93659899999999996</v>
      </c>
      <c r="G20">
        <v>0.92793599999999998</v>
      </c>
      <c r="H20">
        <v>0.90386500000000003</v>
      </c>
      <c r="I20">
        <v>0.73087500000000005</v>
      </c>
      <c r="J20">
        <v>0.71733499999999994</v>
      </c>
      <c r="K20">
        <v>0.64558800000000005</v>
      </c>
      <c r="L20">
        <v>0.65287700000000004</v>
      </c>
      <c r="M20">
        <v>0.56965100000000002</v>
      </c>
      <c r="N20">
        <v>0.62776900000000002</v>
      </c>
      <c r="O20">
        <v>0.43504100000000001</v>
      </c>
      <c r="P20">
        <v>0.499164</v>
      </c>
      <c r="Q20">
        <v>0.59591300000000003</v>
      </c>
      <c r="R20">
        <v>0.25400800000000001</v>
      </c>
      <c r="S20">
        <v>0</v>
      </c>
      <c r="T20">
        <v>0.201487</v>
      </c>
      <c r="U20">
        <v>0.37506400000000001</v>
      </c>
      <c r="V20">
        <v>0.29823699999999997</v>
      </c>
      <c r="W20">
        <v>8.4414000000000003E-2</v>
      </c>
      <c r="X20">
        <v>7.8909000000000007E-2</v>
      </c>
      <c r="Y20">
        <v>0.29974699999999999</v>
      </c>
      <c r="Z20">
        <v>0.20691100000000001</v>
      </c>
      <c r="AA20">
        <v>0.269237</v>
      </c>
      <c r="AB20">
        <v>0.37848700000000002</v>
      </c>
      <c r="AC20">
        <v>0.381023</v>
      </c>
      <c r="AD20">
        <v>0.356512</v>
      </c>
      <c r="AE20">
        <v>0.25494499999999998</v>
      </c>
      <c r="AF20">
        <v>0.52383000000000002</v>
      </c>
      <c r="AG20">
        <v>0.31394</v>
      </c>
      <c r="AH20">
        <v>0.294348</v>
      </c>
      <c r="AI20">
        <v>0.34784100000000001</v>
      </c>
      <c r="AJ20">
        <v>0.318709666666667</v>
      </c>
      <c r="AK20">
        <v>0.318709666666667</v>
      </c>
      <c r="AL20">
        <v>0.318709666666667</v>
      </c>
    </row>
    <row r="21" spans="1:38" x14ac:dyDescent="0.2">
      <c r="B21">
        <v>1</v>
      </c>
      <c r="C21">
        <v>1</v>
      </c>
      <c r="D21">
        <v>1</v>
      </c>
      <c r="E21">
        <v>1</v>
      </c>
      <c r="F21">
        <v>0.93659899999999996</v>
      </c>
      <c r="G21">
        <v>0.92793599999999998</v>
      </c>
      <c r="H21">
        <v>0.90386500000000003</v>
      </c>
      <c r="I21">
        <v>0.73087500000000005</v>
      </c>
      <c r="J21">
        <v>0.71733499999999994</v>
      </c>
      <c r="K21">
        <v>0.64558800000000005</v>
      </c>
      <c r="L21">
        <v>0.65287700000000004</v>
      </c>
      <c r="M21">
        <v>0.56965100000000002</v>
      </c>
      <c r="N21">
        <v>0.62776900000000002</v>
      </c>
      <c r="O21">
        <v>0.43504100000000001</v>
      </c>
      <c r="P21">
        <v>0.499164</v>
      </c>
      <c r="Q21">
        <v>0.59591300000000003</v>
      </c>
      <c r="R21">
        <v>0.25400800000000001</v>
      </c>
      <c r="S21">
        <v>0</v>
      </c>
      <c r="T21">
        <v>0.201487</v>
      </c>
      <c r="U21">
        <v>0.37506400000000001</v>
      </c>
      <c r="V21">
        <v>0.29823699999999997</v>
      </c>
      <c r="W21">
        <v>8.4414000000000003E-2</v>
      </c>
      <c r="X21">
        <v>7.8909000000000007E-2</v>
      </c>
      <c r="Y21">
        <v>0.29974699999999999</v>
      </c>
      <c r="Z21">
        <v>0.20691100000000001</v>
      </c>
      <c r="AA21">
        <v>0.269237</v>
      </c>
      <c r="AB21">
        <v>0.37848700000000002</v>
      </c>
      <c r="AC21">
        <v>0.381023</v>
      </c>
      <c r="AD21">
        <v>0.356512</v>
      </c>
      <c r="AE21">
        <v>0.25494499999999998</v>
      </c>
      <c r="AF21">
        <v>0.52383000000000002</v>
      </c>
      <c r="AG21">
        <v>0.31394</v>
      </c>
      <c r="AH21">
        <v>0.294348</v>
      </c>
      <c r="AI21">
        <v>0.34784100000000001</v>
      </c>
      <c r="AJ21">
        <v>0.318709666666667</v>
      </c>
      <c r="AK21">
        <v>0.318709666666667</v>
      </c>
      <c r="AL21">
        <v>0.318709666666667</v>
      </c>
    </row>
    <row r="22" spans="1:38" x14ac:dyDescent="0.2">
      <c r="A22">
        <v>5</v>
      </c>
      <c r="B22">
        <v>1</v>
      </c>
      <c r="C22">
        <v>1</v>
      </c>
      <c r="D22">
        <v>1</v>
      </c>
      <c r="E22">
        <v>1</v>
      </c>
      <c r="F22">
        <v>0.93659899999999996</v>
      </c>
      <c r="G22">
        <v>0.92793599999999998</v>
      </c>
      <c r="H22">
        <v>0.90386500000000003</v>
      </c>
      <c r="I22">
        <v>0.73087500000000005</v>
      </c>
      <c r="J22">
        <v>0.71733499999999994</v>
      </c>
      <c r="K22">
        <v>0.64558800000000005</v>
      </c>
      <c r="L22">
        <v>0.65287700000000004</v>
      </c>
      <c r="M22">
        <v>0.56965100000000002</v>
      </c>
      <c r="N22">
        <v>0.62776900000000002</v>
      </c>
      <c r="O22">
        <v>0.43504100000000001</v>
      </c>
      <c r="P22">
        <v>0.499164</v>
      </c>
      <c r="Q22">
        <v>0.59591300000000003</v>
      </c>
      <c r="R22">
        <v>0.25400800000000001</v>
      </c>
      <c r="S22">
        <v>0</v>
      </c>
      <c r="T22">
        <v>0.201487</v>
      </c>
      <c r="U22">
        <v>0.37506400000000001</v>
      </c>
      <c r="V22">
        <v>0.29823699999999997</v>
      </c>
      <c r="W22">
        <v>8.4414000000000003E-2</v>
      </c>
      <c r="X22">
        <v>7.8909000000000007E-2</v>
      </c>
      <c r="Y22">
        <v>0.29974699999999999</v>
      </c>
      <c r="Z22">
        <v>0.20691100000000001</v>
      </c>
      <c r="AA22">
        <v>0.269237</v>
      </c>
      <c r="AB22">
        <v>0.37848700000000002</v>
      </c>
      <c r="AC22">
        <v>0.381023</v>
      </c>
      <c r="AD22">
        <v>0.356512</v>
      </c>
      <c r="AE22">
        <v>0.25494499999999998</v>
      </c>
      <c r="AF22">
        <v>0.52383000000000002</v>
      </c>
      <c r="AG22">
        <v>0.31394</v>
      </c>
      <c r="AH22">
        <v>0.294348</v>
      </c>
      <c r="AI22">
        <v>0.34784100000000001</v>
      </c>
      <c r="AJ22">
        <v>0.318709666666667</v>
      </c>
      <c r="AK22">
        <v>0.318709666666667</v>
      </c>
      <c r="AL22">
        <v>0.318709666666667</v>
      </c>
    </row>
    <row r="23" spans="1:38" x14ac:dyDescent="0.2">
      <c r="B23">
        <v>1</v>
      </c>
      <c r="C23">
        <v>1</v>
      </c>
      <c r="D23">
        <v>1</v>
      </c>
      <c r="E23">
        <v>1</v>
      </c>
      <c r="F23">
        <v>0.93659899999999996</v>
      </c>
      <c r="G23">
        <v>0.92793599999999998</v>
      </c>
      <c r="H23">
        <v>0.90386500000000003</v>
      </c>
      <c r="I23">
        <v>0.73087500000000005</v>
      </c>
      <c r="J23">
        <v>0.71733499999999994</v>
      </c>
      <c r="K23">
        <v>0.64558800000000005</v>
      </c>
      <c r="L23">
        <v>0.65287700000000004</v>
      </c>
      <c r="M23">
        <v>0.56965100000000002</v>
      </c>
      <c r="N23">
        <v>0.62776900000000002</v>
      </c>
      <c r="O23">
        <v>0.43504100000000001</v>
      </c>
      <c r="P23">
        <v>0.499164</v>
      </c>
      <c r="Q23">
        <v>0.59591300000000003</v>
      </c>
      <c r="R23">
        <v>0.25400800000000001</v>
      </c>
      <c r="S23">
        <v>0</v>
      </c>
      <c r="T23">
        <v>0.201487</v>
      </c>
      <c r="U23">
        <v>0.37506400000000001</v>
      </c>
      <c r="V23">
        <v>0.29823699999999997</v>
      </c>
      <c r="W23">
        <v>8.4414000000000003E-2</v>
      </c>
      <c r="X23">
        <v>7.8909000000000007E-2</v>
      </c>
      <c r="Y23">
        <v>0.29974699999999999</v>
      </c>
      <c r="Z23">
        <v>0.20691100000000001</v>
      </c>
      <c r="AA23">
        <v>0.269237</v>
      </c>
      <c r="AB23">
        <v>0.37848700000000002</v>
      </c>
      <c r="AC23">
        <v>0.381023</v>
      </c>
      <c r="AD23">
        <v>0.356512</v>
      </c>
      <c r="AE23">
        <v>0.25494499999999998</v>
      </c>
      <c r="AF23">
        <v>0.52383000000000002</v>
      </c>
      <c r="AG23">
        <v>0.31394</v>
      </c>
      <c r="AH23">
        <v>0.294348</v>
      </c>
      <c r="AI23">
        <v>0.34784100000000001</v>
      </c>
      <c r="AJ23">
        <v>0.318709666666667</v>
      </c>
      <c r="AK23">
        <v>0.318709666666667</v>
      </c>
      <c r="AL23">
        <v>0.318709666666667</v>
      </c>
    </row>
    <row r="24" spans="1:38" x14ac:dyDescent="0.2">
      <c r="B24">
        <v>1</v>
      </c>
      <c r="C24">
        <v>1</v>
      </c>
      <c r="D24">
        <v>1</v>
      </c>
      <c r="E24">
        <v>1</v>
      </c>
      <c r="F24">
        <v>0.93659899999999996</v>
      </c>
      <c r="G24">
        <v>0.92793599999999998</v>
      </c>
      <c r="H24">
        <v>0.90386500000000003</v>
      </c>
      <c r="I24">
        <v>0.73087500000000005</v>
      </c>
      <c r="J24">
        <v>0.71733499999999994</v>
      </c>
      <c r="K24">
        <v>0.64558800000000005</v>
      </c>
      <c r="L24">
        <v>0.65287700000000004</v>
      </c>
      <c r="M24">
        <v>0.56965100000000002</v>
      </c>
      <c r="N24">
        <v>0.62776900000000002</v>
      </c>
      <c r="O24">
        <v>0.43504100000000001</v>
      </c>
      <c r="P24">
        <v>0.499164</v>
      </c>
      <c r="Q24">
        <v>0.59591300000000003</v>
      </c>
      <c r="R24">
        <v>0.25400800000000001</v>
      </c>
      <c r="S24">
        <v>0</v>
      </c>
      <c r="T24">
        <v>0.201487</v>
      </c>
      <c r="U24">
        <v>0.37506400000000001</v>
      </c>
      <c r="V24">
        <v>0.29823699999999997</v>
      </c>
      <c r="W24">
        <v>8.4414000000000003E-2</v>
      </c>
      <c r="X24">
        <v>7.8909000000000007E-2</v>
      </c>
      <c r="Y24">
        <v>0.29974699999999999</v>
      </c>
      <c r="Z24">
        <v>0.20691100000000001</v>
      </c>
      <c r="AA24">
        <v>0.269237</v>
      </c>
      <c r="AB24">
        <v>0.37848700000000002</v>
      </c>
      <c r="AC24">
        <v>0.381023</v>
      </c>
      <c r="AD24">
        <v>0.356512</v>
      </c>
      <c r="AE24">
        <v>0.25494499999999998</v>
      </c>
      <c r="AF24">
        <v>0.52383000000000002</v>
      </c>
      <c r="AG24">
        <v>0.31394</v>
      </c>
      <c r="AH24">
        <v>0.294348</v>
      </c>
      <c r="AI24">
        <v>0.34784100000000001</v>
      </c>
      <c r="AJ24">
        <v>0.318709666666667</v>
      </c>
      <c r="AK24">
        <v>0.318709666666667</v>
      </c>
      <c r="AL24">
        <v>0.318709666666667</v>
      </c>
    </row>
    <row r="25" spans="1:38" x14ac:dyDescent="0.2">
      <c r="B25">
        <v>1</v>
      </c>
      <c r="C25">
        <v>1</v>
      </c>
      <c r="D25">
        <v>1</v>
      </c>
      <c r="E25">
        <v>1</v>
      </c>
      <c r="F25">
        <v>0.93659899999999996</v>
      </c>
      <c r="G25">
        <v>0.92793599999999998</v>
      </c>
      <c r="H25">
        <v>0.90386500000000003</v>
      </c>
      <c r="I25">
        <v>0.73087500000000005</v>
      </c>
      <c r="J25">
        <v>0.71733499999999994</v>
      </c>
      <c r="K25">
        <v>0.64558800000000005</v>
      </c>
      <c r="L25">
        <v>0.65287700000000004</v>
      </c>
      <c r="M25">
        <v>0.56965100000000002</v>
      </c>
      <c r="N25">
        <v>0.62776900000000002</v>
      </c>
      <c r="O25">
        <v>0.43504100000000001</v>
      </c>
      <c r="P25">
        <v>0.499164</v>
      </c>
      <c r="Q25">
        <v>0.59591300000000003</v>
      </c>
      <c r="R25">
        <v>0.25400800000000001</v>
      </c>
      <c r="S25">
        <v>0</v>
      </c>
      <c r="T25">
        <v>0.201487</v>
      </c>
      <c r="U25">
        <v>0.37506400000000001</v>
      </c>
      <c r="V25">
        <v>0.29823699999999997</v>
      </c>
      <c r="W25">
        <v>8.4414000000000003E-2</v>
      </c>
      <c r="X25">
        <v>7.8909000000000007E-2</v>
      </c>
      <c r="Y25">
        <v>0.29974699999999999</v>
      </c>
      <c r="Z25">
        <v>0.20691100000000001</v>
      </c>
      <c r="AA25">
        <v>0.269237</v>
      </c>
      <c r="AB25">
        <v>0.37848700000000002</v>
      </c>
      <c r="AC25">
        <v>0.381023</v>
      </c>
      <c r="AD25">
        <v>0.356512</v>
      </c>
      <c r="AE25">
        <v>0.25494499999999998</v>
      </c>
      <c r="AF25">
        <v>0.52383000000000002</v>
      </c>
      <c r="AG25">
        <v>0.31394</v>
      </c>
      <c r="AH25">
        <v>0.294348</v>
      </c>
      <c r="AI25">
        <v>0.34784100000000001</v>
      </c>
      <c r="AJ25">
        <v>0.318709666666667</v>
      </c>
      <c r="AK25">
        <v>0.318709666666667</v>
      </c>
      <c r="AL25">
        <v>0.318709666666667</v>
      </c>
    </row>
    <row r="26" spans="1:38" x14ac:dyDescent="0.2">
      <c r="A26">
        <v>6</v>
      </c>
      <c r="B26">
        <v>1</v>
      </c>
      <c r="C26">
        <v>1</v>
      </c>
      <c r="D26">
        <v>1</v>
      </c>
      <c r="E26">
        <v>1</v>
      </c>
      <c r="F26">
        <v>0.93659899999999996</v>
      </c>
      <c r="G26">
        <v>0.92793599999999998</v>
      </c>
      <c r="H26">
        <v>0.90386500000000003</v>
      </c>
      <c r="I26">
        <v>0.73087500000000005</v>
      </c>
      <c r="J26">
        <v>0.71733499999999994</v>
      </c>
      <c r="K26">
        <v>0.64558800000000005</v>
      </c>
      <c r="L26">
        <v>0.65287700000000004</v>
      </c>
      <c r="M26">
        <v>0.56965100000000002</v>
      </c>
      <c r="N26">
        <v>0.62776900000000002</v>
      </c>
      <c r="O26">
        <v>0.43504100000000001</v>
      </c>
      <c r="P26">
        <v>0.499164</v>
      </c>
      <c r="Q26">
        <v>0.59591300000000003</v>
      </c>
      <c r="R26">
        <v>0.25400800000000001</v>
      </c>
      <c r="S26">
        <v>0</v>
      </c>
      <c r="T26">
        <v>0.201487</v>
      </c>
      <c r="U26">
        <v>0.37506400000000001</v>
      </c>
      <c r="V26">
        <v>0.29823699999999997</v>
      </c>
      <c r="W26">
        <v>8.4414000000000003E-2</v>
      </c>
      <c r="X26">
        <v>7.8909000000000007E-2</v>
      </c>
      <c r="Y26">
        <v>0.29974699999999999</v>
      </c>
      <c r="Z26">
        <v>0.20691100000000001</v>
      </c>
      <c r="AA26">
        <v>0.269237</v>
      </c>
      <c r="AB26">
        <v>0.37848700000000002</v>
      </c>
      <c r="AC26">
        <v>0.381023</v>
      </c>
      <c r="AD26">
        <v>0.356512</v>
      </c>
      <c r="AE26">
        <v>0.25494499999999998</v>
      </c>
      <c r="AF26">
        <v>0.52383000000000002</v>
      </c>
      <c r="AG26">
        <v>0.31394</v>
      </c>
      <c r="AH26">
        <v>0.294348</v>
      </c>
      <c r="AI26">
        <v>0.34784100000000001</v>
      </c>
      <c r="AJ26">
        <v>0.318709666666667</v>
      </c>
      <c r="AK26">
        <v>0.318709666666667</v>
      </c>
      <c r="AL26">
        <v>0.318709666666667</v>
      </c>
    </row>
    <row r="27" spans="1:38" x14ac:dyDescent="0.2">
      <c r="B27">
        <v>1</v>
      </c>
      <c r="C27">
        <v>1</v>
      </c>
      <c r="D27">
        <v>1</v>
      </c>
      <c r="E27">
        <v>1</v>
      </c>
      <c r="F27">
        <v>0.93659899999999996</v>
      </c>
      <c r="G27">
        <v>0.92793599999999998</v>
      </c>
      <c r="H27">
        <v>0.90386500000000003</v>
      </c>
      <c r="I27">
        <v>0.73087500000000005</v>
      </c>
      <c r="J27">
        <v>0.71733499999999994</v>
      </c>
      <c r="K27">
        <v>0.64558800000000005</v>
      </c>
      <c r="L27">
        <v>0.65287700000000004</v>
      </c>
      <c r="M27">
        <v>0.56965100000000002</v>
      </c>
      <c r="N27">
        <v>0.62776900000000002</v>
      </c>
      <c r="O27">
        <v>0.43504100000000001</v>
      </c>
      <c r="P27">
        <v>0.499164</v>
      </c>
      <c r="Q27">
        <v>0.59591300000000003</v>
      </c>
      <c r="R27">
        <v>0.25400800000000001</v>
      </c>
      <c r="S27">
        <v>0</v>
      </c>
      <c r="T27">
        <v>0.201487</v>
      </c>
      <c r="U27">
        <v>0.37506400000000001</v>
      </c>
      <c r="V27">
        <v>0.29823699999999997</v>
      </c>
      <c r="W27">
        <v>8.4414000000000003E-2</v>
      </c>
      <c r="X27">
        <v>7.8909000000000007E-2</v>
      </c>
      <c r="Y27">
        <v>0.29974699999999999</v>
      </c>
      <c r="Z27">
        <v>0.20691100000000001</v>
      </c>
      <c r="AA27">
        <v>0.269237</v>
      </c>
      <c r="AB27">
        <v>0.37848700000000002</v>
      </c>
      <c r="AC27">
        <v>0.381023</v>
      </c>
      <c r="AD27">
        <v>0.356512</v>
      </c>
      <c r="AE27">
        <v>0.25494499999999998</v>
      </c>
      <c r="AF27">
        <v>0.52383000000000002</v>
      </c>
      <c r="AG27">
        <v>0.31394</v>
      </c>
      <c r="AH27">
        <v>0.294348</v>
      </c>
      <c r="AI27">
        <v>0.34784100000000001</v>
      </c>
      <c r="AJ27">
        <v>0.318709666666667</v>
      </c>
      <c r="AK27">
        <v>0.318709666666667</v>
      </c>
      <c r="AL27">
        <v>0.318709666666667</v>
      </c>
    </row>
    <row r="28" spans="1:38" x14ac:dyDescent="0.2">
      <c r="B28">
        <v>1</v>
      </c>
      <c r="C28">
        <v>1</v>
      </c>
      <c r="D28">
        <v>1</v>
      </c>
      <c r="E28">
        <v>1</v>
      </c>
      <c r="F28">
        <v>0.93659899999999996</v>
      </c>
      <c r="G28">
        <v>0.92793599999999998</v>
      </c>
      <c r="H28">
        <v>0.90386500000000003</v>
      </c>
      <c r="I28">
        <v>0.73087500000000005</v>
      </c>
      <c r="J28">
        <v>0.71733499999999994</v>
      </c>
      <c r="K28">
        <v>0.64558800000000005</v>
      </c>
      <c r="L28">
        <v>0.65287700000000004</v>
      </c>
      <c r="M28">
        <v>0.56965100000000002</v>
      </c>
      <c r="N28">
        <v>0.62776900000000002</v>
      </c>
      <c r="O28">
        <v>0.43504100000000001</v>
      </c>
      <c r="P28">
        <v>0.499164</v>
      </c>
      <c r="Q28">
        <v>0.59591300000000003</v>
      </c>
      <c r="R28">
        <v>0.25400800000000001</v>
      </c>
      <c r="S28">
        <v>0</v>
      </c>
      <c r="T28">
        <v>0.201487</v>
      </c>
      <c r="U28">
        <v>0.37506400000000001</v>
      </c>
      <c r="V28">
        <v>0.29823699999999997</v>
      </c>
      <c r="W28">
        <v>8.4414000000000003E-2</v>
      </c>
      <c r="X28">
        <v>7.8909000000000007E-2</v>
      </c>
      <c r="Y28">
        <v>0.29974699999999999</v>
      </c>
      <c r="Z28">
        <v>0.20691100000000001</v>
      </c>
      <c r="AA28">
        <v>0.269237</v>
      </c>
      <c r="AB28">
        <v>0.37848700000000002</v>
      </c>
      <c r="AC28">
        <v>0.381023</v>
      </c>
      <c r="AD28">
        <v>0.356512</v>
      </c>
      <c r="AE28">
        <v>0.25494499999999998</v>
      </c>
      <c r="AF28">
        <v>0.52383000000000002</v>
      </c>
      <c r="AG28">
        <v>0.31394</v>
      </c>
      <c r="AH28">
        <v>0.294348</v>
      </c>
      <c r="AI28">
        <v>0.34784100000000001</v>
      </c>
      <c r="AJ28">
        <v>0.318709666666667</v>
      </c>
      <c r="AK28">
        <v>0.318709666666667</v>
      </c>
      <c r="AL28">
        <v>0.318709666666667</v>
      </c>
    </row>
    <row r="29" spans="1:38" x14ac:dyDescent="0.2">
      <c r="B29">
        <v>1</v>
      </c>
      <c r="C29">
        <v>1</v>
      </c>
      <c r="D29">
        <v>1</v>
      </c>
      <c r="E29">
        <v>1</v>
      </c>
      <c r="F29">
        <v>0.93659899999999996</v>
      </c>
      <c r="G29">
        <v>0.92793599999999998</v>
      </c>
      <c r="H29">
        <v>0.90386500000000003</v>
      </c>
      <c r="I29">
        <v>0.73087500000000005</v>
      </c>
      <c r="J29">
        <v>0.71733499999999994</v>
      </c>
      <c r="K29">
        <v>0.64558800000000005</v>
      </c>
      <c r="L29">
        <v>0.65287700000000004</v>
      </c>
      <c r="M29">
        <v>0.56965100000000002</v>
      </c>
      <c r="N29">
        <v>0.62776900000000002</v>
      </c>
      <c r="O29">
        <v>0.43504100000000001</v>
      </c>
      <c r="P29">
        <v>0.499164</v>
      </c>
      <c r="Q29">
        <v>0.59591300000000003</v>
      </c>
      <c r="R29">
        <v>0.25400800000000001</v>
      </c>
      <c r="S29">
        <v>0</v>
      </c>
      <c r="T29">
        <v>0.201487</v>
      </c>
      <c r="U29">
        <v>0.37506400000000001</v>
      </c>
      <c r="V29">
        <v>0.29823699999999997</v>
      </c>
      <c r="W29">
        <v>8.4414000000000003E-2</v>
      </c>
      <c r="X29">
        <v>7.8909000000000007E-2</v>
      </c>
      <c r="Y29">
        <v>0.29974699999999999</v>
      </c>
      <c r="Z29">
        <v>0.20691100000000001</v>
      </c>
      <c r="AA29">
        <v>0.269237</v>
      </c>
      <c r="AB29">
        <v>0.37848700000000002</v>
      </c>
      <c r="AC29">
        <v>0.381023</v>
      </c>
      <c r="AD29">
        <v>0.356512</v>
      </c>
      <c r="AE29">
        <v>0.25494499999999998</v>
      </c>
      <c r="AF29">
        <v>0.52383000000000002</v>
      </c>
      <c r="AG29">
        <v>0.31394</v>
      </c>
      <c r="AH29">
        <v>0.294348</v>
      </c>
      <c r="AI29">
        <v>0.34784100000000001</v>
      </c>
      <c r="AJ29">
        <v>0.318709666666667</v>
      </c>
      <c r="AK29">
        <v>0.318709666666667</v>
      </c>
      <c r="AL29">
        <v>0.318709666666667</v>
      </c>
    </row>
    <row r="30" spans="1:38" x14ac:dyDescent="0.2">
      <c r="A30">
        <v>7</v>
      </c>
      <c r="B30">
        <v>1</v>
      </c>
      <c r="C30">
        <v>1</v>
      </c>
      <c r="D30">
        <v>1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2">
      <c r="B31">
        <v>1</v>
      </c>
      <c r="C31">
        <v>1</v>
      </c>
      <c r="D31">
        <v>1</v>
      </c>
      <c r="E31">
        <v>1</v>
      </c>
      <c r="F31">
        <v>0.93659899999999996</v>
      </c>
      <c r="G31">
        <v>0.92793599999999998</v>
      </c>
      <c r="H31">
        <v>0.90386500000000003</v>
      </c>
      <c r="I31">
        <v>0.73087500000000005</v>
      </c>
      <c r="J31">
        <v>0.71733499999999994</v>
      </c>
      <c r="K31">
        <v>0.64558800000000005</v>
      </c>
      <c r="L31">
        <v>0.65287700000000004</v>
      </c>
      <c r="M31">
        <v>0.56965100000000002</v>
      </c>
      <c r="N31">
        <v>0.62776900000000002</v>
      </c>
      <c r="O31">
        <v>0.43504100000000001</v>
      </c>
      <c r="P31">
        <v>0.499164</v>
      </c>
      <c r="Q31">
        <v>0.59591300000000003</v>
      </c>
      <c r="R31">
        <v>0.25400800000000001</v>
      </c>
      <c r="S31">
        <v>0</v>
      </c>
      <c r="T31">
        <v>0.201487</v>
      </c>
      <c r="U31">
        <v>0.37506400000000001</v>
      </c>
      <c r="V31">
        <v>0.29823699999999997</v>
      </c>
      <c r="W31">
        <v>8.4414000000000003E-2</v>
      </c>
      <c r="X31">
        <v>7.8909000000000007E-2</v>
      </c>
      <c r="Y31">
        <v>0.29974699999999999</v>
      </c>
      <c r="Z31">
        <v>0.20691100000000001</v>
      </c>
      <c r="AA31">
        <v>0.269237</v>
      </c>
      <c r="AB31">
        <v>0.37848700000000002</v>
      </c>
      <c r="AC31">
        <v>0.381023</v>
      </c>
      <c r="AD31">
        <v>0.356512</v>
      </c>
      <c r="AE31">
        <v>0.25494499999999998</v>
      </c>
      <c r="AF31">
        <v>0.52383000000000002</v>
      </c>
      <c r="AG31">
        <v>0.31394</v>
      </c>
      <c r="AH31">
        <v>0.294348</v>
      </c>
      <c r="AI31">
        <v>0.34784100000000001</v>
      </c>
      <c r="AJ31">
        <v>0.318709666666667</v>
      </c>
      <c r="AK31">
        <v>0.318709666666667</v>
      </c>
      <c r="AL31">
        <v>0.318709666666667</v>
      </c>
    </row>
    <row r="32" spans="1:38" x14ac:dyDescent="0.2">
      <c r="B32">
        <v>1</v>
      </c>
      <c r="C32">
        <v>1</v>
      </c>
      <c r="D32">
        <v>1</v>
      </c>
      <c r="E32">
        <v>1</v>
      </c>
      <c r="F32">
        <v>0.93659899999999996</v>
      </c>
      <c r="G32">
        <v>0.92793599999999998</v>
      </c>
      <c r="H32">
        <v>0.90386500000000003</v>
      </c>
      <c r="I32">
        <v>0.73087500000000005</v>
      </c>
      <c r="J32">
        <v>0.71733499999999994</v>
      </c>
      <c r="K32">
        <v>0.64558800000000005</v>
      </c>
      <c r="L32">
        <v>0.65287700000000004</v>
      </c>
      <c r="M32">
        <v>0.56965100000000002</v>
      </c>
      <c r="N32">
        <v>0.62776900000000002</v>
      </c>
      <c r="O32">
        <v>0.43504100000000001</v>
      </c>
      <c r="P32">
        <v>0.499164</v>
      </c>
      <c r="Q32">
        <v>0.59591300000000003</v>
      </c>
      <c r="R32">
        <v>0.25400800000000001</v>
      </c>
      <c r="S32">
        <v>0</v>
      </c>
      <c r="T32">
        <v>0.201487</v>
      </c>
      <c r="U32">
        <v>0.37506400000000001</v>
      </c>
      <c r="V32">
        <v>0.29823699999999997</v>
      </c>
      <c r="W32">
        <v>8.4414000000000003E-2</v>
      </c>
      <c r="X32">
        <v>7.8909000000000007E-2</v>
      </c>
      <c r="Y32">
        <v>0.29974699999999999</v>
      </c>
      <c r="Z32">
        <v>0.20691100000000001</v>
      </c>
      <c r="AA32">
        <v>0.269237</v>
      </c>
      <c r="AB32">
        <v>0.37848700000000002</v>
      </c>
      <c r="AC32">
        <v>0.381023</v>
      </c>
      <c r="AD32">
        <v>0.356512</v>
      </c>
      <c r="AE32">
        <v>0.25494499999999998</v>
      </c>
      <c r="AF32">
        <v>0.52383000000000002</v>
      </c>
      <c r="AG32">
        <v>0.31394</v>
      </c>
      <c r="AH32">
        <v>0.294348</v>
      </c>
      <c r="AI32">
        <v>0.34784100000000001</v>
      </c>
      <c r="AJ32">
        <v>0.318709666666667</v>
      </c>
      <c r="AK32">
        <v>0.318709666666667</v>
      </c>
      <c r="AL32">
        <v>0.318709666666667</v>
      </c>
    </row>
    <row r="33" spans="1:38" x14ac:dyDescent="0.2">
      <c r="B33">
        <v>1</v>
      </c>
      <c r="C33">
        <v>1</v>
      </c>
      <c r="D33">
        <v>1</v>
      </c>
      <c r="E33">
        <v>1</v>
      </c>
      <c r="F33">
        <v>0.93659899999999996</v>
      </c>
      <c r="G33">
        <v>0.92793599999999998</v>
      </c>
      <c r="H33">
        <v>0.90386500000000003</v>
      </c>
      <c r="I33">
        <v>0.73087500000000005</v>
      </c>
      <c r="J33">
        <v>0.71733499999999994</v>
      </c>
      <c r="K33">
        <v>0.64558800000000005</v>
      </c>
      <c r="L33">
        <v>0.65287700000000004</v>
      </c>
      <c r="M33">
        <v>0.56965100000000002</v>
      </c>
      <c r="N33">
        <v>0.62776900000000002</v>
      </c>
      <c r="O33">
        <v>0.43504100000000001</v>
      </c>
      <c r="P33">
        <v>0.499164</v>
      </c>
      <c r="Q33">
        <v>0.59591300000000003</v>
      </c>
      <c r="R33">
        <v>0.25400800000000001</v>
      </c>
      <c r="S33">
        <v>0</v>
      </c>
      <c r="T33">
        <v>0.201487</v>
      </c>
      <c r="U33">
        <v>0.37506400000000001</v>
      </c>
      <c r="V33">
        <v>0.29823699999999997</v>
      </c>
      <c r="W33">
        <v>8.4414000000000003E-2</v>
      </c>
      <c r="X33">
        <v>7.8909000000000007E-2</v>
      </c>
      <c r="Y33">
        <v>0.29974699999999999</v>
      </c>
      <c r="Z33">
        <v>0.20691100000000001</v>
      </c>
      <c r="AA33">
        <v>0.269237</v>
      </c>
      <c r="AB33">
        <v>0.37848700000000002</v>
      </c>
      <c r="AC33">
        <v>0.381023</v>
      </c>
      <c r="AD33">
        <v>0.356512</v>
      </c>
      <c r="AE33">
        <v>0.25494499999999998</v>
      </c>
      <c r="AF33">
        <v>0.52383000000000002</v>
      </c>
      <c r="AG33">
        <v>0.31394</v>
      </c>
      <c r="AH33">
        <v>0.294348</v>
      </c>
      <c r="AI33">
        <v>0.34784100000000001</v>
      </c>
      <c r="AJ33">
        <v>0.318709666666667</v>
      </c>
      <c r="AK33">
        <v>0.318709666666667</v>
      </c>
      <c r="AL33">
        <v>0.318709666666667</v>
      </c>
    </row>
    <row r="34" spans="1:38" x14ac:dyDescent="0.2">
      <c r="A34">
        <v>8</v>
      </c>
      <c r="B34">
        <v>1</v>
      </c>
      <c r="C34">
        <v>1</v>
      </c>
      <c r="D34">
        <v>1</v>
      </c>
      <c r="E34">
        <v>1</v>
      </c>
      <c r="F34">
        <v>0.93659899999999996</v>
      </c>
      <c r="G34">
        <v>0.92793599999999998</v>
      </c>
      <c r="H34">
        <v>0.90386500000000003</v>
      </c>
      <c r="I34">
        <v>0.73087500000000005</v>
      </c>
      <c r="J34">
        <v>0.71733499999999994</v>
      </c>
      <c r="K34">
        <v>0.64558800000000005</v>
      </c>
      <c r="L34">
        <v>0.65287700000000004</v>
      </c>
      <c r="M34">
        <v>0.56965100000000002</v>
      </c>
      <c r="N34">
        <v>0.62776900000000002</v>
      </c>
      <c r="O34">
        <v>0.43504100000000001</v>
      </c>
      <c r="P34">
        <v>0.499164</v>
      </c>
      <c r="Q34">
        <v>0.59591300000000003</v>
      </c>
      <c r="R34">
        <v>0.25400800000000001</v>
      </c>
      <c r="S34">
        <v>0</v>
      </c>
      <c r="T34">
        <v>0.201487</v>
      </c>
      <c r="U34">
        <v>0.37506400000000001</v>
      </c>
      <c r="V34">
        <v>0.29823699999999997</v>
      </c>
      <c r="W34">
        <v>8.4414000000000003E-2</v>
      </c>
      <c r="X34">
        <v>7.8909000000000007E-2</v>
      </c>
      <c r="Y34">
        <v>0.29974699999999999</v>
      </c>
      <c r="Z34">
        <v>0.20691100000000001</v>
      </c>
      <c r="AA34">
        <v>0.269237</v>
      </c>
      <c r="AB34">
        <v>0.37848700000000002</v>
      </c>
      <c r="AC34">
        <v>0.381023</v>
      </c>
      <c r="AD34">
        <v>0.356512</v>
      </c>
      <c r="AE34">
        <v>0.25494499999999998</v>
      </c>
      <c r="AF34">
        <v>0.52383000000000002</v>
      </c>
      <c r="AG34">
        <v>0.31394</v>
      </c>
      <c r="AH34">
        <v>0.294348</v>
      </c>
      <c r="AI34">
        <v>0.34784100000000001</v>
      </c>
      <c r="AJ34">
        <v>0.318709666666667</v>
      </c>
      <c r="AK34">
        <v>0.318709666666667</v>
      </c>
      <c r="AL34">
        <v>0.318709666666667</v>
      </c>
    </row>
    <row r="35" spans="1:38" x14ac:dyDescent="0.2">
      <c r="B35">
        <v>1</v>
      </c>
      <c r="C35">
        <v>1</v>
      </c>
      <c r="D35">
        <v>1</v>
      </c>
      <c r="E35">
        <v>1</v>
      </c>
      <c r="F35">
        <v>0.93659899999999996</v>
      </c>
      <c r="G35">
        <v>0.92793599999999998</v>
      </c>
      <c r="H35">
        <v>0.90386500000000003</v>
      </c>
      <c r="I35">
        <v>0.73087500000000005</v>
      </c>
      <c r="J35">
        <v>0.71733499999999994</v>
      </c>
      <c r="K35">
        <v>0.64558800000000005</v>
      </c>
      <c r="L35">
        <v>0.65287700000000004</v>
      </c>
      <c r="M35">
        <v>0.56965100000000002</v>
      </c>
      <c r="N35">
        <v>0.62776900000000002</v>
      </c>
      <c r="O35">
        <v>0.43504100000000001</v>
      </c>
      <c r="P35">
        <v>0.499164</v>
      </c>
      <c r="Q35">
        <v>0.59591300000000003</v>
      </c>
      <c r="R35">
        <v>0.25400800000000001</v>
      </c>
      <c r="S35">
        <v>0</v>
      </c>
      <c r="T35">
        <v>0.201487</v>
      </c>
      <c r="U35">
        <v>0.37506400000000001</v>
      </c>
      <c r="V35">
        <v>0.29823699999999997</v>
      </c>
      <c r="W35">
        <v>8.4414000000000003E-2</v>
      </c>
      <c r="X35">
        <v>7.8909000000000007E-2</v>
      </c>
      <c r="Y35">
        <v>0.29974699999999999</v>
      </c>
      <c r="Z35">
        <v>0.20691100000000001</v>
      </c>
      <c r="AA35">
        <v>0.269237</v>
      </c>
      <c r="AB35">
        <v>0.37848700000000002</v>
      </c>
      <c r="AC35">
        <v>0.381023</v>
      </c>
      <c r="AD35">
        <v>0.356512</v>
      </c>
      <c r="AE35">
        <v>0.25494499999999998</v>
      </c>
      <c r="AF35">
        <v>0.52383000000000002</v>
      </c>
      <c r="AG35">
        <v>0.31394</v>
      </c>
      <c r="AH35">
        <v>0.294348</v>
      </c>
      <c r="AI35">
        <v>0.34784100000000001</v>
      </c>
      <c r="AJ35">
        <v>0.318709666666667</v>
      </c>
      <c r="AK35">
        <v>0.318709666666667</v>
      </c>
      <c r="AL35">
        <v>0.318709666666667</v>
      </c>
    </row>
    <row r="36" spans="1:38" x14ac:dyDescent="0.2">
      <c r="B36">
        <v>1</v>
      </c>
      <c r="C36">
        <v>1</v>
      </c>
      <c r="D36">
        <v>1</v>
      </c>
      <c r="E36">
        <v>1</v>
      </c>
      <c r="F36">
        <v>0.93659899999999996</v>
      </c>
      <c r="G36">
        <v>0.92793599999999998</v>
      </c>
      <c r="H36">
        <v>0.90386500000000003</v>
      </c>
      <c r="I36">
        <v>0.73087500000000005</v>
      </c>
      <c r="J36">
        <v>0.71733499999999994</v>
      </c>
      <c r="K36">
        <v>0.64558800000000005</v>
      </c>
      <c r="L36">
        <v>0.65287700000000004</v>
      </c>
      <c r="M36">
        <v>0.56965100000000002</v>
      </c>
      <c r="N36">
        <v>0.62776900000000002</v>
      </c>
      <c r="O36">
        <v>0.43504100000000001</v>
      </c>
      <c r="P36">
        <v>0.499164</v>
      </c>
      <c r="Q36">
        <v>0.59591300000000003</v>
      </c>
      <c r="R36">
        <v>0.25400800000000001</v>
      </c>
      <c r="S36">
        <v>0</v>
      </c>
      <c r="T36">
        <v>0.201487</v>
      </c>
      <c r="U36">
        <v>0.37506400000000001</v>
      </c>
      <c r="V36">
        <v>0.29823699999999997</v>
      </c>
      <c r="W36">
        <v>8.4414000000000003E-2</v>
      </c>
      <c r="X36">
        <v>7.8909000000000007E-2</v>
      </c>
      <c r="Y36">
        <v>0.29974699999999999</v>
      </c>
      <c r="Z36">
        <v>0.20691100000000001</v>
      </c>
      <c r="AA36">
        <v>0.269237</v>
      </c>
      <c r="AB36">
        <v>0.37848700000000002</v>
      </c>
      <c r="AC36">
        <v>0.381023</v>
      </c>
      <c r="AD36">
        <v>0.356512</v>
      </c>
      <c r="AE36">
        <v>0.25494499999999998</v>
      </c>
      <c r="AF36">
        <v>0.52383000000000002</v>
      </c>
      <c r="AG36">
        <v>0.31394</v>
      </c>
      <c r="AH36">
        <v>0.294348</v>
      </c>
      <c r="AI36">
        <v>0.34784100000000001</v>
      </c>
      <c r="AJ36">
        <v>0.318709666666667</v>
      </c>
      <c r="AK36">
        <v>0.318709666666667</v>
      </c>
      <c r="AL36">
        <v>0.318709666666667</v>
      </c>
    </row>
    <row r="37" spans="1:38" x14ac:dyDescent="0.2">
      <c r="B37">
        <v>1</v>
      </c>
      <c r="C37">
        <v>1</v>
      </c>
      <c r="D37">
        <v>1</v>
      </c>
      <c r="E37">
        <v>1</v>
      </c>
      <c r="F37">
        <v>0.93659899999999996</v>
      </c>
      <c r="G37">
        <v>0.92793599999999998</v>
      </c>
      <c r="H37">
        <v>0.90386500000000003</v>
      </c>
      <c r="I37">
        <v>0.73087500000000005</v>
      </c>
      <c r="J37">
        <v>0.71733499999999994</v>
      </c>
      <c r="K37">
        <v>0.64558800000000005</v>
      </c>
      <c r="L37">
        <v>0.65287700000000004</v>
      </c>
      <c r="M37">
        <v>0.56965100000000002</v>
      </c>
      <c r="N37">
        <v>0.62776900000000002</v>
      </c>
      <c r="O37">
        <v>0.43504100000000001</v>
      </c>
      <c r="P37">
        <v>0.499164</v>
      </c>
      <c r="Q37">
        <v>0.59591300000000003</v>
      </c>
      <c r="R37">
        <v>0.25400800000000001</v>
      </c>
      <c r="S37">
        <v>0</v>
      </c>
      <c r="T37">
        <v>0.201487</v>
      </c>
      <c r="U37">
        <v>0.37506400000000001</v>
      </c>
      <c r="V37">
        <v>0.29823699999999997</v>
      </c>
      <c r="W37">
        <v>8.4414000000000003E-2</v>
      </c>
      <c r="X37">
        <v>7.8909000000000007E-2</v>
      </c>
      <c r="Y37">
        <v>0.29974699999999999</v>
      </c>
      <c r="Z37">
        <v>0.20691100000000001</v>
      </c>
      <c r="AA37">
        <v>0.269237</v>
      </c>
      <c r="AB37">
        <v>0.37848700000000002</v>
      </c>
      <c r="AC37">
        <v>0.381023</v>
      </c>
      <c r="AD37">
        <v>0.356512</v>
      </c>
      <c r="AE37">
        <v>0.25494499999999998</v>
      </c>
      <c r="AF37">
        <v>0.52383000000000002</v>
      </c>
      <c r="AG37">
        <v>0.31394</v>
      </c>
      <c r="AH37">
        <v>0.294348</v>
      </c>
      <c r="AI37">
        <v>0.34784100000000001</v>
      </c>
      <c r="AJ37">
        <v>0.318709666666667</v>
      </c>
      <c r="AK37">
        <v>0.318709666666667</v>
      </c>
      <c r="AL37">
        <v>0.318709666666667</v>
      </c>
    </row>
    <row r="38" spans="1:38" x14ac:dyDescent="0.2">
      <c r="A38">
        <v>9</v>
      </c>
      <c r="B38">
        <v>1</v>
      </c>
      <c r="C38">
        <v>1</v>
      </c>
      <c r="D38">
        <v>1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2">
      <c r="B39">
        <v>1</v>
      </c>
      <c r="C39">
        <v>1</v>
      </c>
      <c r="D39">
        <v>1</v>
      </c>
      <c r="E39">
        <v>1</v>
      </c>
      <c r="F39">
        <v>0.93659899999999996</v>
      </c>
      <c r="G39">
        <v>0.92793599999999998</v>
      </c>
      <c r="H39">
        <v>0.90386500000000003</v>
      </c>
      <c r="I39">
        <v>0.73087500000000005</v>
      </c>
      <c r="J39">
        <v>0.71733499999999994</v>
      </c>
      <c r="K39">
        <v>0.64558800000000005</v>
      </c>
      <c r="L39">
        <v>0.65287700000000004</v>
      </c>
      <c r="M39">
        <v>0.56965100000000002</v>
      </c>
      <c r="N39">
        <v>0.62776900000000002</v>
      </c>
      <c r="O39">
        <v>0.43504100000000001</v>
      </c>
      <c r="P39">
        <v>0.499164</v>
      </c>
      <c r="Q39">
        <v>0.59591300000000003</v>
      </c>
      <c r="R39">
        <v>0.25400800000000001</v>
      </c>
      <c r="S39">
        <v>0</v>
      </c>
      <c r="T39">
        <v>0.201487</v>
      </c>
      <c r="U39">
        <v>0.37506400000000001</v>
      </c>
      <c r="V39">
        <v>0.29823699999999997</v>
      </c>
      <c r="W39">
        <v>8.4414000000000003E-2</v>
      </c>
      <c r="X39">
        <v>7.8909000000000007E-2</v>
      </c>
      <c r="Y39">
        <v>0.29974699999999999</v>
      </c>
      <c r="Z39">
        <v>0.20691100000000001</v>
      </c>
      <c r="AA39">
        <v>0.269237</v>
      </c>
      <c r="AB39">
        <v>0.37848700000000002</v>
      </c>
      <c r="AC39">
        <v>0.381023</v>
      </c>
      <c r="AD39">
        <v>0.356512</v>
      </c>
      <c r="AE39">
        <v>0.25494499999999998</v>
      </c>
      <c r="AF39">
        <v>0.52383000000000002</v>
      </c>
      <c r="AG39">
        <v>0.31394</v>
      </c>
      <c r="AH39">
        <v>0.294348</v>
      </c>
      <c r="AI39">
        <v>0.34784100000000001</v>
      </c>
      <c r="AJ39">
        <v>0.318709666666667</v>
      </c>
      <c r="AK39">
        <v>0.318709666666667</v>
      </c>
      <c r="AL39">
        <v>0.318709666666667</v>
      </c>
    </row>
    <row r="40" spans="1:38" x14ac:dyDescent="0.2">
      <c r="B40">
        <v>1</v>
      </c>
      <c r="C40">
        <v>1</v>
      </c>
      <c r="D40">
        <v>1</v>
      </c>
      <c r="E40">
        <v>1</v>
      </c>
      <c r="F40">
        <v>0.93659899999999996</v>
      </c>
      <c r="G40">
        <v>0.92793599999999998</v>
      </c>
      <c r="H40">
        <v>0.90386500000000003</v>
      </c>
      <c r="I40">
        <v>0.73087500000000005</v>
      </c>
      <c r="J40">
        <v>0.71733499999999994</v>
      </c>
      <c r="K40">
        <v>0.64558800000000005</v>
      </c>
      <c r="L40">
        <v>0.65287700000000004</v>
      </c>
      <c r="M40">
        <v>0.56965100000000002</v>
      </c>
      <c r="N40">
        <v>0.62776900000000002</v>
      </c>
      <c r="O40">
        <v>0.43504100000000001</v>
      </c>
      <c r="P40">
        <v>0.499164</v>
      </c>
      <c r="Q40">
        <v>0.59591300000000003</v>
      </c>
      <c r="R40">
        <v>0.25400800000000001</v>
      </c>
      <c r="S40">
        <v>0</v>
      </c>
      <c r="T40">
        <v>0.201487</v>
      </c>
      <c r="U40">
        <v>0.37506400000000001</v>
      </c>
      <c r="V40">
        <v>0.29823699999999997</v>
      </c>
      <c r="W40">
        <v>8.4414000000000003E-2</v>
      </c>
      <c r="X40">
        <v>7.8909000000000007E-2</v>
      </c>
      <c r="Y40">
        <v>0.29974699999999999</v>
      </c>
      <c r="Z40">
        <v>0.20691100000000001</v>
      </c>
      <c r="AA40">
        <v>0.269237</v>
      </c>
      <c r="AB40">
        <v>0.37848700000000002</v>
      </c>
      <c r="AC40">
        <v>0.381023</v>
      </c>
      <c r="AD40">
        <v>0.356512</v>
      </c>
      <c r="AE40">
        <v>0.25494499999999998</v>
      </c>
      <c r="AF40">
        <v>0.52383000000000002</v>
      </c>
      <c r="AG40">
        <v>0.31394</v>
      </c>
      <c r="AH40">
        <v>0.294348</v>
      </c>
      <c r="AI40">
        <v>0.34784100000000001</v>
      </c>
      <c r="AJ40">
        <v>0.318709666666667</v>
      </c>
      <c r="AK40">
        <v>0.318709666666667</v>
      </c>
      <c r="AL40">
        <v>0.318709666666667</v>
      </c>
    </row>
    <row r="41" spans="1:38" x14ac:dyDescent="0.2">
      <c r="B41">
        <v>1</v>
      </c>
      <c r="C41">
        <v>1</v>
      </c>
      <c r="D41">
        <v>1</v>
      </c>
      <c r="E41">
        <v>1</v>
      </c>
      <c r="F41">
        <v>0.93659899999999996</v>
      </c>
      <c r="G41">
        <v>0.92793599999999998</v>
      </c>
      <c r="H41">
        <v>0.90386500000000003</v>
      </c>
      <c r="I41">
        <v>0.73087500000000005</v>
      </c>
      <c r="J41">
        <v>0.71733499999999994</v>
      </c>
      <c r="K41">
        <v>0.64558800000000005</v>
      </c>
      <c r="L41">
        <v>0.65287700000000004</v>
      </c>
      <c r="M41">
        <v>0.56965100000000002</v>
      </c>
      <c r="N41">
        <v>0.62776900000000002</v>
      </c>
      <c r="O41">
        <v>0.43504100000000001</v>
      </c>
      <c r="P41">
        <v>0.499164</v>
      </c>
      <c r="Q41">
        <v>0.59591300000000003</v>
      </c>
      <c r="R41">
        <v>0.25400800000000001</v>
      </c>
      <c r="S41">
        <v>0</v>
      </c>
      <c r="T41">
        <v>0.201487</v>
      </c>
      <c r="U41">
        <v>0.37506400000000001</v>
      </c>
      <c r="V41">
        <v>0.29823699999999997</v>
      </c>
      <c r="W41">
        <v>8.4414000000000003E-2</v>
      </c>
      <c r="X41">
        <v>7.8909000000000007E-2</v>
      </c>
      <c r="Y41">
        <v>0.29974699999999999</v>
      </c>
      <c r="Z41">
        <v>0.20691100000000001</v>
      </c>
      <c r="AA41">
        <v>0.269237</v>
      </c>
      <c r="AB41">
        <v>0.37848700000000002</v>
      </c>
      <c r="AC41">
        <v>0.381023</v>
      </c>
      <c r="AD41">
        <v>0.356512</v>
      </c>
      <c r="AE41">
        <v>0.25494499999999998</v>
      </c>
      <c r="AF41">
        <v>0.52383000000000002</v>
      </c>
      <c r="AG41">
        <v>0.31394</v>
      </c>
      <c r="AH41">
        <v>0.294348</v>
      </c>
      <c r="AI41">
        <v>0.34784100000000001</v>
      </c>
      <c r="AJ41">
        <v>0.318709666666667</v>
      </c>
      <c r="AK41">
        <v>0.318709666666667</v>
      </c>
      <c r="AL41">
        <v>0.318709666666667</v>
      </c>
    </row>
    <row r="42" spans="1:38" x14ac:dyDescent="0.2">
      <c r="A42">
        <v>10</v>
      </c>
      <c r="B42">
        <v>1</v>
      </c>
      <c r="C42">
        <v>1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2">
      <c r="B43">
        <v>1</v>
      </c>
      <c r="C43">
        <v>1</v>
      </c>
      <c r="D43">
        <v>1</v>
      </c>
      <c r="E43">
        <v>1</v>
      </c>
      <c r="F43">
        <v>0.93659899999999996</v>
      </c>
      <c r="G43">
        <v>0.92793599999999998</v>
      </c>
      <c r="H43">
        <v>0.90386500000000003</v>
      </c>
      <c r="I43">
        <v>0.73087500000000005</v>
      </c>
      <c r="J43">
        <v>0.71733499999999994</v>
      </c>
      <c r="K43">
        <v>0.64558800000000005</v>
      </c>
      <c r="L43">
        <v>0.65287700000000004</v>
      </c>
      <c r="M43">
        <v>0.56965100000000002</v>
      </c>
      <c r="N43">
        <v>0.62776900000000002</v>
      </c>
      <c r="O43">
        <v>0.43504100000000001</v>
      </c>
      <c r="P43">
        <v>0.499164</v>
      </c>
      <c r="Q43">
        <v>0.59591300000000003</v>
      </c>
      <c r="R43">
        <v>0.25400800000000001</v>
      </c>
      <c r="S43">
        <v>0</v>
      </c>
      <c r="T43">
        <v>0.201487</v>
      </c>
      <c r="U43">
        <v>0.37506400000000001</v>
      </c>
      <c r="V43">
        <v>0.29823699999999997</v>
      </c>
      <c r="W43">
        <v>8.4414000000000003E-2</v>
      </c>
      <c r="X43">
        <v>7.8909000000000007E-2</v>
      </c>
      <c r="Y43">
        <v>0.29974699999999999</v>
      </c>
      <c r="Z43">
        <v>0.20691100000000001</v>
      </c>
      <c r="AA43">
        <v>0.269237</v>
      </c>
      <c r="AB43">
        <v>0.37848700000000002</v>
      </c>
      <c r="AC43">
        <v>0.381023</v>
      </c>
      <c r="AD43">
        <v>0.356512</v>
      </c>
      <c r="AE43">
        <v>0.25494499999999998</v>
      </c>
      <c r="AF43">
        <v>0.52383000000000002</v>
      </c>
      <c r="AG43">
        <v>0.31394</v>
      </c>
      <c r="AH43">
        <v>0.294348</v>
      </c>
      <c r="AI43">
        <v>0.34784100000000001</v>
      </c>
      <c r="AJ43">
        <v>0.318709666666667</v>
      </c>
      <c r="AK43">
        <v>0.318709666666667</v>
      </c>
      <c r="AL43">
        <v>0.318709666666667</v>
      </c>
    </row>
    <row r="44" spans="1:38" x14ac:dyDescent="0.2">
      <c r="B44">
        <v>1</v>
      </c>
      <c r="C44">
        <v>1</v>
      </c>
      <c r="D44">
        <v>1</v>
      </c>
      <c r="E44">
        <v>1</v>
      </c>
      <c r="F44">
        <v>0.93659899999999996</v>
      </c>
      <c r="G44">
        <v>0.92793599999999998</v>
      </c>
      <c r="H44">
        <v>0.90386500000000003</v>
      </c>
      <c r="I44">
        <v>0.73087500000000005</v>
      </c>
      <c r="J44">
        <v>0.71733499999999994</v>
      </c>
      <c r="K44">
        <v>0.64558800000000005</v>
      </c>
      <c r="L44">
        <v>0.65287700000000004</v>
      </c>
      <c r="M44">
        <v>0.56965100000000002</v>
      </c>
      <c r="N44">
        <v>0.62776900000000002</v>
      </c>
      <c r="O44">
        <v>0.43504100000000001</v>
      </c>
      <c r="P44">
        <v>0.499164</v>
      </c>
      <c r="Q44">
        <v>0.59591300000000003</v>
      </c>
      <c r="R44">
        <v>0.25400800000000001</v>
      </c>
      <c r="S44">
        <v>0</v>
      </c>
      <c r="T44">
        <v>0.201487</v>
      </c>
      <c r="U44">
        <v>0.37506400000000001</v>
      </c>
      <c r="V44">
        <v>0.29823699999999997</v>
      </c>
      <c r="W44">
        <v>8.4414000000000003E-2</v>
      </c>
      <c r="X44">
        <v>7.8909000000000007E-2</v>
      </c>
      <c r="Y44">
        <v>0.29974699999999999</v>
      </c>
      <c r="Z44">
        <v>0.20691100000000001</v>
      </c>
      <c r="AA44">
        <v>0.269237</v>
      </c>
      <c r="AB44">
        <v>0.37848700000000002</v>
      </c>
      <c r="AC44">
        <v>0.381023</v>
      </c>
      <c r="AD44">
        <v>0.356512</v>
      </c>
      <c r="AE44">
        <v>0.25494499999999998</v>
      </c>
      <c r="AF44">
        <v>0.52383000000000002</v>
      </c>
      <c r="AG44">
        <v>0.31394</v>
      </c>
      <c r="AH44">
        <v>0.294348</v>
      </c>
      <c r="AI44">
        <v>0.34784100000000001</v>
      </c>
      <c r="AJ44">
        <v>0.318709666666667</v>
      </c>
      <c r="AK44">
        <v>0.318709666666667</v>
      </c>
      <c r="AL44">
        <v>0.318709666666667</v>
      </c>
    </row>
    <row r="45" spans="1:38" x14ac:dyDescent="0.2">
      <c r="B45">
        <v>1</v>
      </c>
      <c r="C45">
        <v>1</v>
      </c>
      <c r="D45">
        <v>1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2">
      <c r="A46">
        <v>11</v>
      </c>
      <c r="B46">
        <v>1</v>
      </c>
      <c r="C46">
        <v>1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2">
      <c r="B47">
        <v>1</v>
      </c>
      <c r="C47">
        <v>1</v>
      </c>
      <c r="D47">
        <v>1</v>
      </c>
      <c r="E47">
        <v>1</v>
      </c>
      <c r="F47">
        <v>0.93659899999999996</v>
      </c>
      <c r="G47">
        <v>0.92793599999999998</v>
      </c>
      <c r="H47">
        <v>0.90386500000000003</v>
      </c>
      <c r="I47">
        <v>0.73087500000000005</v>
      </c>
      <c r="J47">
        <v>0.71733499999999994</v>
      </c>
      <c r="K47">
        <v>0.64558800000000005</v>
      </c>
      <c r="L47">
        <v>0.65287700000000004</v>
      </c>
      <c r="M47">
        <v>0.56965100000000002</v>
      </c>
      <c r="N47">
        <v>0.62776900000000002</v>
      </c>
      <c r="O47">
        <v>0.43504100000000001</v>
      </c>
      <c r="P47">
        <v>0.499164</v>
      </c>
      <c r="Q47">
        <v>0.59591300000000003</v>
      </c>
      <c r="R47">
        <v>0.25400800000000001</v>
      </c>
      <c r="S47">
        <v>0</v>
      </c>
      <c r="T47">
        <v>0.201487</v>
      </c>
      <c r="U47">
        <v>0.37506400000000001</v>
      </c>
      <c r="V47">
        <v>0.29823699999999997</v>
      </c>
      <c r="W47">
        <v>8.4414000000000003E-2</v>
      </c>
      <c r="X47">
        <v>7.8909000000000007E-2</v>
      </c>
      <c r="Y47">
        <v>0.29974699999999999</v>
      </c>
      <c r="Z47">
        <v>0.20691100000000001</v>
      </c>
      <c r="AA47">
        <v>0.269237</v>
      </c>
      <c r="AB47">
        <v>0.37848700000000002</v>
      </c>
      <c r="AC47">
        <v>0.381023</v>
      </c>
      <c r="AD47">
        <v>0.356512</v>
      </c>
      <c r="AE47">
        <v>0.25494499999999998</v>
      </c>
      <c r="AF47">
        <v>0.52383000000000002</v>
      </c>
      <c r="AG47">
        <v>0.31394</v>
      </c>
      <c r="AH47">
        <v>0.294348</v>
      </c>
      <c r="AI47">
        <v>0.34784100000000001</v>
      </c>
      <c r="AJ47">
        <v>0.318709666666667</v>
      </c>
      <c r="AK47">
        <v>0.318709666666667</v>
      </c>
      <c r="AL47">
        <v>0.318709666666667</v>
      </c>
    </row>
    <row r="48" spans="1:38" x14ac:dyDescent="0.2">
      <c r="B48">
        <v>1</v>
      </c>
      <c r="C48">
        <v>1</v>
      </c>
      <c r="D48">
        <v>1</v>
      </c>
      <c r="E48">
        <v>1</v>
      </c>
      <c r="F48">
        <v>0.93659899999999996</v>
      </c>
      <c r="G48">
        <v>0.92793599999999998</v>
      </c>
      <c r="H48">
        <v>0.90386500000000003</v>
      </c>
      <c r="I48">
        <v>0.73087500000000005</v>
      </c>
      <c r="J48">
        <v>0.71733499999999994</v>
      </c>
      <c r="K48">
        <v>0.64558800000000005</v>
      </c>
      <c r="L48">
        <v>0.65287700000000004</v>
      </c>
      <c r="M48">
        <v>0.56965100000000002</v>
      </c>
      <c r="N48">
        <v>0.62776900000000002</v>
      </c>
      <c r="O48">
        <v>0.43504100000000001</v>
      </c>
      <c r="P48">
        <v>0.499164</v>
      </c>
      <c r="Q48">
        <v>0.59591300000000003</v>
      </c>
      <c r="R48">
        <v>0.25400800000000001</v>
      </c>
      <c r="S48">
        <v>0</v>
      </c>
      <c r="T48">
        <v>0.201487</v>
      </c>
      <c r="U48">
        <v>0.37506400000000001</v>
      </c>
      <c r="V48">
        <v>0.29823699999999997</v>
      </c>
      <c r="W48">
        <v>8.4414000000000003E-2</v>
      </c>
      <c r="X48">
        <v>7.8909000000000007E-2</v>
      </c>
      <c r="Y48">
        <v>0.29974699999999999</v>
      </c>
      <c r="Z48">
        <v>0.20691100000000001</v>
      </c>
      <c r="AA48">
        <v>0.269237</v>
      </c>
      <c r="AB48">
        <v>0.37848700000000002</v>
      </c>
      <c r="AC48">
        <v>0.381023</v>
      </c>
      <c r="AD48">
        <v>0.356512</v>
      </c>
      <c r="AE48">
        <v>0.25494499999999998</v>
      </c>
      <c r="AF48">
        <v>0.52383000000000002</v>
      </c>
      <c r="AG48">
        <v>0.31394</v>
      </c>
      <c r="AH48">
        <v>0.294348</v>
      </c>
      <c r="AI48">
        <v>0.34784100000000001</v>
      </c>
      <c r="AJ48">
        <v>0.318709666666667</v>
      </c>
      <c r="AK48">
        <v>0.318709666666667</v>
      </c>
      <c r="AL48">
        <v>0.318709666666667</v>
      </c>
    </row>
    <row r="49" spans="1:38" x14ac:dyDescent="0.2">
      <c r="B49">
        <v>1</v>
      </c>
      <c r="C49">
        <v>1</v>
      </c>
      <c r="D49">
        <v>1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2">
      <c r="A50">
        <v>12</v>
      </c>
      <c r="B50">
        <v>1</v>
      </c>
      <c r="C50">
        <v>1</v>
      </c>
      <c r="D50">
        <v>1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2">
      <c r="B51">
        <v>1</v>
      </c>
      <c r="C51">
        <v>1</v>
      </c>
      <c r="D51">
        <v>1</v>
      </c>
      <c r="E51">
        <v>1</v>
      </c>
      <c r="F51">
        <v>0.93659899999999996</v>
      </c>
      <c r="G51">
        <v>0.92793599999999998</v>
      </c>
      <c r="H51">
        <v>0.90386500000000003</v>
      </c>
      <c r="I51">
        <v>0.73087500000000005</v>
      </c>
      <c r="J51">
        <v>0.71733499999999994</v>
      </c>
      <c r="K51">
        <v>0.64558800000000005</v>
      </c>
      <c r="L51">
        <v>0.65287700000000004</v>
      </c>
      <c r="M51">
        <v>0.56965100000000002</v>
      </c>
      <c r="N51">
        <v>0.62776900000000002</v>
      </c>
      <c r="O51">
        <v>0.43504100000000001</v>
      </c>
      <c r="P51">
        <v>0.499164</v>
      </c>
      <c r="Q51">
        <v>0.59591300000000003</v>
      </c>
      <c r="R51">
        <v>0.25400800000000001</v>
      </c>
      <c r="S51">
        <v>0</v>
      </c>
      <c r="T51">
        <v>0.201487</v>
      </c>
      <c r="U51">
        <v>0.37506400000000001</v>
      </c>
      <c r="V51">
        <v>0.29823699999999997</v>
      </c>
      <c r="W51">
        <v>8.4414000000000003E-2</v>
      </c>
      <c r="X51">
        <v>7.8909000000000007E-2</v>
      </c>
      <c r="Y51">
        <v>0.29974699999999999</v>
      </c>
      <c r="Z51">
        <v>0.20691100000000001</v>
      </c>
      <c r="AA51">
        <v>0.269237</v>
      </c>
      <c r="AB51">
        <v>0.37848700000000002</v>
      </c>
      <c r="AC51">
        <v>0.381023</v>
      </c>
      <c r="AD51">
        <v>0.356512</v>
      </c>
      <c r="AE51">
        <v>0.25494499999999998</v>
      </c>
      <c r="AF51">
        <v>0.52383000000000002</v>
      </c>
      <c r="AG51">
        <v>0.31394</v>
      </c>
      <c r="AH51">
        <v>0.294348</v>
      </c>
      <c r="AI51">
        <v>0.34784100000000001</v>
      </c>
      <c r="AJ51">
        <v>0.318709666666667</v>
      </c>
      <c r="AK51">
        <v>0.318709666666667</v>
      </c>
      <c r="AL51">
        <v>0.318709666666667</v>
      </c>
    </row>
    <row r="52" spans="1:38" x14ac:dyDescent="0.2">
      <c r="B52">
        <v>1</v>
      </c>
      <c r="C52">
        <v>1</v>
      </c>
      <c r="D52">
        <v>1</v>
      </c>
      <c r="E52">
        <v>1</v>
      </c>
      <c r="F52">
        <v>0.93659899999999996</v>
      </c>
      <c r="G52">
        <v>0.92793599999999998</v>
      </c>
      <c r="H52">
        <v>0.90386500000000003</v>
      </c>
      <c r="I52">
        <v>0.73087500000000005</v>
      </c>
      <c r="J52">
        <v>0.71733499999999994</v>
      </c>
      <c r="K52">
        <v>0.64558800000000005</v>
      </c>
      <c r="L52">
        <v>0.65287700000000004</v>
      </c>
      <c r="M52">
        <v>0.56965100000000002</v>
      </c>
      <c r="N52">
        <v>0.62776900000000002</v>
      </c>
      <c r="O52">
        <v>0.43504100000000001</v>
      </c>
      <c r="P52">
        <v>0.499164</v>
      </c>
      <c r="Q52">
        <v>0.59591300000000003</v>
      </c>
      <c r="R52">
        <v>0.25400800000000001</v>
      </c>
      <c r="S52">
        <v>0</v>
      </c>
      <c r="T52">
        <v>0.201487</v>
      </c>
      <c r="U52">
        <v>0.37506400000000001</v>
      </c>
      <c r="V52">
        <v>0.29823699999999997</v>
      </c>
      <c r="W52">
        <v>8.4414000000000003E-2</v>
      </c>
      <c r="X52">
        <v>7.8909000000000007E-2</v>
      </c>
      <c r="Y52">
        <v>0.29974699999999999</v>
      </c>
      <c r="Z52">
        <v>0.20691100000000001</v>
      </c>
      <c r="AA52">
        <v>0.269237</v>
      </c>
      <c r="AB52">
        <v>0.37848700000000002</v>
      </c>
      <c r="AC52">
        <v>0.381023</v>
      </c>
      <c r="AD52">
        <v>0.356512</v>
      </c>
      <c r="AE52">
        <v>0.25494499999999998</v>
      </c>
      <c r="AF52">
        <v>0.52383000000000002</v>
      </c>
      <c r="AG52">
        <v>0.31394</v>
      </c>
      <c r="AH52">
        <v>0.294348</v>
      </c>
      <c r="AI52">
        <v>0.34784100000000001</v>
      </c>
      <c r="AJ52">
        <v>0.318709666666667</v>
      </c>
      <c r="AK52">
        <v>0.318709666666667</v>
      </c>
      <c r="AL52">
        <v>0.318709666666667</v>
      </c>
    </row>
    <row r="53" spans="1:38" x14ac:dyDescent="0.2">
      <c r="B53">
        <v>1</v>
      </c>
      <c r="C53">
        <v>1</v>
      </c>
      <c r="D53">
        <v>1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2">
      <c r="A54">
        <v>13</v>
      </c>
      <c r="B54">
        <v>1</v>
      </c>
      <c r="C54">
        <v>1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2">
      <c r="B55">
        <v>1</v>
      </c>
      <c r="C55">
        <v>1</v>
      </c>
      <c r="D55">
        <v>1</v>
      </c>
      <c r="E55">
        <v>1</v>
      </c>
      <c r="F55">
        <v>0.93659899999999996</v>
      </c>
      <c r="G55">
        <v>0.92793599999999998</v>
      </c>
      <c r="H55">
        <v>0.90386500000000003</v>
      </c>
      <c r="I55">
        <v>0.73087500000000005</v>
      </c>
      <c r="J55">
        <v>0.71733499999999994</v>
      </c>
      <c r="K55">
        <v>0.64558800000000005</v>
      </c>
      <c r="L55">
        <v>0.65287700000000004</v>
      </c>
      <c r="M55">
        <v>0.56965100000000002</v>
      </c>
      <c r="N55">
        <v>0.62776900000000002</v>
      </c>
      <c r="O55">
        <v>0.43504100000000001</v>
      </c>
      <c r="P55">
        <v>0.499164</v>
      </c>
      <c r="Q55">
        <v>0.59591300000000003</v>
      </c>
      <c r="R55">
        <v>0.25400800000000001</v>
      </c>
      <c r="S55">
        <v>0</v>
      </c>
      <c r="T55">
        <v>0.201487</v>
      </c>
      <c r="U55">
        <v>0.37506400000000001</v>
      </c>
      <c r="V55">
        <v>0.29823699999999997</v>
      </c>
      <c r="W55">
        <v>8.4414000000000003E-2</v>
      </c>
      <c r="X55">
        <v>7.8909000000000007E-2</v>
      </c>
      <c r="Y55">
        <v>0.29974699999999999</v>
      </c>
      <c r="Z55">
        <v>0.20691100000000001</v>
      </c>
      <c r="AA55">
        <v>0.269237</v>
      </c>
      <c r="AB55">
        <v>0.37848700000000002</v>
      </c>
      <c r="AC55">
        <v>0.381023</v>
      </c>
      <c r="AD55">
        <v>0.356512</v>
      </c>
      <c r="AE55">
        <v>0.25494499999999998</v>
      </c>
      <c r="AF55">
        <v>0.52383000000000002</v>
      </c>
      <c r="AG55">
        <v>0.31394</v>
      </c>
      <c r="AH55">
        <v>0.294348</v>
      </c>
      <c r="AI55">
        <v>0.34784100000000001</v>
      </c>
      <c r="AJ55">
        <v>0.318709666666667</v>
      </c>
      <c r="AK55">
        <v>0.318709666666667</v>
      </c>
      <c r="AL55">
        <v>0.318709666666667</v>
      </c>
    </row>
    <row r="56" spans="1:38" x14ac:dyDescent="0.2">
      <c r="B56">
        <v>1</v>
      </c>
      <c r="C56">
        <v>1</v>
      </c>
      <c r="D56">
        <v>1</v>
      </c>
      <c r="E56">
        <v>1</v>
      </c>
      <c r="F56">
        <v>0.93659899999999996</v>
      </c>
      <c r="G56">
        <v>0.92793599999999998</v>
      </c>
      <c r="H56">
        <v>0.90386500000000003</v>
      </c>
      <c r="I56">
        <v>0.73087500000000005</v>
      </c>
      <c r="J56">
        <v>0.71733499999999994</v>
      </c>
      <c r="K56">
        <v>0.64558800000000005</v>
      </c>
      <c r="L56">
        <v>0.65287700000000004</v>
      </c>
      <c r="M56">
        <v>0.56965100000000002</v>
      </c>
      <c r="N56">
        <v>0.62776900000000002</v>
      </c>
      <c r="O56">
        <v>0.43504100000000001</v>
      </c>
      <c r="P56">
        <v>0.499164</v>
      </c>
      <c r="Q56">
        <v>0.59591300000000003</v>
      </c>
      <c r="R56">
        <v>0.25400800000000001</v>
      </c>
      <c r="S56">
        <v>0</v>
      </c>
      <c r="T56">
        <v>0.201487</v>
      </c>
      <c r="U56">
        <v>0.37506400000000001</v>
      </c>
      <c r="V56">
        <v>0.29823699999999997</v>
      </c>
      <c r="W56">
        <v>8.4414000000000003E-2</v>
      </c>
      <c r="X56">
        <v>7.8909000000000007E-2</v>
      </c>
      <c r="Y56">
        <v>0.29974699999999999</v>
      </c>
      <c r="Z56">
        <v>0.20691100000000001</v>
      </c>
      <c r="AA56">
        <v>0.269237</v>
      </c>
      <c r="AB56">
        <v>0.37848700000000002</v>
      </c>
      <c r="AC56">
        <v>0.381023</v>
      </c>
      <c r="AD56">
        <v>0.356512</v>
      </c>
      <c r="AE56">
        <v>0.25494499999999998</v>
      </c>
      <c r="AF56">
        <v>0.52383000000000002</v>
      </c>
      <c r="AG56">
        <v>0.31394</v>
      </c>
      <c r="AH56">
        <v>0.294348</v>
      </c>
      <c r="AI56">
        <v>0.34784100000000001</v>
      </c>
      <c r="AJ56">
        <v>0.318709666666667</v>
      </c>
      <c r="AK56">
        <v>0.318709666666667</v>
      </c>
      <c r="AL56">
        <v>0.318709666666667</v>
      </c>
    </row>
    <row r="57" spans="1:38" x14ac:dyDescent="0.2">
      <c r="B57">
        <v>1</v>
      </c>
      <c r="C57">
        <v>1</v>
      </c>
      <c r="D57">
        <v>1</v>
      </c>
      <c r="E57">
        <v>1</v>
      </c>
      <c r="F57">
        <v>0.93659899999999996</v>
      </c>
      <c r="G57">
        <v>0.92793599999999998</v>
      </c>
      <c r="H57">
        <v>0.90386500000000003</v>
      </c>
      <c r="I57">
        <v>0.73087500000000005</v>
      </c>
      <c r="J57">
        <v>0.71733499999999994</v>
      </c>
      <c r="K57">
        <v>0.64558800000000005</v>
      </c>
      <c r="L57">
        <v>0.65287700000000004</v>
      </c>
      <c r="M57">
        <v>0.56965100000000002</v>
      </c>
      <c r="N57">
        <v>0.62776900000000002</v>
      </c>
      <c r="O57">
        <v>0.43504100000000001</v>
      </c>
      <c r="P57">
        <v>0.499164</v>
      </c>
      <c r="Q57">
        <v>0.59591300000000003</v>
      </c>
      <c r="R57">
        <v>0.25400800000000001</v>
      </c>
      <c r="S57">
        <v>0</v>
      </c>
      <c r="T57">
        <v>0.201487</v>
      </c>
      <c r="U57">
        <v>0.37506400000000001</v>
      </c>
      <c r="V57">
        <v>0.29823699999999997</v>
      </c>
      <c r="W57">
        <v>8.4414000000000003E-2</v>
      </c>
      <c r="X57">
        <v>7.8909000000000007E-2</v>
      </c>
      <c r="Y57">
        <v>0.29974699999999999</v>
      </c>
      <c r="Z57">
        <v>0.20691100000000001</v>
      </c>
      <c r="AA57">
        <v>0.269237</v>
      </c>
      <c r="AB57">
        <v>0.37848700000000002</v>
      </c>
      <c r="AC57">
        <v>0.381023</v>
      </c>
      <c r="AD57">
        <v>0.356512</v>
      </c>
      <c r="AE57">
        <v>0.25494499999999998</v>
      </c>
      <c r="AF57">
        <v>0.52383000000000002</v>
      </c>
      <c r="AG57">
        <v>0.31394</v>
      </c>
      <c r="AH57">
        <v>0.294348</v>
      </c>
      <c r="AI57">
        <v>0.34784100000000001</v>
      </c>
      <c r="AJ57">
        <v>0.318709666666667</v>
      </c>
      <c r="AK57">
        <v>0.318709666666667</v>
      </c>
      <c r="AL57">
        <v>0.318709666666667</v>
      </c>
    </row>
    <row r="58" spans="1:38" x14ac:dyDescent="0.2">
      <c r="A58">
        <v>14</v>
      </c>
      <c r="B58">
        <v>1</v>
      </c>
      <c r="C58">
        <v>1</v>
      </c>
      <c r="D58">
        <v>1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2">
      <c r="B59">
        <v>1</v>
      </c>
      <c r="C59">
        <v>1</v>
      </c>
      <c r="D59">
        <v>1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2">
      <c r="B60">
        <v>1</v>
      </c>
      <c r="C60">
        <v>1</v>
      </c>
      <c r="D60">
        <v>1</v>
      </c>
      <c r="E60">
        <v>1</v>
      </c>
      <c r="F60">
        <v>0.93659899999999996</v>
      </c>
      <c r="G60">
        <v>0.92793599999999998</v>
      </c>
      <c r="H60">
        <v>0.90386500000000003</v>
      </c>
      <c r="I60">
        <v>0.73087500000000005</v>
      </c>
      <c r="J60">
        <v>0.71733499999999994</v>
      </c>
      <c r="K60">
        <v>0.64558800000000005</v>
      </c>
      <c r="L60">
        <v>0.65287700000000004</v>
      </c>
      <c r="M60">
        <v>0.56965100000000002</v>
      </c>
      <c r="N60">
        <v>0.62776900000000002</v>
      </c>
      <c r="O60">
        <v>0.43504100000000001</v>
      </c>
      <c r="P60">
        <v>0.499164</v>
      </c>
      <c r="Q60">
        <v>0.59591300000000003</v>
      </c>
      <c r="R60">
        <v>0.25400800000000001</v>
      </c>
      <c r="S60">
        <v>0</v>
      </c>
      <c r="T60">
        <v>0.201487</v>
      </c>
      <c r="U60">
        <v>0.37506400000000001</v>
      </c>
      <c r="V60">
        <v>0.29823699999999997</v>
      </c>
      <c r="W60">
        <v>8.4414000000000003E-2</v>
      </c>
      <c r="X60">
        <v>7.8909000000000007E-2</v>
      </c>
      <c r="Y60">
        <v>0.29974699999999999</v>
      </c>
      <c r="Z60">
        <v>0.20691100000000001</v>
      </c>
      <c r="AA60">
        <v>0.269237</v>
      </c>
      <c r="AB60">
        <v>0.37848700000000002</v>
      </c>
      <c r="AC60">
        <v>0.381023</v>
      </c>
      <c r="AD60">
        <v>0.356512</v>
      </c>
      <c r="AE60">
        <v>0.25494499999999998</v>
      </c>
      <c r="AF60">
        <v>0.52383000000000002</v>
      </c>
      <c r="AG60">
        <v>0.31394</v>
      </c>
      <c r="AH60">
        <v>0.294348</v>
      </c>
      <c r="AI60">
        <v>0.34784100000000001</v>
      </c>
      <c r="AJ60">
        <v>0.318709666666667</v>
      </c>
      <c r="AK60">
        <v>0.318709666666667</v>
      </c>
      <c r="AL60">
        <v>0.318709666666667</v>
      </c>
    </row>
    <row r="61" spans="1:38" x14ac:dyDescent="0.2">
      <c r="B61">
        <v>1</v>
      </c>
      <c r="C61">
        <v>1</v>
      </c>
      <c r="D61">
        <v>1</v>
      </c>
      <c r="E61"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2">
      <c r="A62">
        <v>15</v>
      </c>
      <c r="B62">
        <v>1</v>
      </c>
      <c r="C62">
        <v>1</v>
      </c>
      <c r="D62">
        <v>1</v>
      </c>
      <c r="E62">
        <v>1</v>
      </c>
      <c r="F62">
        <v>0.93659899999999996</v>
      </c>
      <c r="G62">
        <v>0.92793599999999998</v>
      </c>
      <c r="H62">
        <v>0.90386500000000003</v>
      </c>
      <c r="I62">
        <v>0.73087500000000005</v>
      </c>
      <c r="J62">
        <v>0.71733499999999994</v>
      </c>
      <c r="K62">
        <v>0.64558800000000005</v>
      </c>
      <c r="L62">
        <v>0.65287700000000004</v>
      </c>
      <c r="M62">
        <v>0.56965100000000002</v>
      </c>
      <c r="N62">
        <v>0.62776900000000002</v>
      </c>
      <c r="O62">
        <v>0.43504100000000001</v>
      </c>
      <c r="P62">
        <v>0.499164</v>
      </c>
      <c r="Q62">
        <v>0.59591300000000003</v>
      </c>
      <c r="R62">
        <v>0.25400800000000001</v>
      </c>
      <c r="S62">
        <v>0</v>
      </c>
      <c r="T62">
        <v>0.201487</v>
      </c>
      <c r="U62">
        <v>0.37506400000000001</v>
      </c>
      <c r="V62">
        <v>0.29823699999999997</v>
      </c>
      <c r="W62">
        <v>8.4414000000000003E-2</v>
      </c>
      <c r="X62">
        <v>7.8909000000000007E-2</v>
      </c>
      <c r="Y62">
        <v>0.29974699999999999</v>
      </c>
      <c r="Z62">
        <v>0.20691100000000001</v>
      </c>
      <c r="AA62">
        <v>0.269237</v>
      </c>
      <c r="AB62">
        <v>0.37848700000000002</v>
      </c>
      <c r="AC62">
        <v>0.381023</v>
      </c>
      <c r="AD62">
        <v>0.356512</v>
      </c>
      <c r="AE62">
        <v>0.25494499999999998</v>
      </c>
      <c r="AF62">
        <v>0.52383000000000002</v>
      </c>
      <c r="AG62">
        <v>0.31394</v>
      </c>
      <c r="AH62">
        <v>0.294348</v>
      </c>
      <c r="AI62">
        <v>0.34784100000000001</v>
      </c>
      <c r="AJ62">
        <v>0.318709666666667</v>
      </c>
      <c r="AK62">
        <v>0.318709666666667</v>
      </c>
      <c r="AL62">
        <v>0.318709666666667</v>
      </c>
    </row>
    <row r="63" spans="1:38" x14ac:dyDescent="0.2">
      <c r="B63">
        <v>1</v>
      </c>
      <c r="C63">
        <v>1</v>
      </c>
      <c r="D63">
        <v>1</v>
      </c>
      <c r="E63">
        <v>1</v>
      </c>
      <c r="F63">
        <v>0.93659899999999996</v>
      </c>
      <c r="G63">
        <v>0.92793599999999998</v>
      </c>
      <c r="H63">
        <v>0.90386500000000003</v>
      </c>
      <c r="I63">
        <v>0.73087500000000005</v>
      </c>
      <c r="J63">
        <v>0.71733499999999994</v>
      </c>
      <c r="K63">
        <v>0.64558800000000005</v>
      </c>
      <c r="L63">
        <v>0.65287700000000004</v>
      </c>
      <c r="M63">
        <v>0.56965100000000002</v>
      </c>
      <c r="N63">
        <v>0.62776900000000002</v>
      </c>
      <c r="O63">
        <v>0.43504100000000001</v>
      </c>
      <c r="P63">
        <v>0.499164</v>
      </c>
      <c r="Q63">
        <v>0.59591300000000003</v>
      </c>
      <c r="R63">
        <v>0.25400800000000001</v>
      </c>
      <c r="S63">
        <v>0</v>
      </c>
      <c r="T63">
        <v>0.201487</v>
      </c>
      <c r="U63">
        <v>0.37506400000000001</v>
      </c>
      <c r="V63">
        <v>0.29823699999999997</v>
      </c>
      <c r="W63">
        <v>8.4414000000000003E-2</v>
      </c>
      <c r="X63">
        <v>7.8909000000000007E-2</v>
      </c>
      <c r="Y63">
        <v>0.29974699999999999</v>
      </c>
      <c r="Z63">
        <v>0.20691100000000001</v>
      </c>
      <c r="AA63">
        <v>0.269237</v>
      </c>
      <c r="AB63">
        <v>0.37848700000000002</v>
      </c>
      <c r="AC63">
        <v>0.381023</v>
      </c>
      <c r="AD63">
        <v>0.356512</v>
      </c>
      <c r="AE63">
        <v>0.25494499999999998</v>
      </c>
      <c r="AF63">
        <v>0.52383000000000002</v>
      </c>
      <c r="AG63">
        <v>0.31394</v>
      </c>
      <c r="AH63">
        <v>0.294348</v>
      </c>
      <c r="AI63">
        <v>0.34784100000000001</v>
      </c>
      <c r="AJ63">
        <v>0.318709666666667</v>
      </c>
      <c r="AK63">
        <v>0.318709666666667</v>
      </c>
      <c r="AL63">
        <v>0.318709666666667</v>
      </c>
    </row>
    <row r="64" spans="1:38" x14ac:dyDescent="0.2">
      <c r="B64">
        <v>1</v>
      </c>
      <c r="C64">
        <v>1</v>
      </c>
      <c r="D64">
        <v>1</v>
      </c>
      <c r="E64">
        <v>1</v>
      </c>
      <c r="F64">
        <v>0.93659899999999996</v>
      </c>
      <c r="G64">
        <v>0.92793599999999998</v>
      </c>
      <c r="H64">
        <v>0.90386500000000003</v>
      </c>
      <c r="I64">
        <v>0.73087500000000005</v>
      </c>
      <c r="J64">
        <v>0.71733499999999994</v>
      </c>
      <c r="K64">
        <v>0.64558800000000005</v>
      </c>
      <c r="L64">
        <v>0.65287700000000004</v>
      </c>
      <c r="M64">
        <v>0.56965100000000002</v>
      </c>
      <c r="N64">
        <v>0.62776900000000002</v>
      </c>
      <c r="O64">
        <v>0.43504100000000001</v>
      </c>
      <c r="P64">
        <v>0.499164</v>
      </c>
      <c r="Q64">
        <v>0.59591300000000003</v>
      </c>
      <c r="R64">
        <v>0.25400800000000001</v>
      </c>
      <c r="S64">
        <v>0</v>
      </c>
      <c r="T64">
        <v>0.201487</v>
      </c>
      <c r="U64">
        <v>0.37506400000000001</v>
      </c>
      <c r="V64">
        <v>0.29823699999999997</v>
      </c>
      <c r="W64">
        <v>8.4414000000000003E-2</v>
      </c>
      <c r="X64">
        <v>7.8909000000000007E-2</v>
      </c>
      <c r="Y64">
        <v>0.29974699999999999</v>
      </c>
      <c r="Z64">
        <v>0.20691100000000001</v>
      </c>
      <c r="AA64">
        <v>0.269237</v>
      </c>
      <c r="AB64">
        <v>0.37848700000000002</v>
      </c>
      <c r="AC64">
        <v>0.381023</v>
      </c>
      <c r="AD64">
        <v>0.356512</v>
      </c>
      <c r="AE64">
        <v>0.25494499999999998</v>
      </c>
      <c r="AF64">
        <v>0.52383000000000002</v>
      </c>
      <c r="AG64">
        <v>0.31394</v>
      </c>
      <c r="AH64">
        <v>0.294348</v>
      </c>
      <c r="AI64">
        <v>0.34784100000000001</v>
      </c>
      <c r="AJ64">
        <v>0.318709666666667</v>
      </c>
      <c r="AK64">
        <v>0.318709666666667</v>
      </c>
      <c r="AL64">
        <v>0.318709666666667</v>
      </c>
    </row>
    <row r="65" spans="1:38" x14ac:dyDescent="0.2">
      <c r="B65">
        <v>1</v>
      </c>
      <c r="C65">
        <v>1</v>
      </c>
      <c r="D65">
        <v>1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</row>
    <row r="66" spans="1:38" x14ac:dyDescent="0.2">
      <c r="A66">
        <v>16</v>
      </c>
      <c r="B66">
        <v>1</v>
      </c>
      <c r="C66">
        <v>1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2">
      <c r="B67">
        <v>1</v>
      </c>
      <c r="C67">
        <v>1</v>
      </c>
      <c r="D67">
        <v>1</v>
      </c>
      <c r="E67">
        <v>1</v>
      </c>
      <c r="F67">
        <v>0.93659899999999996</v>
      </c>
      <c r="G67">
        <v>0.92793599999999998</v>
      </c>
      <c r="H67">
        <v>0.90386500000000003</v>
      </c>
      <c r="I67">
        <v>0.73087500000000005</v>
      </c>
      <c r="J67">
        <v>0.71733499999999994</v>
      </c>
      <c r="K67">
        <v>0.64558800000000005</v>
      </c>
      <c r="L67">
        <v>0.65287700000000004</v>
      </c>
      <c r="M67">
        <v>0.56965100000000002</v>
      </c>
      <c r="N67">
        <v>0.62776900000000002</v>
      </c>
      <c r="O67">
        <v>0.43504100000000001</v>
      </c>
      <c r="P67">
        <v>0.499164</v>
      </c>
      <c r="Q67">
        <v>0.59591300000000003</v>
      </c>
      <c r="R67">
        <v>0.25400800000000001</v>
      </c>
      <c r="S67">
        <v>0</v>
      </c>
      <c r="T67">
        <v>0.201487</v>
      </c>
      <c r="U67">
        <v>0.37506400000000001</v>
      </c>
      <c r="V67">
        <v>0.29823699999999997</v>
      </c>
      <c r="W67">
        <v>8.4414000000000003E-2</v>
      </c>
      <c r="X67">
        <v>7.8909000000000007E-2</v>
      </c>
      <c r="Y67">
        <v>0.29974699999999999</v>
      </c>
      <c r="Z67">
        <v>0.20691100000000001</v>
      </c>
      <c r="AA67">
        <v>0.269237</v>
      </c>
      <c r="AB67">
        <v>0.37848700000000002</v>
      </c>
      <c r="AC67">
        <v>0.381023</v>
      </c>
      <c r="AD67">
        <v>0.356512</v>
      </c>
      <c r="AE67">
        <v>0.25494499999999998</v>
      </c>
      <c r="AF67">
        <v>0.52383000000000002</v>
      </c>
      <c r="AG67">
        <v>0.31394</v>
      </c>
      <c r="AH67">
        <v>0.294348</v>
      </c>
      <c r="AI67">
        <v>0.34784100000000001</v>
      </c>
      <c r="AJ67">
        <v>0.318709666666667</v>
      </c>
      <c r="AK67">
        <v>0.318709666666667</v>
      </c>
      <c r="AL67">
        <v>0.318709666666667</v>
      </c>
    </row>
    <row r="68" spans="1:38" x14ac:dyDescent="0.2">
      <c r="B68">
        <v>1</v>
      </c>
      <c r="C68">
        <v>1</v>
      </c>
      <c r="D68">
        <v>1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2">
      <c r="B69">
        <v>1</v>
      </c>
      <c r="C69">
        <v>1</v>
      </c>
      <c r="D69">
        <v>1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2">
      <c r="A70">
        <v>17</v>
      </c>
      <c r="B70">
        <v>1</v>
      </c>
      <c r="C70">
        <v>1</v>
      </c>
      <c r="D70">
        <v>1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2">
      <c r="B71">
        <v>1</v>
      </c>
      <c r="C71">
        <v>1</v>
      </c>
      <c r="D71">
        <v>1</v>
      </c>
      <c r="E71">
        <v>1</v>
      </c>
      <c r="F71">
        <v>0.93659899999999996</v>
      </c>
      <c r="G71">
        <v>0.92793599999999998</v>
      </c>
      <c r="H71">
        <v>0.90386500000000003</v>
      </c>
      <c r="I71">
        <v>0.73087500000000005</v>
      </c>
      <c r="J71">
        <v>0.71733499999999994</v>
      </c>
      <c r="K71">
        <v>0.64558800000000005</v>
      </c>
      <c r="L71">
        <v>0.65287700000000004</v>
      </c>
      <c r="M71">
        <v>0.56965100000000002</v>
      </c>
      <c r="N71">
        <v>0.62776900000000002</v>
      </c>
      <c r="O71">
        <v>0.43504100000000001</v>
      </c>
      <c r="P71">
        <v>0.499164</v>
      </c>
      <c r="Q71">
        <v>0.59591300000000003</v>
      </c>
      <c r="R71">
        <v>0.25400800000000001</v>
      </c>
      <c r="S71">
        <v>0</v>
      </c>
      <c r="T71">
        <v>0.201487</v>
      </c>
      <c r="U71">
        <v>0.37506400000000001</v>
      </c>
      <c r="V71">
        <v>0.29823699999999997</v>
      </c>
      <c r="W71">
        <v>8.4414000000000003E-2</v>
      </c>
      <c r="X71">
        <v>7.8909000000000007E-2</v>
      </c>
      <c r="Y71">
        <v>0.29974699999999999</v>
      </c>
      <c r="Z71">
        <v>0.20691100000000001</v>
      </c>
      <c r="AA71">
        <v>0.269237</v>
      </c>
      <c r="AB71">
        <v>0.37848700000000002</v>
      </c>
      <c r="AC71">
        <v>0.381023</v>
      </c>
      <c r="AD71">
        <v>0.356512</v>
      </c>
      <c r="AE71">
        <v>0.25494499999999998</v>
      </c>
      <c r="AF71">
        <v>0.52383000000000002</v>
      </c>
      <c r="AG71">
        <v>0.31394</v>
      </c>
      <c r="AH71">
        <v>0.294348</v>
      </c>
      <c r="AI71">
        <v>0.34784100000000001</v>
      </c>
      <c r="AJ71">
        <v>0.318709666666667</v>
      </c>
      <c r="AK71">
        <v>0.318709666666667</v>
      </c>
      <c r="AL71">
        <v>0.318709666666667</v>
      </c>
    </row>
    <row r="72" spans="1:38" x14ac:dyDescent="0.2">
      <c r="B72">
        <v>1</v>
      </c>
      <c r="C72">
        <v>1</v>
      </c>
      <c r="D72">
        <v>1</v>
      </c>
      <c r="E72">
        <v>1</v>
      </c>
      <c r="F72">
        <v>0.93659899999999996</v>
      </c>
      <c r="G72">
        <v>0.92793599999999998</v>
      </c>
      <c r="H72">
        <v>0.90386500000000003</v>
      </c>
      <c r="I72">
        <v>0.73087500000000005</v>
      </c>
      <c r="J72">
        <v>0.71733499999999994</v>
      </c>
      <c r="K72">
        <v>0.64558800000000005</v>
      </c>
      <c r="L72">
        <v>0.65287700000000004</v>
      </c>
      <c r="M72">
        <v>0.56965100000000002</v>
      </c>
      <c r="N72">
        <v>0.62776900000000002</v>
      </c>
      <c r="O72">
        <v>0.43504100000000001</v>
      </c>
      <c r="P72">
        <v>0.499164</v>
      </c>
      <c r="Q72">
        <v>0.59591300000000003</v>
      </c>
      <c r="R72">
        <v>0.25400800000000001</v>
      </c>
      <c r="S72">
        <v>0</v>
      </c>
      <c r="T72">
        <v>0.201487</v>
      </c>
      <c r="U72">
        <v>0.37506400000000001</v>
      </c>
      <c r="V72">
        <v>0.29823699999999997</v>
      </c>
      <c r="W72">
        <v>8.4414000000000003E-2</v>
      </c>
      <c r="X72">
        <v>7.8909000000000007E-2</v>
      </c>
      <c r="Y72">
        <v>0.29974699999999999</v>
      </c>
      <c r="Z72">
        <v>0.20691100000000001</v>
      </c>
      <c r="AA72">
        <v>0.269237</v>
      </c>
      <c r="AB72">
        <v>0.37848700000000002</v>
      </c>
      <c r="AC72">
        <v>0.381023</v>
      </c>
      <c r="AD72">
        <v>0.356512</v>
      </c>
      <c r="AE72">
        <v>0.25494499999999998</v>
      </c>
      <c r="AF72">
        <v>0.52383000000000002</v>
      </c>
      <c r="AG72">
        <v>0.31394</v>
      </c>
      <c r="AH72">
        <v>0.294348</v>
      </c>
      <c r="AI72">
        <v>0.34784100000000001</v>
      </c>
      <c r="AJ72">
        <v>0.318709666666667</v>
      </c>
      <c r="AK72">
        <v>0.318709666666667</v>
      </c>
      <c r="AL72">
        <v>0.318709666666667</v>
      </c>
    </row>
    <row r="73" spans="1:38" x14ac:dyDescent="0.2">
      <c r="B73">
        <v>1</v>
      </c>
      <c r="C73">
        <v>1</v>
      </c>
      <c r="D73">
        <v>1</v>
      </c>
      <c r="E73">
        <v>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2">
      <c r="A74">
        <v>18</v>
      </c>
      <c r="B74">
        <v>1</v>
      </c>
      <c r="C74">
        <v>1</v>
      </c>
      <c r="D74">
        <v>1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2">
      <c r="B75">
        <v>1</v>
      </c>
      <c r="C75">
        <v>1</v>
      </c>
      <c r="D75">
        <v>1</v>
      </c>
      <c r="E75">
        <v>1</v>
      </c>
      <c r="F75">
        <v>0.93659899999999996</v>
      </c>
      <c r="G75">
        <v>0.92793599999999998</v>
      </c>
      <c r="H75">
        <v>0.90386500000000003</v>
      </c>
      <c r="I75">
        <v>0.73087500000000005</v>
      </c>
      <c r="J75">
        <v>0.71733499999999994</v>
      </c>
      <c r="K75">
        <v>0.64558800000000005</v>
      </c>
      <c r="L75">
        <v>0.65287700000000004</v>
      </c>
      <c r="M75">
        <v>0.56965100000000002</v>
      </c>
      <c r="N75">
        <v>0.62776900000000002</v>
      </c>
      <c r="O75">
        <v>0.43504100000000001</v>
      </c>
      <c r="P75">
        <v>0.499164</v>
      </c>
      <c r="Q75">
        <v>0.59591300000000003</v>
      </c>
      <c r="R75">
        <v>0.25400800000000001</v>
      </c>
      <c r="S75">
        <v>0</v>
      </c>
      <c r="T75">
        <v>0.201487</v>
      </c>
      <c r="U75">
        <v>0.37506400000000001</v>
      </c>
      <c r="V75">
        <v>0.29823699999999997</v>
      </c>
      <c r="W75">
        <v>8.4414000000000003E-2</v>
      </c>
      <c r="X75">
        <v>7.8909000000000007E-2</v>
      </c>
      <c r="Y75">
        <v>0.29974699999999999</v>
      </c>
      <c r="Z75">
        <v>0.20691100000000001</v>
      </c>
      <c r="AA75">
        <v>0.269237</v>
      </c>
      <c r="AB75">
        <v>0.37848700000000002</v>
      </c>
      <c r="AC75">
        <v>0.381023</v>
      </c>
      <c r="AD75">
        <v>0.356512</v>
      </c>
      <c r="AE75">
        <v>0.25494499999999998</v>
      </c>
      <c r="AF75">
        <v>0.52383000000000002</v>
      </c>
      <c r="AG75">
        <v>0.31394</v>
      </c>
      <c r="AH75">
        <v>0.294348</v>
      </c>
      <c r="AI75">
        <v>0.34784100000000001</v>
      </c>
      <c r="AJ75">
        <v>0.318709666666667</v>
      </c>
      <c r="AK75">
        <v>0.318709666666667</v>
      </c>
      <c r="AL75">
        <v>0.318709666666667</v>
      </c>
    </row>
    <row r="76" spans="1:38" x14ac:dyDescent="0.2">
      <c r="B76">
        <v>1</v>
      </c>
      <c r="C76">
        <v>1</v>
      </c>
      <c r="D76">
        <v>1</v>
      </c>
      <c r="E76">
        <v>1</v>
      </c>
      <c r="F76">
        <v>0.93659899999999996</v>
      </c>
      <c r="G76">
        <v>0.92793599999999998</v>
      </c>
      <c r="H76">
        <v>0.90386500000000003</v>
      </c>
      <c r="I76">
        <v>0.73087500000000005</v>
      </c>
      <c r="J76">
        <v>0.71733499999999994</v>
      </c>
      <c r="K76">
        <v>0.64558800000000005</v>
      </c>
      <c r="L76">
        <v>0.65287700000000004</v>
      </c>
      <c r="M76">
        <v>0.56965100000000002</v>
      </c>
      <c r="N76">
        <v>0.62776900000000002</v>
      </c>
      <c r="O76">
        <v>0.43504100000000001</v>
      </c>
      <c r="P76">
        <v>0.499164</v>
      </c>
      <c r="Q76">
        <v>0.59591300000000003</v>
      </c>
      <c r="R76">
        <v>0.25400800000000001</v>
      </c>
      <c r="S76">
        <v>0</v>
      </c>
      <c r="T76">
        <v>0.201487</v>
      </c>
      <c r="U76">
        <v>0.37506400000000001</v>
      </c>
      <c r="V76">
        <v>0.29823699999999997</v>
      </c>
      <c r="W76">
        <v>8.4414000000000003E-2</v>
      </c>
      <c r="X76">
        <v>7.8909000000000007E-2</v>
      </c>
      <c r="Y76">
        <v>0.29974699999999999</v>
      </c>
      <c r="Z76">
        <v>0.20691100000000001</v>
      </c>
      <c r="AA76">
        <v>0.269237</v>
      </c>
      <c r="AB76">
        <v>0.37848700000000002</v>
      </c>
      <c r="AC76">
        <v>0.381023</v>
      </c>
      <c r="AD76">
        <v>0.356512</v>
      </c>
      <c r="AE76">
        <v>0.25494499999999998</v>
      </c>
      <c r="AF76">
        <v>0.52383000000000002</v>
      </c>
      <c r="AG76">
        <v>0.31394</v>
      </c>
      <c r="AH76">
        <v>0.294348</v>
      </c>
      <c r="AI76">
        <v>0.34784100000000001</v>
      </c>
      <c r="AJ76">
        <v>0.318709666666667</v>
      </c>
      <c r="AK76">
        <v>0.318709666666667</v>
      </c>
      <c r="AL76">
        <v>0.318709666666667</v>
      </c>
    </row>
    <row r="77" spans="1:38" x14ac:dyDescent="0.2">
      <c r="B77">
        <v>1</v>
      </c>
      <c r="C77">
        <v>1</v>
      </c>
      <c r="D77">
        <v>1</v>
      </c>
      <c r="E77">
        <v>1</v>
      </c>
      <c r="F77">
        <v>0.93659899999999996</v>
      </c>
      <c r="G77">
        <v>0.92793599999999998</v>
      </c>
      <c r="H77">
        <v>0.90386500000000003</v>
      </c>
      <c r="I77">
        <v>0.73087500000000005</v>
      </c>
      <c r="J77">
        <v>0.71733499999999994</v>
      </c>
      <c r="K77">
        <v>0.64558800000000005</v>
      </c>
      <c r="L77">
        <v>0.65287700000000004</v>
      </c>
      <c r="M77">
        <v>0.56965100000000002</v>
      </c>
      <c r="N77">
        <v>0.62776900000000002</v>
      </c>
      <c r="O77">
        <v>0.43504100000000001</v>
      </c>
      <c r="P77">
        <v>0.499164</v>
      </c>
      <c r="Q77">
        <v>0.59591300000000003</v>
      </c>
      <c r="R77">
        <v>0.25400800000000001</v>
      </c>
      <c r="S77">
        <v>0</v>
      </c>
      <c r="T77">
        <v>0.201487</v>
      </c>
      <c r="U77">
        <v>0.37506400000000001</v>
      </c>
      <c r="V77">
        <v>0.29823699999999997</v>
      </c>
      <c r="W77">
        <v>8.4414000000000003E-2</v>
      </c>
      <c r="X77">
        <v>7.8909000000000007E-2</v>
      </c>
      <c r="Y77">
        <v>0.29974699999999999</v>
      </c>
      <c r="Z77">
        <v>0.20691100000000001</v>
      </c>
      <c r="AA77">
        <v>0.269237</v>
      </c>
      <c r="AB77">
        <v>0.37848700000000002</v>
      </c>
      <c r="AC77">
        <v>0.381023</v>
      </c>
      <c r="AD77">
        <v>0.356512</v>
      </c>
      <c r="AE77">
        <v>0.25494499999999998</v>
      </c>
      <c r="AF77">
        <v>0.52383000000000002</v>
      </c>
      <c r="AG77">
        <v>0.31394</v>
      </c>
      <c r="AH77">
        <v>0.294348</v>
      </c>
      <c r="AI77">
        <v>0.34784100000000001</v>
      </c>
      <c r="AJ77">
        <v>0.318709666666667</v>
      </c>
      <c r="AK77">
        <v>0.318709666666667</v>
      </c>
      <c r="AL77">
        <v>0.318709666666667</v>
      </c>
    </row>
    <row r="78" spans="1:38" x14ac:dyDescent="0.2">
      <c r="A78">
        <v>19</v>
      </c>
      <c r="B78">
        <v>1</v>
      </c>
      <c r="C78">
        <v>1</v>
      </c>
      <c r="D78">
        <v>1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2">
      <c r="B79">
        <v>1</v>
      </c>
      <c r="C79">
        <v>1</v>
      </c>
      <c r="D79">
        <v>1</v>
      </c>
      <c r="E79">
        <v>1</v>
      </c>
      <c r="F79">
        <v>0.93659899999999996</v>
      </c>
      <c r="G79">
        <v>0.92793599999999998</v>
      </c>
      <c r="H79">
        <v>0.90386500000000003</v>
      </c>
      <c r="I79">
        <v>0.73087500000000005</v>
      </c>
      <c r="J79">
        <v>0.71733499999999994</v>
      </c>
      <c r="K79">
        <v>0.64558800000000005</v>
      </c>
      <c r="L79">
        <v>0.65287700000000004</v>
      </c>
      <c r="M79">
        <v>0.56965100000000002</v>
      </c>
      <c r="N79">
        <v>0.62776900000000002</v>
      </c>
      <c r="O79">
        <v>0.43504100000000001</v>
      </c>
      <c r="P79">
        <v>0.499164</v>
      </c>
      <c r="Q79">
        <v>0.59591300000000003</v>
      </c>
      <c r="R79">
        <v>0.25400800000000001</v>
      </c>
      <c r="S79">
        <v>0</v>
      </c>
      <c r="T79">
        <v>0.201487</v>
      </c>
      <c r="U79">
        <v>0.37506400000000001</v>
      </c>
      <c r="V79">
        <v>0.29823699999999997</v>
      </c>
      <c r="W79">
        <v>8.4414000000000003E-2</v>
      </c>
      <c r="X79">
        <v>7.8909000000000007E-2</v>
      </c>
      <c r="Y79">
        <v>0.29974699999999999</v>
      </c>
      <c r="Z79">
        <v>0.20691100000000001</v>
      </c>
      <c r="AA79">
        <v>0.269237</v>
      </c>
      <c r="AB79">
        <v>0.37848700000000002</v>
      </c>
      <c r="AC79">
        <v>0.381023</v>
      </c>
      <c r="AD79">
        <v>0.356512</v>
      </c>
      <c r="AE79">
        <v>0.25494499999999998</v>
      </c>
      <c r="AF79">
        <v>0.52383000000000002</v>
      </c>
      <c r="AG79">
        <v>0.31394</v>
      </c>
      <c r="AH79">
        <v>0.294348</v>
      </c>
      <c r="AI79">
        <v>0.34784100000000001</v>
      </c>
      <c r="AJ79">
        <v>0.318709666666667</v>
      </c>
      <c r="AK79">
        <v>0.318709666666667</v>
      </c>
      <c r="AL79">
        <v>0.318709666666667</v>
      </c>
    </row>
    <row r="80" spans="1:38" x14ac:dyDescent="0.2">
      <c r="B80">
        <v>1</v>
      </c>
      <c r="C80">
        <v>1</v>
      </c>
      <c r="D80">
        <v>1</v>
      </c>
      <c r="E80">
        <v>1</v>
      </c>
      <c r="F80">
        <v>0.93659899999999996</v>
      </c>
      <c r="G80">
        <v>0.92793599999999998</v>
      </c>
      <c r="H80">
        <v>0.90386500000000003</v>
      </c>
      <c r="I80">
        <v>0.73087500000000005</v>
      </c>
      <c r="J80">
        <v>0.71733499999999994</v>
      </c>
      <c r="K80">
        <v>0.64558800000000005</v>
      </c>
      <c r="L80">
        <v>0.65287700000000004</v>
      </c>
      <c r="M80">
        <v>0.56965100000000002</v>
      </c>
      <c r="N80">
        <v>0.62776900000000002</v>
      </c>
      <c r="O80">
        <v>0.43504100000000001</v>
      </c>
      <c r="P80">
        <v>0.499164</v>
      </c>
      <c r="Q80">
        <v>0.59591300000000003</v>
      </c>
      <c r="R80">
        <v>0.25400800000000001</v>
      </c>
      <c r="S80">
        <v>0</v>
      </c>
      <c r="T80">
        <v>0.201487</v>
      </c>
      <c r="U80">
        <v>0.37506400000000001</v>
      </c>
      <c r="V80">
        <v>0.29823699999999997</v>
      </c>
      <c r="W80">
        <v>8.4414000000000003E-2</v>
      </c>
      <c r="X80">
        <v>7.8909000000000007E-2</v>
      </c>
      <c r="Y80">
        <v>0.29974699999999999</v>
      </c>
      <c r="Z80">
        <v>0.20691100000000001</v>
      </c>
      <c r="AA80">
        <v>0.269237</v>
      </c>
      <c r="AB80">
        <v>0.37848700000000002</v>
      </c>
      <c r="AC80">
        <v>0.381023</v>
      </c>
      <c r="AD80">
        <v>0.356512</v>
      </c>
      <c r="AE80">
        <v>0.25494499999999998</v>
      </c>
      <c r="AF80">
        <v>0.52383000000000002</v>
      </c>
      <c r="AG80">
        <v>0.31394</v>
      </c>
      <c r="AH80">
        <v>0.294348</v>
      </c>
      <c r="AI80">
        <v>0.34784100000000001</v>
      </c>
      <c r="AJ80">
        <v>0.318709666666667</v>
      </c>
      <c r="AK80">
        <v>0.318709666666667</v>
      </c>
      <c r="AL80">
        <v>0.318709666666667</v>
      </c>
    </row>
    <row r="81" spans="1:38" x14ac:dyDescent="0.2">
      <c r="B81">
        <v>1</v>
      </c>
      <c r="C81">
        <v>1</v>
      </c>
      <c r="D81">
        <v>1</v>
      </c>
      <c r="E81">
        <v>1</v>
      </c>
      <c r="F81">
        <v>0.93659899999999996</v>
      </c>
      <c r="G81">
        <v>0.92793599999999998</v>
      </c>
      <c r="H81">
        <v>0.90386500000000003</v>
      </c>
      <c r="I81">
        <v>0.73087500000000005</v>
      </c>
      <c r="J81">
        <v>0.71733499999999994</v>
      </c>
      <c r="K81">
        <v>0.64558800000000005</v>
      </c>
      <c r="L81">
        <v>0.65287700000000004</v>
      </c>
      <c r="M81">
        <v>0.56965100000000002</v>
      </c>
      <c r="N81">
        <v>0.62776900000000002</v>
      </c>
      <c r="O81">
        <v>0.43504100000000001</v>
      </c>
      <c r="P81">
        <v>0.499164</v>
      </c>
      <c r="Q81">
        <v>0.59591300000000003</v>
      </c>
      <c r="R81">
        <v>0.25400800000000001</v>
      </c>
      <c r="S81">
        <v>0</v>
      </c>
      <c r="T81">
        <v>0.201487</v>
      </c>
      <c r="U81">
        <v>0.37506400000000001</v>
      </c>
      <c r="V81">
        <v>0.29823699999999997</v>
      </c>
      <c r="W81">
        <v>8.4414000000000003E-2</v>
      </c>
      <c r="X81">
        <v>7.8909000000000007E-2</v>
      </c>
      <c r="Y81">
        <v>0.29974699999999999</v>
      </c>
      <c r="Z81">
        <v>0.20691100000000001</v>
      </c>
      <c r="AA81">
        <v>0.269237</v>
      </c>
      <c r="AB81">
        <v>0.37848700000000002</v>
      </c>
      <c r="AC81">
        <v>0.381023</v>
      </c>
      <c r="AD81">
        <v>0.356512</v>
      </c>
      <c r="AE81">
        <v>0.25494499999999998</v>
      </c>
      <c r="AF81">
        <v>0.52383000000000002</v>
      </c>
      <c r="AG81">
        <v>0.31394</v>
      </c>
      <c r="AH81">
        <v>0.294348</v>
      </c>
      <c r="AI81">
        <v>0.34784100000000001</v>
      </c>
      <c r="AJ81">
        <v>0.318709666666667</v>
      </c>
      <c r="AK81">
        <v>0.318709666666667</v>
      </c>
      <c r="AL81">
        <v>0.318709666666667</v>
      </c>
    </row>
    <row r="82" spans="1:38" x14ac:dyDescent="0.2">
      <c r="A82">
        <v>20</v>
      </c>
      <c r="B82">
        <v>1</v>
      </c>
      <c r="C82">
        <v>1</v>
      </c>
      <c r="D82">
        <v>1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2">
      <c r="B83">
        <v>1</v>
      </c>
      <c r="C83">
        <v>1</v>
      </c>
      <c r="D83">
        <v>1</v>
      </c>
      <c r="E83">
        <v>1</v>
      </c>
      <c r="F83">
        <v>0.93659899999999996</v>
      </c>
      <c r="G83">
        <v>0.92793599999999998</v>
      </c>
      <c r="H83">
        <v>0.90386500000000003</v>
      </c>
      <c r="I83">
        <v>0.73087500000000005</v>
      </c>
      <c r="J83">
        <v>0.71733499999999994</v>
      </c>
      <c r="K83">
        <v>0.64558800000000005</v>
      </c>
      <c r="L83">
        <v>0.65287700000000004</v>
      </c>
      <c r="M83">
        <v>0.56965100000000002</v>
      </c>
      <c r="N83">
        <v>0.62776900000000002</v>
      </c>
      <c r="O83">
        <v>0.43504100000000001</v>
      </c>
      <c r="P83">
        <v>0.499164</v>
      </c>
      <c r="Q83">
        <v>0.59591300000000003</v>
      </c>
      <c r="R83">
        <v>0.25400800000000001</v>
      </c>
      <c r="S83">
        <v>0</v>
      </c>
      <c r="T83">
        <v>0.201487</v>
      </c>
      <c r="U83">
        <v>0.37506400000000001</v>
      </c>
      <c r="V83">
        <v>0.29823699999999997</v>
      </c>
      <c r="W83">
        <v>8.4414000000000003E-2</v>
      </c>
      <c r="X83">
        <v>7.8909000000000007E-2</v>
      </c>
      <c r="Y83">
        <v>0.29974699999999999</v>
      </c>
      <c r="Z83">
        <v>0.20691100000000001</v>
      </c>
      <c r="AA83">
        <v>0.269237</v>
      </c>
      <c r="AB83">
        <v>0.37848700000000002</v>
      </c>
      <c r="AC83">
        <v>0.381023</v>
      </c>
      <c r="AD83">
        <v>0.356512</v>
      </c>
      <c r="AE83">
        <v>0.25494499999999998</v>
      </c>
      <c r="AF83">
        <v>0.52383000000000002</v>
      </c>
      <c r="AG83">
        <v>0.31394</v>
      </c>
      <c r="AH83">
        <v>0.294348</v>
      </c>
      <c r="AI83">
        <v>0.34784100000000001</v>
      </c>
      <c r="AJ83">
        <v>0.318709666666667</v>
      </c>
      <c r="AK83">
        <v>0.318709666666667</v>
      </c>
      <c r="AL83">
        <v>0.318709666666667</v>
      </c>
    </row>
    <row r="84" spans="1:38" x14ac:dyDescent="0.2">
      <c r="B84">
        <v>1</v>
      </c>
      <c r="C84">
        <v>1</v>
      </c>
      <c r="D84">
        <v>1</v>
      </c>
      <c r="E84">
        <v>1</v>
      </c>
      <c r="F84">
        <v>0.93659899999999996</v>
      </c>
      <c r="G84">
        <v>0.92793599999999998</v>
      </c>
      <c r="H84">
        <v>0.90386500000000003</v>
      </c>
      <c r="I84">
        <v>0.73087500000000005</v>
      </c>
      <c r="J84">
        <v>0.71733499999999994</v>
      </c>
      <c r="K84">
        <v>0.64558800000000005</v>
      </c>
      <c r="L84">
        <v>0.65287700000000004</v>
      </c>
      <c r="M84">
        <v>0.56965100000000002</v>
      </c>
      <c r="N84">
        <v>0.62776900000000002</v>
      </c>
      <c r="O84">
        <v>0.43504100000000001</v>
      </c>
      <c r="P84">
        <v>0.499164</v>
      </c>
      <c r="Q84">
        <v>0.59591300000000003</v>
      </c>
      <c r="R84">
        <v>0.25400800000000001</v>
      </c>
      <c r="S84">
        <v>0</v>
      </c>
      <c r="T84">
        <v>0.201487</v>
      </c>
      <c r="U84">
        <v>0.37506400000000001</v>
      </c>
      <c r="V84">
        <v>0.29823699999999997</v>
      </c>
      <c r="W84">
        <v>8.4414000000000003E-2</v>
      </c>
      <c r="X84">
        <v>7.8909000000000007E-2</v>
      </c>
      <c r="Y84">
        <v>0.29974699999999999</v>
      </c>
      <c r="Z84">
        <v>0.20691100000000001</v>
      </c>
      <c r="AA84">
        <v>0.269237</v>
      </c>
      <c r="AB84">
        <v>0.37848700000000002</v>
      </c>
      <c r="AC84">
        <v>0.381023</v>
      </c>
      <c r="AD84">
        <v>0.356512</v>
      </c>
      <c r="AE84">
        <v>0.25494499999999998</v>
      </c>
      <c r="AF84">
        <v>0.52383000000000002</v>
      </c>
      <c r="AG84">
        <v>0.31394</v>
      </c>
      <c r="AH84">
        <v>0.294348</v>
      </c>
      <c r="AI84">
        <v>0.34784100000000001</v>
      </c>
      <c r="AJ84">
        <v>0.318709666666667</v>
      </c>
      <c r="AK84">
        <v>0.318709666666667</v>
      </c>
      <c r="AL84">
        <v>0.318709666666667</v>
      </c>
    </row>
    <row r="85" spans="1:38" x14ac:dyDescent="0.2">
      <c r="B85">
        <v>1</v>
      </c>
      <c r="C85">
        <v>1</v>
      </c>
      <c r="D85">
        <v>1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2">
      <c r="A86">
        <v>22</v>
      </c>
      <c r="B86">
        <v>1</v>
      </c>
      <c r="C86">
        <v>1</v>
      </c>
      <c r="D86">
        <v>1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2">
      <c r="B87">
        <v>1</v>
      </c>
      <c r="C87">
        <v>1</v>
      </c>
      <c r="D87">
        <v>1</v>
      </c>
      <c r="E87">
        <v>1</v>
      </c>
      <c r="F87">
        <v>0.93659899999999996</v>
      </c>
      <c r="G87">
        <v>0.92793599999999998</v>
      </c>
      <c r="H87">
        <v>0.90386500000000003</v>
      </c>
      <c r="I87">
        <v>0.73087500000000005</v>
      </c>
      <c r="J87">
        <v>0.71733499999999994</v>
      </c>
      <c r="K87">
        <v>0.64558800000000005</v>
      </c>
      <c r="L87">
        <v>0.65287700000000004</v>
      </c>
      <c r="M87">
        <v>0.56965100000000002</v>
      </c>
      <c r="N87">
        <v>0.62776900000000002</v>
      </c>
      <c r="O87">
        <v>0.43504100000000001</v>
      </c>
      <c r="P87">
        <v>0.499164</v>
      </c>
      <c r="Q87">
        <v>0.59591300000000003</v>
      </c>
      <c r="R87">
        <v>0.25400800000000001</v>
      </c>
      <c r="S87">
        <v>0</v>
      </c>
      <c r="T87">
        <v>0.201487</v>
      </c>
      <c r="U87">
        <v>0.37506400000000001</v>
      </c>
      <c r="V87">
        <v>0.29823699999999997</v>
      </c>
      <c r="W87">
        <v>8.4414000000000003E-2</v>
      </c>
      <c r="X87">
        <v>7.8909000000000007E-2</v>
      </c>
      <c r="Y87">
        <v>0.29974699999999999</v>
      </c>
      <c r="Z87">
        <v>0.20691100000000001</v>
      </c>
      <c r="AA87">
        <v>0.269237</v>
      </c>
      <c r="AB87">
        <v>0.37848700000000002</v>
      </c>
      <c r="AC87">
        <v>0.381023</v>
      </c>
      <c r="AD87">
        <v>0.356512</v>
      </c>
      <c r="AE87">
        <v>0.25494499999999998</v>
      </c>
      <c r="AF87">
        <v>0.52383000000000002</v>
      </c>
      <c r="AG87">
        <v>0.31394</v>
      </c>
      <c r="AH87">
        <v>0.294348</v>
      </c>
      <c r="AI87">
        <v>0.34784100000000001</v>
      </c>
      <c r="AJ87">
        <v>0.318709666666667</v>
      </c>
      <c r="AK87">
        <v>0.318709666666667</v>
      </c>
      <c r="AL87">
        <v>0.318709666666667</v>
      </c>
    </row>
    <row r="88" spans="1:38" x14ac:dyDescent="0.2">
      <c r="B88">
        <v>1</v>
      </c>
      <c r="C88">
        <v>1</v>
      </c>
      <c r="D88">
        <v>1</v>
      </c>
      <c r="E88">
        <v>1</v>
      </c>
      <c r="F88">
        <v>0.93659899999999996</v>
      </c>
      <c r="G88">
        <v>0.92793599999999998</v>
      </c>
      <c r="H88">
        <v>0.90386500000000003</v>
      </c>
      <c r="I88">
        <v>0.73087500000000005</v>
      </c>
      <c r="J88">
        <v>0.71733499999999994</v>
      </c>
      <c r="K88">
        <v>0.64558800000000005</v>
      </c>
      <c r="L88">
        <v>0.65287700000000004</v>
      </c>
      <c r="M88">
        <v>0.56965100000000002</v>
      </c>
      <c r="N88">
        <v>0.62776900000000002</v>
      </c>
      <c r="O88">
        <v>0.43504100000000001</v>
      </c>
      <c r="P88">
        <v>0.499164</v>
      </c>
      <c r="Q88">
        <v>0.59591300000000003</v>
      </c>
      <c r="R88">
        <v>0.25400800000000001</v>
      </c>
      <c r="S88">
        <v>0</v>
      </c>
      <c r="T88">
        <v>0.201487</v>
      </c>
      <c r="U88">
        <v>0.37506400000000001</v>
      </c>
      <c r="V88">
        <v>0.29823699999999997</v>
      </c>
      <c r="W88">
        <v>8.4414000000000003E-2</v>
      </c>
      <c r="X88">
        <v>7.8909000000000007E-2</v>
      </c>
      <c r="Y88">
        <v>0.29974699999999999</v>
      </c>
      <c r="Z88">
        <v>0.20691100000000001</v>
      </c>
      <c r="AA88">
        <v>0.269237</v>
      </c>
      <c r="AB88">
        <v>0.37848700000000002</v>
      </c>
      <c r="AC88">
        <v>0.381023</v>
      </c>
      <c r="AD88">
        <v>0.356512</v>
      </c>
      <c r="AE88">
        <v>0.25494499999999998</v>
      </c>
      <c r="AF88">
        <v>0.52383000000000002</v>
      </c>
      <c r="AG88">
        <v>0.31394</v>
      </c>
      <c r="AH88">
        <v>0.294348</v>
      </c>
      <c r="AI88">
        <v>0.34784100000000001</v>
      </c>
      <c r="AJ88">
        <v>0.318709666666667</v>
      </c>
      <c r="AK88">
        <v>0.318709666666667</v>
      </c>
      <c r="AL88">
        <v>0.318709666666667</v>
      </c>
    </row>
    <row r="89" spans="1:38" x14ac:dyDescent="0.2">
      <c r="B89">
        <v>1</v>
      </c>
      <c r="C89">
        <v>1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2">
      <c r="A90">
        <v>23</v>
      </c>
      <c r="B90">
        <v>1</v>
      </c>
      <c r="C90">
        <v>1</v>
      </c>
      <c r="D90">
        <v>1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2">
      <c r="B91">
        <v>1</v>
      </c>
      <c r="C91">
        <v>1</v>
      </c>
      <c r="D91">
        <v>1</v>
      </c>
      <c r="E91">
        <v>1</v>
      </c>
      <c r="F91">
        <v>0.93659899999999996</v>
      </c>
      <c r="G91">
        <v>0.92793599999999998</v>
      </c>
      <c r="H91">
        <v>0.90386500000000003</v>
      </c>
      <c r="I91">
        <v>0.73087500000000005</v>
      </c>
      <c r="J91">
        <v>0.71733499999999994</v>
      </c>
      <c r="K91">
        <v>0.64558800000000005</v>
      </c>
      <c r="L91">
        <v>0.65287700000000004</v>
      </c>
      <c r="M91">
        <v>0.56965100000000002</v>
      </c>
      <c r="N91">
        <v>0.62776900000000002</v>
      </c>
      <c r="O91">
        <v>0.43504100000000001</v>
      </c>
      <c r="P91">
        <v>0.499164</v>
      </c>
      <c r="Q91">
        <v>0.59591300000000003</v>
      </c>
      <c r="R91">
        <v>0.25400800000000001</v>
      </c>
      <c r="S91">
        <v>0</v>
      </c>
      <c r="T91">
        <v>0.201487</v>
      </c>
      <c r="U91">
        <v>0.37506400000000001</v>
      </c>
      <c r="V91">
        <v>0.29823699999999997</v>
      </c>
      <c r="W91">
        <v>8.4414000000000003E-2</v>
      </c>
      <c r="X91">
        <v>7.8909000000000007E-2</v>
      </c>
      <c r="Y91">
        <v>0.29974699999999999</v>
      </c>
      <c r="Z91">
        <v>0.20691100000000001</v>
      </c>
      <c r="AA91">
        <v>0.269237</v>
      </c>
      <c r="AB91">
        <v>0.37848700000000002</v>
      </c>
      <c r="AC91">
        <v>0.381023</v>
      </c>
      <c r="AD91">
        <v>0.356512</v>
      </c>
      <c r="AE91">
        <v>0.25494499999999998</v>
      </c>
      <c r="AF91">
        <v>0.52383000000000002</v>
      </c>
      <c r="AG91">
        <v>0.31394</v>
      </c>
      <c r="AH91">
        <v>0.294348</v>
      </c>
      <c r="AI91">
        <v>0.34784100000000001</v>
      </c>
      <c r="AJ91">
        <v>0.318709666666667</v>
      </c>
      <c r="AK91">
        <v>0.318709666666667</v>
      </c>
      <c r="AL91">
        <v>0.318709666666667</v>
      </c>
    </row>
    <row r="92" spans="1:38" x14ac:dyDescent="0.2">
      <c r="B92">
        <v>1</v>
      </c>
      <c r="C92">
        <v>1</v>
      </c>
      <c r="D92">
        <v>1</v>
      </c>
      <c r="E92">
        <v>1</v>
      </c>
      <c r="F92">
        <v>0.93659899999999996</v>
      </c>
      <c r="G92">
        <v>0.92793599999999998</v>
      </c>
      <c r="H92">
        <v>0.90386500000000003</v>
      </c>
      <c r="I92">
        <v>0.73087500000000005</v>
      </c>
      <c r="J92">
        <v>0.71733499999999994</v>
      </c>
      <c r="K92">
        <v>0.64558800000000005</v>
      </c>
      <c r="L92">
        <v>0.65287700000000004</v>
      </c>
      <c r="M92">
        <v>0.56965100000000002</v>
      </c>
      <c r="N92">
        <v>0.62776900000000002</v>
      </c>
      <c r="O92">
        <v>0.43504100000000001</v>
      </c>
      <c r="P92">
        <v>0.499164</v>
      </c>
      <c r="Q92">
        <v>0.59591300000000003</v>
      </c>
      <c r="R92">
        <v>0.25400800000000001</v>
      </c>
      <c r="S92">
        <v>0</v>
      </c>
      <c r="T92">
        <v>0.201487</v>
      </c>
      <c r="U92">
        <v>0.37506400000000001</v>
      </c>
      <c r="V92">
        <v>0.29823699999999997</v>
      </c>
      <c r="W92">
        <v>8.4414000000000003E-2</v>
      </c>
      <c r="X92">
        <v>7.8909000000000007E-2</v>
      </c>
      <c r="Y92">
        <v>0.29974699999999999</v>
      </c>
      <c r="Z92">
        <v>0.20691100000000001</v>
      </c>
      <c r="AA92">
        <v>0.269237</v>
      </c>
      <c r="AB92">
        <v>0.37848700000000002</v>
      </c>
      <c r="AC92">
        <v>0.381023</v>
      </c>
      <c r="AD92">
        <v>0.356512</v>
      </c>
      <c r="AE92">
        <v>0.25494499999999998</v>
      </c>
      <c r="AF92">
        <v>0.52383000000000002</v>
      </c>
      <c r="AG92">
        <v>0.31394</v>
      </c>
      <c r="AH92">
        <v>0.294348</v>
      </c>
      <c r="AI92">
        <v>0.34784100000000001</v>
      </c>
      <c r="AJ92">
        <v>0.318709666666667</v>
      </c>
      <c r="AK92">
        <v>0.318709666666667</v>
      </c>
      <c r="AL92">
        <v>0.318709666666667</v>
      </c>
    </row>
    <row r="93" spans="1:38" x14ac:dyDescent="0.2">
      <c r="B93">
        <v>1</v>
      </c>
      <c r="C93">
        <v>1</v>
      </c>
      <c r="D93">
        <v>1</v>
      </c>
      <c r="E93">
        <v>1</v>
      </c>
      <c r="F93">
        <v>0.93659899999999996</v>
      </c>
      <c r="G93">
        <v>0.92793599999999998</v>
      </c>
      <c r="H93">
        <v>0.90386500000000003</v>
      </c>
      <c r="I93">
        <v>0.73087500000000005</v>
      </c>
      <c r="J93">
        <v>0.71733499999999994</v>
      </c>
      <c r="K93">
        <v>0.64558800000000005</v>
      </c>
      <c r="L93">
        <v>0.65287700000000004</v>
      </c>
      <c r="M93">
        <v>0.56965100000000002</v>
      </c>
      <c r="N93">
        <v>0.62776900000000002</v>
      </c>
      <c r="O93">
        <v>0.43504100000000001</v>
      </c>
      <c r="P93">
        <v>0.499164</v>
      </c>
      <c r="Q93">
        <v>0.59591300000000003</v>
      </c>
      <c r="R93">
        <v>0.25400800000000001</v>
      </c>
      <c r="S93">
        <v>0</v>
      </c>
      <c r="T93">
        <v>0.201487</v>
      </c>
      <c r="U93">
        <v>0.37506400000000001</v>
      </c>
      <c r="V93">
        <v>0.29823699999999997</v>
      </c>
      <c r="W93">
        <v>8.4414000000000003E-2</v>
      </c>
      <c r="X93">
        <v>7.8909000000000007E-2</v>
      </c>
      <c r="Y93">
        <v>0.29974699999999999</v>
      </c>
      <c r="Z93">
        <v>0.20691100000000001</v>
      </c>
      <c r="AA93">
        <v>0.269237</v>
      </c>
      <c r="AB93">
        <v>0.37848700000000002</v>
      </c>
      <c r="AC93">
        <v>0.381023</v>
      </c>
      <c r="AD93">
        <v>0.356512</v>
      </c>
      <c r="AE93">
        <v>0.25494499999999998</v>
      </c>
      <c r="AF93">
        <v>0.52383000000000002</v>
      </c>
      <c r="AG93">
        <v>0.31394</v>
      </c>
      <c r="AH93">
        <v>0.294348</v>
      </c>
      <c r="AI93">
        <v>0.34784100000000001</v>
      </c>
      <c r="AJ93">
        <v>0.318709666666667</v>
      </c>
      <c r="AK93">
        <v>0.318709666666667</v>
      </c>
      <c r="AL93">
        <v>0.318709666666667</v>
      </c>
    </row>
    <row r="94" spans="1:38" x14ac:dyDescent="0.2">
      <c r="A94">
        <v>24</v>
      </c>
      <c r="B94">
        <v>1</v>
      </c>
      <c r="C94">
        <v>1</v>
      </c>
      <c r="D94">
        <v>1</v>
      </c>
      <c r="E94">
        <v>1</v>
      </c>
      <c r="F94">
        <v>0.93659899999999996</v>
      </c>
      <c r="G94">
        <v>0.92793599999999998</v>
      </c>
      <c r="H94">
        <v>0.90386500000000003</v>
      </c>
      <c r="I94">
        <v>0.73087500000000005</v>
      </c>
      <c r="J94">
        <v>0.71733499999999994</v>
      </c>
      <c r="K94">
        <v>0.64558800000000005</v>
      </c>
      <c r="L94">
        <v>0.65287700000000004</v>
      </c>
      <c r="M94">
        <v>0.56965100000000002</v>
      </c>
      <c r="N94">
        <v>0.62776900000000002</v>
      </c>
      <c r="O94">
        <v>0.43504100000000001</v>
      </c>
      <c r="P94">
        <v>0.499164</v>
      </c>
      <c r="Q94">
        <v>0.59591300000000003</v>
      </c>
      <c r="R94">
        <v>0.25400800000000001</v>
      </c>
      <c r="S94">
        <v>0</v>
      </c>
      <c r="T94">
        <v>0.201487</v>
      </c>
      <c r="U94">
        <v>0.37506400000000001</v>
      </c>
      <c r="V94">
        <v>0.29823699999999997</v>
      </c>
      <c r="W94">
        <v>8.4414000000000003E-2</v>
      </c>
      <c r="X94">
        <v>7.8909000000000007E-2</v>
      </c>
      <c r="Y94">
        <v>0.29974699999999999</v>
      </c>
      <c r="Z94">
        <v>0.20691100000000001</v>
      </c>
      <c r="AA94">
        <v>0.269237</v>
      </c>
      <c r="AB94">
        <v>0.37848700000000002</v>
      </c>
      <c r="AC94">
        <v>0.381023</v>
      </c>
      <c r="AD94">
        <v>0.356512</v>
      </c>
      <c r="AE94">
        <v>0.25494499999999998</v>
      </c>
      <c r="AF94">
        <v>0.52383000000000002</v>
      </c>
      <c r="AG94">
        <v>0.31394</v>
      </c>
      <c r="AH94">
        <v>0.294348</v>
      </c>
      <c r="AI94">
        <v>0.34784100000000001</v>
      </c>
      <c r="AJ94">
        <v>0.318709666666667</v>
      </c>
      <c r="AK94">
        <v>0.318709666666667</v>
      </c>
      <c r="AL94">
        <v>0.318709666666667</v>
      </c>
    </row>
    <row r="95" spans="1:38" x14ac:dyDescent="0.2">
      <c r="B95">
        <v>1</v>
      </c>
      <c r="C95">
        <v>1</v>
      </c>
      <c r="D95">
        <v>1</v>
      </c>
      <c r="E95">
        <v>1</v>
      </c>
      <c r="F95">
        <v>0.93659899999999996</v>
      </c>
      <c r="G95">
        <v>0.92793599999999998</v>
      </c>
      <c r="H95">
        <v>0.90386500000000003</v>
      </c>
      <c r="I95">
        <v>0.73087500000000005</v>
      </c>
      <c r="J95">
        <v>0.71733499999999994</v>
      </c>
      <c r="K95">
        <v>0.64558800000000005</v>
      </c>
      <c r="L95">
        <v>0.65287700000000004</v>
      </c>
      <c r="M95">
        <v>0.56965100000000002</v>
      </c>
      <c r="N95">
        <v>0.62776900000000002</v>
      </c>
      <c r="O95">
        <v>0.43504100000000001</v>
      </c>
      <c r="P95">
        <v>0.499164</v>
      </c>
      <c r="Q95">
        <v>0.59591300000000003</v>
      </c>
      <c r="R95">
        <v>0.25400800000000001</v>
      </c>
      <c r="S95">
        <v>0</v>
      </c>
      <c r="T95">
        <v>0.201487</v>
      </c>
      <c r="U95">
        <v>0.37506400000000001</v>
      </c>
      <c r="V95">
        <v>0.29823699999999997</v>
      </c>
      <c r="W95">
        <v>8.4414000000000003E-2</v>
      </c>
      <c r="X95">
        <v>7.8909000000000007E-2</v>
      </c>
      <c r="Y95">
        <v>0.29974699999999999</v>
      </c>
      <c r="Z95">
        <v>0.20691100000000001</v>
      </c>
      <c r="AA95">
        <v>0.269237</v>
      </c>
      <c r="AB95">
        <v>0.37848700000000002</v>
      </c>
      <c r="AC95">
        <v>0.381023</v>
      </c>
      <c r="AD95">
        <v>0.356512</v>
      </c>
      <c r="AE95">
        <v>0.25494499999999998</v>
      </c>
      <c r="AF95">
        <v>0.52383000000000002</v>
      </c>
      <c r="AG95">
        <v>0.31394</v>
      </c>
      <c r="AH95">
        <v>0.294348</v>
      </c>
      <c r="AI95">
        <v>0.34784100000000001</v>
      </c>
      <c r="AJ95">
        <v>0.318709666666667</v>
      </c>
      <c r="AK95">
        <v>0.318709666666667</v>
      </c>
      <c r="AL95">
        <v>0.318709666666667</v>
      </c>
    </row>
    <row r="96" spans="1:38" x14ac:dyDescent="0.2">
      <c r="B96">
        <v>1</v>
      </c>
      <c r="C96">
        <v>1</v>
      </c>
      <c r="D96">
        <v>1</v>
      </c>
      <c r="E96">
        <v>1</v>
      </c>
      <c r="F96">
        <v>0.93659899999999996</v>
      </c>
      <c r="G96">
        <v>0.92793599999999998</v>
      </c>
      <c r="H96">
        <v>0.90386500000000003</v>
      </c>
      <c r="I96">
        <v>0.73087500000000005</v>
      </c>
      <c r="J96">
        <v>0.71733499999999994</v>
      </c>
      <c r="K96">
        <v>0.64558800000000005</v>
      </c>
      <c r="L96">
        <v>0.65287700000000004</v>
      </c>
      <c r="M96">
        <v>0.56965100000000002</v>
      </c>
      <c r="N96">
        <v>0.62776900000000002</v>
      </c>
      <c r="O96">
        <v>0.43504100000000001</v>
      </c>
      <c r="P96">
        <v>0.499164</v>
      </c>
      <c r="Q96">
        <v>0.59591300000000003</v>
      </c>
      <c r="R96">
        <v>0.25400800000000001</v>
      </c>
      <c r="S96">
        <v>0</v>
      </c>
      <c r="T96">
        <v>0.201487</v>
      </c>
      <c r="U96">
        <v>0.37506400000000001</v>
      </c>
      <c r="V96">
        <v>0.29823699999999997</v>
      </c>
      <c r="W96">
        <v>8.4414000000000003E-2</v>
      </c>
      <c r="X96">
        <v>7.8909000000000007E-2</v>
      </c>
      <c r="Y96">
        <v>0.29974699999999999</v>
      </c>
      <c r="Z96">
        <v>0.20691100000000001</v>
      </c>
      <c r="AA96">
        <v>0.269237</v>
      </c>
      <c r="AB96">
        <v>0.37848700000000002</v>
      </c>
      <c r="AC96">
        <v>0.381023</v>
      </c>
      <c r="AD96">
        <v>0.356512</v>
      </c>
      <c r="AE96">
        <v>0.25494499999999998</v>
      </c>
      <c r="AF96">
        <v>0.52383000000000002</v>
      </c>
      <c r="AG96">
        <v>0.31394</v>
      </c>
      <c r="AH96">
        <v>0.294348</v>
      </c>
      <c r="AI96">
        <v>0.34784100000000001</v>
      </c>
      <c r="AJ96">
        <v>0.318709666666667</v>
      </c>
      <c r="AK96">
        <v>0.318709666666667</v>
      </c>
      <c r="AL96">
        <v>0.318709666666667</v>
      </c>
    </row>
    <row r="97" spans="1:38" x14ac:dyDescent="0.2">
      <c r="B97">
        <v>1</v>
      </c>
      <c r="C97">
        <v>1</v>
      </c>
      <c r="D97">
        <v>1</v>
      </c>
      <c r="E97">
        <v>1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2">
      <c r="A98">
        <v>25</v>
      </c>
      <c r="B98">
        <v>1</v>
      </c>
      <c r="C98">
        <v>1</v>
      </c>
      <c r="D98">
        <v>1</v>
      </c>
      <c r="E98">
        <v>1</v>
      </c>
      <c r="F98">
        <v>0.93659899999999996</v>
      </c>
      <c r="G98">
        <v>0.92793599999999998</v>
      </c>
      <c r="H98">
        <v>0.90386500000000003</v>
      </c>
      <c r="I98">
        <v>0.73087500000000005</v>
      </c>
      <c r="J98">
        <v>0.71733499999999994</v>
      </c>
      <c r="K98">
        <v>0.64558800000000005</v>
      </c>
      <c r="L98">
        <v>0.65287700000000004</v>
      </c>
      <c r="M98">
        <v>0.56965100000000002</v>
      </c>
      <c r="N98">
        <v>0.62776900000000002</v>
      </c>
      <c r="O98">
        <v>0.43504100000000001</v>
      </c>
      <c r="P98">
        <v>0.499164</v>
      </c>
      <c r="Q98">
        <v>0.59591300000000003</v>
      </c>
      <c r="R98">
        <v>0.25400800000000001</v>
      </c>
      <c r="S98">
        <v>0</v>
      </c>
      <c r="T98">
        <v>0.201487</v>
      </c>
      <c r="U98">
        <v>0.37506400000000001</v>
      </c>
      <c r="V98">
        <v>0.29823699999999997</v>
      </c>
      <c r="W98">
        <v>8.4414000000000003E-2</v>
      </c>
      <c r="X98">
        <v>7.8909000000000007E-2</v>
      </c>
      <c r="Y98">
        <v>0.29974699999999999</v>
      </c>
      <c r="Z98">
        <v>0.20691100000000001</v>
      </c>
      <c r="AA98">
        <v>0.269237</v>
      </c>
      <c r="AB98">
        <v>0.37848700000000002</v>
      </c>
      <c r="AC98">
        <v>0.381023</v>
      </c>
      <c r="AD98">
        <v>0.356512</v>
      </c>
      <c r="AE98">
        <v>0.25494499999999998</v>
      </c>
      <c r="AF98">
        <v>0.52383000000000002</v>
      </c>
      <c r="AG98">
        <v>0.31394</v>
      </c>
      <c r="AH98">
        <v>0.294348</v>
      </c>
      <c r="AI98">
        <v>0.34784100000000001</v>
      </c>
      <c r="AJ98">
        <v>0.318709666666667</v>
      </c>
      <c r="AK98">
        <v>0.318709666666667</v>
      </c>
      <c r="AL98">
        <v>0.318709666666667</v>
      </c>
    </row>
    <row r="99" spans="1:38" x14ac:dyDescent="0.2">
      <c r="B99">
        <v>1</v>
      </c>
      <c r="C99">
        <v>1</v>
      </c>
      <c r="D99">
        <v>1</v>
      </c>
      <c r="E99">
        <v>1</v>
      </c>
      <c r="F99">
        <v>0.93659899999999996</v>
      </c>
      <c r="G99">
        <v>0.92793599999999998</v>
      </c>
      <c r="H99">
        <v>0.90386500000000003</v>
      </c>
      <c r="I99">
        <v>0.73087500000000005</v>
      </c>
      <c r="J99">
        <v>0.71733499999999994</v>
      </c>
      <c r="K99">
        <v>0.64558800000000005</v>
      </c>
      <c r="L99">
        <v>0.65287700000000004</v>
      </c>
      <c r="M99">
        <v>0.56965100000000002</v>
      </c>
      <c r="N99">
        <v>0.62776900000000002</v>
      </c>
      <c r="O99">
        <v>0.43504100000000001</v>
      </c>
      <c r="P99">
        <v>0.499164</v>
      </c>
      <c r="Q99">
        <v>0.59591300000000003</v>
      </c>
      <c r="R99">
        <v>0.25400800000000001</v>
      </c>
      <c r="S99">
        <v>0</v>
      </c>
      <c r="T99">
        <v>0.201487</v>
      </c>
      <c r="U99">
        <v>0.37506400000000001</v>
      </c>
      <c r="V99">
        <v>0.29823699999999997</v>
      </c>
      <c r="W99">
        <v>8.4414000000000003E-2</v>
      </c>
      <c r="X99">
        <v>7.8909000000000007E-2</v>
      </c>
      <c r="Y99">
        <v>0.29974699999999999</v>
      </c>
      <c r="Z99">
        <v>0.20691100000000001</v>
      </c>
      <c r="AA99">
        <v>0.269237</v>
      </c>
      <c r="AB99">
        <v>0.37848700000000002</v>
      </c>
      <c r="AC99">
        <v>0.381023</v>
      </c>
      <c r="AD99">
        <v>0.356512</v>
      </c>
      <c r="AE99">
        <v>0.25494499999999998</v>
      </c>
      <c r="AF99">
        <v>0.52383000000000002</v>
      </c>
      <c r="AG99">
        <v>0.31394</v>
      </c>
      <c r="AH99">
        <v>0.294348</v>
      </c>
      <c r="AI99">
        <v>0.34784100000000001</v>
      </c>
      <c r="AJ99">
        <v>0.318709666666667</v>
      </c>
      <c r="AK99">
        <v>0.318709666666667</v>
      </c>
      <c r="AL99">
        <v>0.318709666666667</v>
      </c>
    </row>
    <row r="100" spans="1:38" x14ac:dyDescent="0.2">
      <c r="B100">
        <v>1</v>
      </c>
      <c r="C100">
        <v>1</v>
      </c>
      <c r="D100">
        <v>1</v>
      </c>
      <c r="E100">
        <v>1</v>
      </c>
      <c r="F100">
        <v>0.93659899999999996</v>
      </c>
      <c r="G100">
        <v>0.92793599999999998</v>
      </c>
      <c r="H100">
        <v>0.90386500000000003</v>
      </c>
      <c r="I100">
        <v>0.73087500000000005</v>
      </c>
      <c r="J100">
        <v>0.71733499999999994</v>
      </c>
      <c r="K100">
        <v>0.64558800000000005</v>
      </c>
      <c r="L100">
        <v>0.65287700000000004</v>
      </c>
      <c r="M100">
        <v>0.56965100000000002</v>
      </c>
      <c r="N100">
        <v>0.62776900000000002</v>
      </c>
      <c r="O100">
        <v>0.43504100000000001</v>
      </c>
      <c r="P100">
        <v>0.499164</v>
      </c>
      <c r="Q100">
        <v>0.59591300000000003</v>
      </c>
      <c r="R100">
        <v>0.25400800000000001</v>
      </c>
      <c r="S100">
        <v>0</v>
      </c>
      <c r="T100">
        <v>0.201487</v>
      </c>
      <c r="U100">
        <v>0.37506400000000001</v>
      </c>
      <c r="V100">
        <v>0.29823699999999997</v>
      </c>
      <c r="W100">
        <v>8.4414000000000003E-2</v>
      </c>
      <c r="X100">
        <v>7.8909000000000007E-2</v>
      </c>
      <c r="Y100">
        <v>0.29974699999999999</v>
      </c>
      <c r="Z100">
        <v>0.20691100000000001</v>
      </c>
      <c r="AA100">
        <v>0.269237</v>
      </c>
      <c r="AB100">
        <v>0.37848700000000002</v>
      </c>
      <c r="AC100">
        <v>0.381023</v>
      </c>
      <c r="AD100">
        <v>0.356512</v>
      </c>
      <c r="AE100">
        <v>0.25494499999999998</v>
      </c>
      <c r="AF100">
        <v>0.52383000000000002</v>
      </c>
      <c r="AG100">
        <v>0.31394</v>
      </c>
      <c r="AH100">
        <v>0.294348</v>
      </c>
      <c r="AI100">
        <v>0.34784100000000001</v>
      </c>
      <c r="AJ100">
        <v>0.318709666666667</v>
      </c>
      <c r="AK100">
        <v>0.318709666666667</v>
      </c>
      <c r="AL100">
        <v>0.318709666666667</v>
      </c>
    </row>
    <row r="101" spans="1:38" x14ac:dyDescent="0.2">
      <c r="B101">
        <v>1</v>
      </c>
      <c r="C101">
        <v>1</v>
      </c>
      <c r="D101">
        <v>1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2">
      <c r="A102">
        <v>26</v>
      </c>
      <c r="B102">
        <v>1</v>
      </c>
      <c r="C102">
        <v>1</v>
      </c>
      <c r="D102">
        <v>1</v>
      </c>
      <c r="E102">
        <v>1</v>
      </c>
      <c r="F102">
        <v>0.93659899999999996</v>
      </c>
      <c r="G102">
        <v>0.92793599999999998</v>
      </c>
      <c r="H102">
        <v>0.90386500000000003</v>
      </c>
      <c r="I102">
        <v>0.73087500000000005</v>
      </c>
      <c r="J102">
        <v>0.71733499999999994</v>
      </c>
      <c r="K102">
        <v>0.64558800000000005</v>
      </c>
      <c r="L102">
        <v>0.65287700000000004</v>
      </c>
      <c r="M102">
        <v>0.56965100000000002</v>
      </c>
      <c r="N102">
        <v>0.62776900000000002</v>
      </c>
      <c r="O102">
        <v>0.43504100000000001</v>
      </c>
      <c r="P102">
        <v>0.499164</v>
      </c>
      <c r="Q102">
        <v>0.59591300000000003</v>
      </c>
      <c r="R102">
        <v>0.25400800000000001</v>
      </c>
      <c r="S102">
        <v>0</v>
      </c>
      <c r="T102">
        <v>0.201487</v>
      </c>
      <c r="U102">
        <v>0.37506400000000001</v>
      </c>
      <c r="V102">
        <v>0.29823699999999997</v>
      </c>
      <c r="W102">
        <v>8.4414000000000003E-2</v>
      </c>
      <c r="X102">
        <v>7.8909000000000007E-2</v>
      </c>
      <c r="Y102">
        <v>0.29974699999999999</v>
      </c>
      <c r="Z102">
        <v>0.20691100000000001</v>
      </c>
      <c r="AA102">
        <v>0.269237</v>
      </c>
      <c r="AB102">
        <v>0.37848700000000002</v>
      </c>
      <c r="AC102">
        <v>0.381023</v>
      </c>
      <c r="AD102">
        <v>0.356512</v>
      </c>
      <c r="AE102">
        <v>0.25494499999999998</v>
      </c>
      <c r="AF102">
        <v>0.52383000000000002</v>
      </c>
      <c r="AG102">
        <v>0.31394</v>
      </c>
      <c r="AH102">
        <v>0.294348</v>
      </c>
      <c r="AI102">
        <v>0.34784100000000001</v>
      </c>
      <c r="AJ102">
        <v>0.318709666666667</v>
      </c>
      <c r="AK102">
        <v>0.318709666666667</v>
      </c>
      <c r="AL102">
        <v>0.318709666666667</v>
      </c>
    </row>
    <row r="103" spans="1:38" x14ac:dyDescent="0.2">
      <c r="B103">
        <v>1</v>
      </c>
      <c r="C103">
        <v>1</v>
      </c>
      <c r="D103">
        <v>1</v>
      </c>
      <c r="E103">
        <v>1</v>
      </c>
      <c r="F103">
        <v>0.93659899999999996</v>
      </c>
      <c r="G103">
        <v>0.92793599999999998</v>
      </c>
      <c r="H103">
        <v>0.90386500000000003</v>
      </c>
      <c r="I103">
        <v>0.73087500000000005</v>
      </c>
      <c r="J103">
        <v>0.71733499999999994</v>
      </c>
      <c r="K103">
        <v>0.64558800000000005</v>
      </c>
      <c r="L103">
        <v>0.65287700000000004</v>
      </c>
      <c r="M103">
        <v>0.56965100000000002</v>
      </c>
      <c r="N103">
        <v>0.62776900000000002</v>
      </c>
      <c r="O103">
        <v>0.43504100000000001</v>
      </c>
      <c r="P103">
        <v>0.499164</v>
      </c>
      <c r="Q103">
        <v>0.59591300000000003</v>
      </c>
      <c r="R103">
        <v>0.25400800000000001</v>
      </c>
      <c r="S103">
        <v>0</v>
      </c>
      <c r="T103">
        <v>0.201487</v>
      </c>
      <c r="U103">
        <v>0.37506400000000001</v>
      </c>
      <c r="V103">
        <v>0.29823699999999997</v>
      </c>
      <c r="W103">
        <v>8.4414000000000003E-2</v>
      </c>
      <c r="X103">
        <v>7.8909000000000007E-2</v>
      </c>
      <c r="Y103">
        <v>0.29974699999999999</v>
      </c>
      <c r="Z103">
        <v>0.20691100000000001</v>
      </c>
      <c r="AA103">
        <v>0.269237</v>
      </c>
      <c r="AB103">
        <v>0.37848700000000002</v>
      </c>
      <c r="AC103">
        <v>0.381023</v>
      </c>
      <c r="AD103">
        <v>0.356512</v>
      </c>
      <c r="AE103">
        <v>0.25494499999999998</v>
      </c>
      <c r="AF103">
        <v>0.52383000000000002</v>
      </c>
      <c r="AG103">
        <v>0.31394</v>
      </c>
      <c r="AH103">
        <v>0.294348</v>
      </c>
      <c r="AI103">
        <v>0.34784100000000001</v>
      </c>
      <c r="AJ103">
        <v>0.318709666666667</v>
      </c>
      <c r="AK103">
        <v>0.318709666666667</v>
      </c>
      <c r="AL103">
        <v>0.318709666666667</v>
      </c>
    </row>
    <row r="104" spans="1:38" x14ac:dyDescent="0.2">
      <c r="B104">
        <v>1</v>
      </c>
      <c r="C104">
        <v>1</v>
      </c>
      <c r="D104">
        <v>1</v>
      </c>
      <c r="E104">
        <v>1</v>
      </c>
      <c r="F104">
        <v>0.93659899999999996</v>
      </c>
      <c r="G104">
        <v>0.92793599999999998</v>
      </c>
      <c r="H104">
        <v>0.90386500000000003</v>
      </c>
      <c r="I104">
        <v>0.73087500000000005</v>
      </c>
      <c r="J104">
        <v>0.71733499999999994</v>
      </c>
      <c r="K104">
        <v>0.64558800000000005</v>
      </c>
      <c r="L104">
        <v>0.65287700000000004</v>
      </c>
      <c r="M104">
        <v>0.56965100000000002</v>
      </c>
      <c r="N104">
        <v>0.62776900000000002</v>
      </c>
      <c r="O104">
        <v>0.43504100000000001</v>
      </c>
      <c r="P104">
        <v>0.499164</v>
      </c>
      <c r="Q104">
        <v>0.59591300000000003</v>
      </c>
      <c r="R104">
        <v>0.25400800000000001</v>
      </c>
      <c r="S104">
        <v>0</v>
      </c>
      <c r="T104">
        <v>0.201487</v>
      </c>
      <c r="U104">
        <v>0.37506400000000001</v>
      </c>
      <c r="V104">
        <v>0.29823699999999997</v>
      </c>
      <c r="W104">
        <v>8.4414000000000003E-2</v>
      </c>
      <c r="X104">
        <v>7.8909000000000007E-2</v>
      </c>
      <c r="Y104">
        <v>0.29974699999999999</v>
      </c>
      <c r="Z104">
        <v>0.20691100000000001</v>
      </c>
      <c r="AA104">
        <v>0.269237</v>
      </c>
      <c r="AB104">
        <v>0.37848700000000002</v>
      </c>
      <c r="AC104">
        <v>0.381023</v>
      </c>
      <c r="AD104">
        <v>0.356512</v>
      </c>
      <c r="AE104">
        <v>0.25494499999999998</v>
      </c>
      <c r="AF104">
        <v>0.52383000000000002</v>
      </c>
      <c r="AG104">
        <v>0.31394</v>
      </c>
      <c r="AH104">
        <v>0.294348</v>
      </c>
      <c r="AI104">
        <v>0.34784100000000001</v>
      </c>
      <c r="AJ104">
        <v>0.318709666666667</v>
      </c>
      <c r="AK104">
        <v>0.318709666666667</v>
      </c>
      <c r="AL104">
        <v>0.318709666666667</v>
      </c>
    </row>
    <row r="105" spans="1:38" x14ac:dyDescent="0.2">
      <c r="B105">
        <v>1</v>
      </c>
      <c r="C105">
        <v>1</v>
      </c>
      <c r="D105">
        <v>1</v>
      </c>
      <c r="E105">
        <v>1</v>
      </c>
      <c r="F105">
        <v>0.93659899999999996</v>
      </c>
      <c r="G105">
        <v>0.92793599999999998</v>
      </c>
      <c r="H105">
        <v>0.90386500000000003</v>
      </c>
      <c r="I105">
        <v>0.73087500000000005</v>
      </c>
      <c r="J105">
        <v>0.71733499999999994</v>
      </c>
      <c r="K105">
        <v>0.64558800000000005</v>
      </c>
      <c r="L105">
        <v>0.65287700000000004</v>
      </c>
      <c r="M105">
        <v>0.56965100000000002</v>
      </c>
      <c r="N105">
        <v>0.62776900000000002</v>
      </c>
      <c r="O105">
        <v>0.43504100000000001</v>
      </c>
      <c r="P105">
        <v>0.499164</v>
      </c>
      <c r="Q105">
        <v>0.59591300000000003</v>
      </c>
      <c r="R105">
        <v>0.25400800000000001</v>
      </c>
      <c r="S105">
        <v>0</v>
      </c>
      <c r="T105">
        <v>0.201487</v>
      </c>
      <c r="U105">
        <v>0.37506400000000001</v>
      </c>
      <c r="V105">
        <v>0.29823699999999997</v>
      </c>
      <c r="W105">
        <v>8.4414000000000003E-2</v>
      </c>
      <c r="X105">
        <v>7.8909000000000007E-2</v>
      </c>
      <c r="Y105">
        <v>0.29974699999999999</v>
      </c>
      <c r="Z105">
        <v>0.20691100000000001</v>
      </c>
      <c r="AA105">
        <v>0.269237</v>
      </c>
      <c r="AB105">
        <v>0.37848700000000002</v>
      </c>
      <c r="AC105">
        <v>0.381023</v>
      </c>
      <c r="AD105">
        <v>0.356512</v>
      </c>
      <c r="AE105">
        <v>0.25494499999999998</v>
      </c>
      <c r="AF105">
        <v>0.52383000000000002</v>
      </c>
      <c r="AG105">
        <v>0.31394</v>
      </c>
      <c r="AH105">
        <v>0.294348</v>
      </c>
      <c r="AI105">
        <v>0.34784100000000001</v>
      </c>
      <c r="AJ105">
        <v>0.318709666666667</v>
      </c>
      <c r="AK105">
        <v>0.318709666666667</v>
      </c>
      <c r="AL105">
        <v>0.318709666666667</v>
      </c>
    </row>
    <row r="106" spans="1:38" x14ac:dyDescent="0.2">
      <c r="A106">
        <v>27</v>
      </c>
      <c r="B106">
        <v>1</v>
      </c>
      <c r="C106">
        <v>1</v>
      </c>
      <c r="D106">
        <v>1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2">
      <c r="B107">
        <v>1</v>
      </c>
      <c r="C107">
        <v>1</v>
      </c>
      <c r="D107">
        <v>1</v>
      </c>
      <c r="E107">
        <v>1</v>
      </c>
      <c r="F107">
        <v>0.93659899999999996</v>
      </c>
      <c r="G107">
        <v>0.92793599999999998</v>
      </c>
      <c r="H107">
        <v>0.90386500000000003</v>
      </c>
      <c r="I107">
        <v>0.73087500000000005</v>
      </c>
      <c r="J107">
        <v>0.71733499999999994</v>
      </c>
      <c r="K107">
        <v>0.64558800000000005</v>
      </c>
      <c r="L107">
        <v>0.65287700000000004</v>
      </c>
      <c r="M107">
        <v>0.56965100000000002</v>
      </c>
      <c r="N107">
        <v>0.62776900000000002</v>
      </c>
      <c r="O107">
        <v>0.43504100000000001</v>
      </c>
      <c r="P107">
        <v>0.499164</v>
      </c>
      <c r="Q107">
        <v>0.59591300000000003</v>
      </c>
      <c r="R107">
        <v>0.25400800000000001</v>
      </c>
      <c r="S107">
        <v>0</v>
      </c>
      <c r="T107">
        <v>0.201487</v>
      </c>
      <c r="U107">
        <v>0.37506400000000001</v>
      </c>
      <c r="V107">
        <v>0.29823699999999997</v>
      </c>
      <c r="W107">
        <v>8.4414000000000003E-2</v>
      </c>
      <c r="X107">
        <v>7.8909000000000007E-2</v>
      </c>
      <c r="Y107">
        <v>0.29974699999999999</v>
      </c>
      <c r="Z107">
        <v>0.20691100000000001</v>
      </c>
      <c r="AA107">
        <v>0.269237</v>
      </c>
      <c r="AB107">
        <v>0.37848700000000002</v>
      </c>
      <c r="AC107">
        <v>0.381023</v>
      </c>
      <c r="AD107">
        <v>0.356512</v>
      </c>
      <c r="AE107">
        <v>0.25494499999999998</v>
      </c>
      <c r="AF107">
        <v>0.52383000000000002</v>
      </c>
      <c r="AG107">
        <v>0.31394</v>
      </c>
      <c r="AH107">
        <v>0.294348</v>
      </c>
      <c r="AI107">
        <v>0.34784100000000001</v>
      </c>
      <c r="AJ107">
        <v>0.318709666666667</v>
      </c>
      <c r="AK107">
        <v>0.318709666666667</v>
      </c>
      <c r="AL107">
        <v>0.318709666666667</v>
      </c>
    </row>
    <row r="108" spans="1:38" x14ac:dyDescent="0.2">
      <c r="B108">
        <v>1</v>
      </c>
      <c r="C108">
        <v>1</v>
      </c>
      <c r="D108">
        <v>1</v>
      </c>
      <c r="E108">
        <v>1</v>
      </c>
      <c r="F108">
        <v>0.93659899999999996</v>
      </c>
      <c r="G108">
        <v>0.92793599999999998</v>
      </c>
      <c r="H108">
        <v>0.90386500000000003</v>
      </c>
      <c r="I108">
        <v>0.73087500000000005</v>
      </c>
      <c r="J108">
        <v>0.71733499999999994</v>
      </c>
      <c r="K108">
        <v>0.64558800000000005</v>
      </c>
      <c r="L108">
        <v>0.65287700000000004</v>
      </c>
      <c r="M108">
        <v>0.56965100000000002</v>
      </c>
      <c r="N108">
        <v>0.62776900000000002</v>
      </c>
      <c r="O108">
        <v>0.43504100000000001</v>
      </c>
      <c r="P108">
        <v>0.499164</v>
      </c>
      <c r="Q108">
        <v>0.59591300000000003</v>
      </c>
      <c r="R108">
        <v>0.25400800000000001</v>
      </c>
      <c r="S108">
        <v>0</v>
      </c>
      <c r="T108">
        <v>0.201487</v>
      </c>
      <c r="U108">
        <v>0.37506400000000001</v>
      </c>
      <c r="V108">
        <v>0.29823699999999997</v>
      </c>
      <c r="W108">
        <v>8.4414000000000003E-2</v>
      </c>
      <c r="X108">
        <v>7.8909000000000007E-2</v>
      </c>
      <c r="Y108">
        <v>0.29974699999999999</v>
      </c>
      <c r="Z108">
        <v>0.20691100000000001</v>
      </c>
      <c r="AA108">
        <v>0.269237</v>
      </c>
      <c r="AB108">
        <v>0.37848700000000002</v>
      </c>
      <c r="AC108">
        <v>0.381023</v>
      </c>
      <c r="AD108">
        <v>0.356512</v>
      </c>
      <c r="AE108">
        <v>0.25494499999999998</v>
      </c>
      <c r="AF108">
        <v>0.52383000000000002</v>
      </c>
      <c r="AG108">
        <v>0.31394</v>
      </c>
      <c r="AH108">
        <v>0.294348</v>
      </c>
      <c r="AI108">
        <v>0.34784100000000001</v>
      </c>
      <c r="AJ108">
        <v>0.318709666666667</v>
      </c>
      <c r="AK108">
        <v>0.318709666666667</v>
      </c>
      <c r="AL108">
        <v>0.318709666666667</v>
      </c>
    </row>
    <row r="109" spans="1:38" x14ac:dyDescent="0.2">
      <c r="B109">
        <v>1</v>
      </c>
      <c r="C109">
        <v>1</v>
      </c>
      <c r="D109">
        <v>1</v>
      </c>
      <c r="E109">
        <v>1</v>
      </c>
      <c r="F109">
        <v>0.93659899999999996</v>
      </c>
      <c r="G109">
        <v>0.92793599999999998</v>
      </c>
      <c r="H109">
        <v>0.90386500000000003</v>
      </c>
      <c r="I109">
        <v>0.73087500000000005</v>
      </c>
      <c r="J109">
        <v>0.71733499999999994</v>
      </c>
      <c r="K109">
        <v>0.64558800000000005</v>
      </c>
      <c r="L109">
        <v>0.65287700000000004</v>
      </c>
      <c r="M109">
        <v>0.56965100000000002</v>
      </c>
      <c r="N109">
        <v>0.62776900000000002</v>
      </c>
      <c r="O109">
        <v>0.43504100000000001</v>
      </c>
      <c r="P109">
        <v>0.499164</v>
      </c>
      <c r="Q109">
        <v>0.59591300000000003</v>
      </c>
      <c r="R109">
        <v>0.25400800000000001</v>
      </c>
      <c r="S109">
        <v>0</v>
      </c>
      <c r="T109">
        <v>0.201487</v>
      </c>
      <c r="U109">
        <v>0.37506400000000001</v>
      </c>
      <c r="V109">
        <v>0.29823699999999997</v>
      </c>
      <c r="W109">
        <v>8.4414000000000003E-2</v>
      </c>
      <c r="X109">
        <v>7.8909000000000007E-2</v>
      </c>
      <c r="Y109">
        <v>0.29974699999999999</v>
      </c>
      <c r="Z109">
        <v>0.20691100000000001</v>
      </c>
      <c r="AA109">
        <v>0.269237</v>
      </c>
      <c r="AB109">
        <v>0.37848700000000002</v>
      </c>
      <c r="AC109">
        <v>0.381023</v>
      </c>
      <c r="AD109">
        <v>0.356512</v>
      </c>
      <c r="AE109">
        <v>0.25494499999999998</v>
      </c>
      <c r="AF109">
        <v>0.52383000000000002</v>
      </c>
      <c r="AG109">
        <v>0.31394</v>
      </c>
      <c r="AH109">
        <v>0.294348</v>
      </c>
      <c r="AI109">
        <v>0.34784100000000001</v>
      </c>
      <c r="AJ109">
        <v>0.318709666666667</v>
      </c>
      <c r="AK109">
        <v>0.318709666666667</v>
      </c>
      <c r="AL109">
        <v>0.318709666666667</v>
      </c>
    </row>
    <row r="110" spans="1:38" x14ac:dyDescent="0.2">
      <c r="A110">
        <v>28</v>
      </c>
      <c r="B110">
        <v>1</v>
      </c>
      <c r="C110">
        <v>1</v>
      </c>
      <c r="D110">
        <v>1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2">
      <c r="B111">
        <v>1</v>
      </c>
      <c r="C111">
        <v>1</v>
      </c>
      <c r="D111">
        <v>1</v>
      </c>
      <c r="E111">
        <v>1</v>
      </c>
      <c r="F111">
        <v>0.93659899999999996</v>
      </c>
      <c r="G111">
        <v>0.92793599999999998</v>
      </c>
      <c r="H111">
        <v>0.90386500000000003</v>
      </c>
      <c r="I111">
        <v>0.73087500000000005</v>
      </c>
      <c r="J111">
        <v>0.71733499999999994</v>
      </c>
      <c r="K111">
        <v>0.64558800000000005</v>
      </c>
      <c r="L111">
        <v>0.65287700000000004</v>
      </c>
      <c r="M111">
        <v>0.56965100000000002</v>
      </c>
      <c r="N111">
        <v>0.62776900000000002</v>
      </c>
      <c r="O111">
        <v>0.43504100000000001</v>
      </c>
      <c r="P111">
        <v>0.499164</v>
      </c>
      <c r="Q111">
        <v>0.59591300000000003</v>
      </c>
      <c r="R111">
        <v>0.25400800000000001</v>
      </c>
      <c r="S111">
        <v>0</v>
      </c>
      <c r="T111">
        <v>0.201487</v>
      </c>
      <c r="U111">
        <v>0.37506400000000001</v>
      </c>
      <c r="V111">
        <v>0.29823699999999997</v>
      </c>
      <c r="W111">
        <v>8.4414000000000003E-2</v>
      </c>
      <c r="X111">
        <v>7.8909000000000007E-2</v>
      </c>
      <c r="Y111">
        <v>0.29974699999999999</v>
      </c>
      <c r="Z111">
        <v>0.20691100000000001</v>
      </c>
      <c r="AA111">
        <v>0.269237</v>
      </c>
      <c r="AB111">
        <v>0.37848700000000002</v>
      </c>
      <c r="AC111">
        <v>0.381023</v>
      </c>
      <c r="AD111">
        <v>0.356512</v>
      </c>
      <c r="AE111">
        <v>0.25494499999999998</v>
      </c>
      <c r="AF111">
        <v>0.52383000000000002</v>
      </c>
      <c r="AG111">
        <v>0.31394</v>
      </c>
      <c r="AH111">
        <v>0.294348</v>
      </c>
      <c r="AI111">
        <v>0.34784100000000001</v>
      </c>
      <c r="AJ111">
        <v>0.318709666666667</v>
      </c>
      <c r="AK111">
        <v>0.318709666666667</v>
      </c>
      <c r="AL111">
        <v>0.318709666666667</v>
      </c>
    </row>
    <row r="112" spans="1:38" x14ac:dyDescent="0.2">
      <c r="B112">
        <v>1</v>
      </c>
      <c r="C112">
        <v>1</v>
      </c>
      <c r="D112">
        <v>1</v>
      </c>
      <c r="E112">
        <v>1</v>
      </c>
      <c r="F112">
        <v>0.93659899999999996</v>
      </c>
      <c r="G112">
        <v>0.92793599999999998</v>
      </c>
      <c r="H112">
        <v>0.90386500000000003</v>
      </c>
      <c r="I112">
        <v>0.73087500000000005</v>
      </c>
      <c r="J112">
        <v>0.71733499999999994</v>
      </c>
      <c r="K112">
        <v>0.64558800000000005</v>
      </c>
      <c r="L112">
        <v>0.65287700000000004</v>
      </c>
      <c r="M112">
        <v>0.56965100000000002</v>
      </c>
      <c r="N112">
        <v>0.62776900000000002</v>
      </c>
      <c r="O112">
        <v>0.43504100000000001</v>
      </c>
      <c r="P112">
        <v>0.499164</v>
      </c>
      <c r="Q112">
        <v>0.59591300000000003</v>
      </c>
      <c r="R112">
        <v>0.25400800000000001</v>
      </c>
      <c r="S112">
        <v>0</v>
      </c>
      <c r="T112">
        <v>0.201487</v>
      </c>
      <c r="U112">
        <v>0.37506400000000001</v>
      </c>
      <c r="V112">
        <v>0.29823699999999997</v>
      </c>
      <c r="W112">
        <v>8.4414000000000003E-2</v>
      </c>
      <c r="X112">
        <v>7.8909000000000007E-2</v>
      </c>
      <c r="Y112">
        <v>0.29974699999999999</v>
      </c>
      <c r="Z112">
        <v>0.20691100000000001</v>
      </c>
      <c r="AA112">
        <v>0.269237</v>
      </c>
      <c r="AB112">
        <v>0.37848700000000002</v>
      </c>
      <c r="AC112">
        <v>0.381023</v>
      </c>
      <c r="AD112">
        <v>0.356512</v>
      </c>
      <c r="AE112">
        <v>0.25494499999999998</v>
      </c>
      <c r="AF112">
        <v>0.52383000000000002</v>
      </c>
      <c r="AG112">
        <v>0.31394</v>
      </c>
      <c r="AH112">
        <v>0.294348</v>
      </c>
      <c r="AI112">
        <v>0.34784100000000001</v>
      </c>
      <c r="AJ112">
        <v>0.318709666666667</v>
      </c>
      <c r="AK112">
        <v>0.318709666666667</v>
      </c>
      <c r="AL112">
        <v>0.318709666666667</v>
      </c>
    </row>
    <row r="113" spans="1:38" x14ac:dyDescent="0.2">
      <c r="B113">
        <v>1</v>
      </c>
      <c r="C113">
        <v>1</v>
      </c>
      <c r="D113">
        <v>1</v>
      </c>
      <c r="E113">
        <v>1</v>
      </c>
      <c r="F113">
        <v>0.93659899999999996</v>
      </c>
      <c r="G113">
        <v>0.92793599999999998</v>
      </c>
      <c r="H113">
        <v>0.90386500000000003</v>
      </c>
      <c r="I113">
        <v>0.73087500000000005</v>
      </c>
      <c r="J113">
        <v>0.71733499999999994</v>
      </c>
      <c r="K113">
        <v>0.64558800000000005</v>
      </c>
      <c r="L113">
        <v>0.65287700000000004</v>
      </c>
      <c r="M113">
        <v>0.56965100000000002</v>
      </c>
      <c r="N113">
        <v>0.62776900000000002</v>
      </c>
      <c r="O113">
        <v>0.43504100000000001</v>
      </c>
      <c r="P113">
        <v>0.499164</v>
      </c>
      <c r="Q113">
        <v>0.59591300000000003</v>
      </c>
      <c r="R113">
        <v>0.25400800000000001</v>
      </c>
      <c r="S113">
        <v>0</v>
      </c>
      <c r="T113">
        <v>0.201487</v>
      </c>
      <c r="U113">
        <v>0.37506400000000001</v>
      </c>
      <c r="V113">
        <v>0.29823699999999997</v>
      </c>
      <c r="W113">
        <v>8.4414000000000003E-2</v>
      </c>
      <c r="X113">
        <v>7.8909000000000007E-2</v>
      </c>
      <c r="Y113">
        <v>0.29974699999999999</v>
      </c>
      <c r="Z113">
        <v>0.20691100000000001</v>
      </c>
      <c r="AA113">
        <v>0.269237</v>
      </c>
      <c r="AB113">
        <v>0.37848700000000002</v>
      </c>
      <c r="AC113">
        <v>0.381023</v>
      </c>
      <c r="AD113">
        <v>0.356512</v>
      </c>
      <c r="AE113">
        <v>0.25494499999999998</v>
      </c>
      <c r="AF113">
        <v>0.52383000000000002</v>
      </c>
      <c r="AG113">
        <v>0.31394</v>
      </c>
      <c r="AH113">
        <v>0.294348</v>
      </c>
      <c r="AI113">
        <v>0.34784100000000001</v>
      </c>
      <c r="AJ113">
        <v>0.318709666666667</v>
      </c>
      <c r="AK113">
        <v>0.318709666666667</v>
      </c>
      <c r="AL113">
        <v>0.318709666666667</v>
      </c>
    </row>
    <row r="114" spans="1:38" x14ac:dyDescent="0.2">
      <c r="A114">
        <v>29</v>
      </c>
      <c r="B114">
        <v>1</v>
      </c>
      <c r="C114">
        <v>1</v>
      </c>
      <c r="D114">
        <v>1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 x14ac:dyDescent="0.2">
      <c r="B115">
        <v>1</v>
      </c>
      <c r="C115">
        <v>1</v>
      </c>
      <c r="D115">
        <v>1</v>
      </c>
      <c r="E115">
        <v>1</v>
      </c>
      <c r="F115">
        <v>0.93659899999999996</v>
      </c>
      <c r="G115">
        <v>0.92793599999999998</v>
      </c>
      <c r="H115">
        <v>0.90386500000000003</v>
      </c>
      <c r="I115">
        <v>0.73087500000000005</v>
      </c>
      <c r="J115">
        <v>0.71733499999999994</v>
      </c>
      <c r="K115">
        <v>0.64558800000000005</v>
      </c>
      <c r="L115">
        <v>0.65287700000000004</v>
      </c>
      <c r="M115">
        <v>0.56965100000000002</v>
      </c>
      <c r="N115">
        <v>0.62776900000000002</v>
      </c>
      <c r="O115">
        <v>0.43504100000000001</v>
      </c>
      <c r="P115">
        <v>0.499164</v>
      </c>
      <c r="Q115">
        <v>0.59591300000000003</v>
      </c>
      <c r="R115">
        <v>0.25400800000000001</v>
      </c>
      <c r="S115">
        <v>0</v>
      </c>
      <c r="T115">
        <v>0.201487</v>
      </c>
      <c r="U115">
        <v>0.37506400000000001</v>
      </c>
      <c r="V115">
        <v>0.29823699999999997</v>
      </c>
      <c r="W115">
        <v>8.4414000000000003E-2</v>
      </c>
      <c r="X115">
        <v>7.8909000000000007E-2</v>
      </c>
      <c r="Y115">
        <v>0.29974699999999999</v>
      </c>
      <c r="Z115">
        <v>0.20691100000000001</v>
      </c>
      <c r="AA115">
        <v>0.269237</v>
      </c>
      <c r="AB115">
        <v>0.37848700000000002</v>
      </c>
      <c r="AC115">
        <v>0.381023</v>
      </c>
      <c r="AD115">
        <v>0.356512</v>
      </c>
      <c r="AE115">
        <v>0.25494499999999998</v>
      </c>
      <c r="AF115">
        <v>0.52383000000000002</v>
      </c>
      <c r="AG115">
        <v>0.31394</v>
      </c>
      <c r="AH115">
        <v>0.294348</v>
      </c>
      <c r="AI115">
        <v>0.34784100000000001</v>
      </c>
      <c r="AJ115">
        <v>0.318709666666667</v>
      </c>
      <c r="AK115">
        <v>0.318709666666667</v>
      </c>
      <c r="AL115">
        <v>0.318709666666667</v>
      </c>
    </row>
    <row r="116" spans="1:38" x14ac:dyDescent="0.2">
      <c r="B116">
        <v>1</v>
      </c>
      <c r="C116">
        <v>1</v>
      </c>
      <c r="D116">
        <v>1</v>
      </c>
      <c r="E116">
        <v>1</v>
      </c>
      <c r="F116">
        <v>0.93659899999999996</v>
      </c>
      <c r="G116">
        <v>0.92793599999999998</v>
      </c>
      <c r="H116">
        <v>0.90386500000000003</v>
      </c>
      <c r="I116">
        <v>0.73087500000000005</v>
      </c>
      <c r="J116">
        <v>0.71733499999999994</v>
      </c>
      <c r="K116">
        <v>0.64558800000000005</v>
      </c>
      <c r="L116">
        <v>0.65287700000000004</v>
      </c>
      <c r="M116">
        <v>0.56965100000000002</v>
      </c>
      <c r="N116">
        <v>0.62776900000000002</v>
      </c>
      <c r="O116">
        <v>0.43504100000000001</v>
      </c>
      <c r="P116">
        <v>0.499164</v>
      </c>
      <c r="Q116">
        <v>0.59591300000000003</v>
      </c>
      <c r="R116">
        <v>0.25400800000000001</v>
      </c>
      <c r="S116">
        <v>0</v>
      </c>
      <c r="T116">
        <v>0.201487</v>
      </c>
      <c r="U116">
        <v>0.37506400000000001</v>
      </c>
      <c r="V116">
        <v>0.29823699999999997</v>
      </c>
      <c r="W116">
        <v>8.4414000000000003E-2</v>
      </c>
      <c r="X116">
        <v>7.8909000000000007E-2</v>
      </c>
      <c r="Y116">
        <v>0.29974699999999999</v>
      </c>
      <c r="Z116">
        <v>0.20691100000000001</v>
      </c>
      <c r="AA116">
        <v>0.269237</v>
      </c>
      <c r="AB116">
        <v>0.37848700000000002</v>
      </c>
      <c r="AC116">
        <v>0.381023</v>
      </c>
      <c r="AD116">
        <v>0.356512</v>
      </c>
      <c r="AE116">
        <v>0.25494499999999998</v>
      </c>
      <c r="AF116">
        <v>0.52383000000000002</v>
      </c>
      <c r="AG116">
        <v>0.31394</v>
      </c>
      <c r="AH116">
        <v>0.294348</v>
      </c>
      <c r="AI116">
        <v>0.34784100000000001</v>
      </c>
      <c r="AJ116">
        <v>0.318709666666667</v>
      </c>
      <c r="AK116">
        <v>0.318709666666667</v>
      </c>
      <c r="AL116">
        <v>0.318709666666667</v>
      </c>
    </row>
    <row r="117" spans="1:38" x14ac:dyDescent="0.2">
      <c r="B117">
        <v>1</v>
      </c>
      <c r="C117">
        <v>1</v>
      </c>
      <c r="D117">
        <v>1</v>
      </c>
      <c r="E117">
        <v>1</v>
      </c>
      <c r="F117">
        <v>0.93659899999999996</v>
      </c>
      <c r="G117">
        <v>0.92793599999999998</v>
      </c>
      <c r="H117">
        <v>0.90386500000000003</v>
      </c>
      <c r="I117">
        <v>0.73087500000000005</v>
      </c>
      <c r="J117">
        <v>0.71733499999999994</v>
      </c>
      <c r="K117">
        <v>0.64558800000000005</v>
      </c>
      <c r="L117">
        <v>0.65287700000000004</v>
      </c>
      <c r="M117">
        <v>0.56965100000000002</v>
      </c>
      <c r="N117">
        <v>0.62776900000000002</v>
      </c>
      <c r="O117">
        <v>0.43504100000000001</v>
      </c>
      <c r="P117">
        <v>0.499164</v>
      </c>
      <c r="Q117">
        <v>0.59591300000000003</v>
      </c>
      <c r="R117">
        <v>0.25400800000000001</v>
      </c>
      <c r="S117">
        <v>0</v>
      </c>
      <c r="T117">
        <v>0.201487</v>
      </c>
      <c r="U117">
        <v>0.37506400000000001</v>
      </c>
      <c r="V117">
        <v>0.29823699999999997</v>
      </c>
      <c r="W117">
        <v>8.4414000000000003E-2</v>
      </c>
      <c r="X117">
        <v>7.8909000000000007E-2</v>
      </c>
      <c r="Y117">
        <v>0.29974699999999999</v>
      </c>
      <c r="Z117">
        <v>0.20691100000000001</v>
      </c>
      <c r="AA117">
        <v>0.269237</v>
      </c>
      <c r="AB117">
        <v>0.37848700000000002</v>
      </c>
      <c r="AC117">
        <v>0.381023</v>
      </c>
      <c r="AD117">
        <v>0.356512</v>
      </c>
      <c r="AE117">
        <v>0.25494499999999998</v>
      </c>
      <c r="AF117">
        <v>0.52383000000000002</v>
      </c>
      <c r="AG117">
        <v>0.31394</v>
      </c>
      <c r="AH117">
        <v>0.294348</v>
      </c>
      <c r="AI117">
        <v>0.34784100000000001</v>
      </c>
      <c r="AJ117">
        <v>0.318709666666667</v>
      </c>
      <c r="AK117">
        <v>0.318709666666667</v>
      </c>
      <c r="AL117">
        <v>0.318709666666667</v>
      </c>
    </row>
    <row r="118" spans="1:38" x14ac:dyDescent="0.2">
      <c r="A118">
        <v>30</v>
      </c>
      <c r="B118">
        <v>1</v>
      </c>
      <c r="C118">
        <v>1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2">
      <c r="B119">
        <v>1</v>
      </c>
      <c r="C119">
        <v>1</v>
      </c>
      <c r="D119">
        <v>1</v>
      </c>
      <c r="E119">
        <v>1</v>
      </c>
      <c r="F119">
        <v>0.93659899999999996</v>
      </c>
      <c r="G119">
        <v>0.92793599999999998</v>
      </c>
      <c r="H119">
        <v>0.90386500000000003</v>
      </c>
      <c r="I119">
        <v>0.73087500000000005</v>
      </c>
      <c r="J119">
        <v>0.71733499999999994</v>
      </c>
      <c r="K119">
        <v>0.64558800000000005</v>
      </c>
      <c r="L119">
        <v>0.65287700000000004</v>
      </c>
      <c r="M119">
        <v>0.56965100000000002</v>
      </c>
      <c r="N119">
        <v>0.62776900000000002</v>
      </c>
      <c r="O119">
        <v>0.43504100000000001</v>
      </c>
      <c r="P119">
        <v>0.499164</v>
      </c>
      <c r="Q119">
        <v>0.59591300000000003</v>
      </c>
      <c r="R119">
        <v>0.25400800000000001</v>
      </c>
      <c r="S119">
        <v>0</v>
      </c>
      <c r="T119">
        <v>0.201487</v>
      </c>
      <c r="U119">
        <v>0.37506400000000001</v>
      </c>
      <c r="V119">
        <v>0.29823699999999997</v>
      </c>
      <c r="W119">
        <v>8.4414000000000003E-2</v>
      </c>
      <c r="X119">
        <v>7.8909000000000007E-2</v>
      </c>
      <c r="Y119">
        <v>0.29974699999999999</v>
      </c>
      <c r="Z119">
        <v>0.20691100000000001</v>
      </c>
      <c r="AA119">
        <v>0.269237</v>
      </c>
      <c r="AB119">
        <v>0.37848700000000002</v>
      </c>
      <c r="AC119">
        <v>0.381023</v>
      </c>
      <c r="AD119">
        <v>0.356512</v>
      </c>
      <c r="AE119">
        <v>0.25494499999999998</v>
      </c>
      <c r="AF119">
        <v>0.52383000000000002</v>
      </c>
      <c r="AG119">
        <v>0.31394</v>
      </c>
      <c r="AH119">
        <v>0.294348</v>
      </c>
      <c r="AI119">
        <v>0.34784100000000001</v>
      </c>
      <c r="AJ119">
        <v>0.318709666666667</v>
      </c>
      <c r="AK119">
        <v>0.318709666666667</v>
      </c>
      <c r="AL119">
        <v>0.318709666666667</v>
      </c>
    </row>
    <row r="120" spans="1:38" x14ac:dyDescent="0.2">
      <c r="B120">
        <v>1</v>
      </c>
      <c r="C120">
        <v>1</v>
      </c>
      <c r="D120">
        <v>1</v>
      </c>
      <c r="E120">
        <v>1</v>
      </c>
      <c r="F120">
        <v>0.93659899999999996</v>
      </c>
      <c r="G120">
        <v>0.92793599999999998</v>
      </c>
      <c r="H120">
        <v>0.90386500000000003</v>
      </c>
      <c r="I120">
        <v>0.73087500000000005</v>
      </c>
      <c r="J120">
        <v>0.71733499999999994</v>
      </c>
      <c r="K120">
        <v>0.64558800000000005</v>
      </c>
      <c r="L120">
        <v>0.65287700000000004</v>
      </c>
      <c r="M120">
        <v>0.56965100000000002</v>
      </c>
      <c r="N120">
        <v>0.62776900000000002</v>
      </c>
      <c r="O120">
        <v>0.43504100000000001</v>
      </c>
      <c r="P120">
        <v>0.499164</v>
      </c>
      <c r="Q120">
        <v>0.59591300000000003</v>
      </c>
      <c r="R120">
        <v>0.25400800000000001</v>
      </c>
      <c r="S120">
        <v>0</v>
      </c>
      <c r="T120">
        <v>0.201487</v>
      </c>
      <c r="U120">
        <v>0.37506400000000001</v>
      </c>
      <c r="V120">
        <v>0.29823699999999997</v>
      </c>
      <c r="W120">
        <v>8.4414000000000003E-2</v>
      </c>
      <c r="X120">
        <v>7.8909000000000007E-2</v>
      </c>
      <c r="Y120">
        <v>0.29974699999999999</v>
      </c>
      <c r="Z120">
        <v>0.20691100000000001</v>
      </c>
      <c r="AA120">
        <v>0.269237</v>
      </c>
      <c r="AB120">
        <v>0.37848700000000002</v>
      </c>
      <c r="AC120">
        <v>0.381023</v>
      </c>
      <c r="AD120">
        <v>0.356512</v>
      </c>
      <c r="AE120">
        <v>0.25494499999999998</v>
      </c>
      <c r="AF120">
        <v>0.52383000000000002</v>
      </c>
      <c r="AG120">
        <v>0.31394</v>
      </c>
      <c r="AH120">
        <v>0.294348</v>
      </c>
      <c r="AI120">
        <v>0.34784100000000001</v>
      </c>
      <c r="AJ120">
        <v>0.318709666666667</v>
      </c>
      <c r="AK120">
        <v>0.318709666666667</v>
      </c>
      <c r="AL120">
        <v>0.318709666666667</v>
      </c>
    </row>
    <row r="121" spans="1:38" x14ac:dyDescent="0.2">
      <c r="B121">
        <v>1</v>
      </c>
      <c r="C121">
        <v>1</v>
      </c>
      <c r="D121">
        <v>1</v>
      </c>
      <c r="E121">
        <v>1</v>
      </c>
      <c r="F121">
        <v>0.93659899999999996</v>
      </c>
      <c r="G121">
        <v>0.92793599999999998</v>
      </c>
      <c r="H121">
        <v>0.90386500000000003</v>
      </c>
      <c r="I121">
        <v>0.73087500000000005</v>
      </c>
      <c r="J121">
        <v>0.71733499999999994</v>
      </c>
      <c r="K121">
        <v>0.64558800000000005</v>
      </c>
      <c r="L121">
        <v>0.65287700000000004</v>
      </c>
      <c r="M121">
        <v>0.56965100000000002</v>
      </c>
      <c r="N121">
        <v>0.62776900000000002</v>
      </c>
      <c r="O121">
        <v>0.43504100000000001</v>
      </c>
      <c r="P121">
        <v>0.499164</v>
      </c>
      <c r="Q121">
        <v>0.59591300000000003</v>
      </c>
      <c r="R121">
        <v>0.25400800000000001</v>
      </c>
      <c r="S121">
        <v>0</v>
      </c>
      <c r="T121">
        <v>0.201487</v>
      </c>
      <c r="U121">
        <v>0.37506400000000001</v>
      </c>
      <c r="V121">
        <v>0.29823699999999997</v>
      </c>
      <c r="W121">
        <v>8.4414000000000003E-2</v>
      </c>
      <c r="X121">
        <v>7.8909000000000007E-2</v>
      </c>
      <c r="Y121">
        <v>0.29974699999999999</v>
      </c>
      <c r="Z121">
        <v>0.20691100000000001</v>
      </c>
      <c r="AA121">
        <v>0.269237</v>
      </c>
      <c r="AB121">
        <v>0.37848700000000002</v>
      </c>
      <c r="AC121">
        <v>0.381023</v>
      </c>
      <c r="AD121">
        <v>0.356512</v>
      </c>
      <c r="AE121">
        <v>0.25494499999999998</v>
      </c>
      <c r="AF121">
        <v>0.52383000000000002</v>
      </c>
      <c r="AG121">
        <v>0.31394</v>
      </c>
      <c r="AH121">
        <v>0.294348</v>
      </c>
      <c r="AI121">
        <v>0.34784100000000001</v>
      </c>
      <c r="AJ121">
        <v>0.318709666666667</v>
      </c>
      <c r="AK121">
        <v>0.318709666666667</v>
      </c>
      <c r="AL121">
        <v>0.318709666666667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22"/>
  <sheetViews>
    <sheetView tabSelected="1" workbookViewId="0">
      <selection activeCell="F3" sqref="F3"/>
    </sheetView>
  </sheetViews>
  <sheetFormatPr defaultRowHeight="12.75" x14ac:dyDescent="0.2"/>
  <sheetData>
    <row r="2" spans="1:38" x14ac:dyDescent="0.2">
      <c r="B2">
        <v>79</v>
      </c>
      <c r="C2">
        <v>80</v>
      </c>
      <c r="D2">
        <v>81</v>
      </c>
      <c r="E2">
        <v>82</v>
      </c>
      <c r="F2">
        <v>83</v>
      </c>
      <c r="G2">
        <v>84</v>
      </c>
      <c r="H2">
        <v>85</v>
      </c>
      <c r="I2">
        <v>86</v>
      </c>
      <c r="J2">
        <v>87</v>
      </c>
      <c r="K2">
        <v>88</v>
      </c>
      <c r="L2">
        <v>89</v>
      </c>
      <c r="M2">
        <v>90</v>
      </c>
      <c r="N2">
        <v>91</v>
      </c>
      <c r="O2">
        <v>92</v>
      </c>
      <c r="P2">
        <v>93</v>
      </c>
      <c r="Q2">
        <v>94</v>
      </c>
      <c r="R2">
        <v>95</v>
      </c>
      <c r="S2">
        <v>96</v>
      </c>
      <c r="T2">
        <v>97</v>
      </c>
      <c r="U2">
        <v>98</v>
      </c>
      <c r="V2">
        <v>99</v>
      </c>
      <c r="W2">
        <v>0</v>
      </c>
      <c r="X2">
        <v>1</v>
      </c>
      <c r="Y2">
        <v>2</v>
      </c>
      <c r="Z2">
        <v>3</v>
      </c>
      <c r="AA2">
        <v>4</v>
      </c>
      <c r="AB2">
        <v>5</v>
      </c>
      <c r="AC2">
        <v>6</v>
      </c>
      <c r="AD2">
        <v>7</v>
      </c>
      <c r="AE2">
        <v>8</v>
      </c>
      <c r="AF2">
        <v>9</v>
      </c>
      <c r="AG2">
        <v>10</v>
      </c>
      <c r="AH2">
        <v>11</v>
      </c>
      <c r="AI2">
        <v>12</v>
      </c>
      <c r="AJ2">
        <v>13</v>
      </c>
      <c r="AK2">
        <v>14</v>
      </c>
      <c r="AL2">
        <v>15</v>
      </c>
    </row>
    <row r="3" spans="1:38" x14ac:dyDescent="0.2">
      <c r="A3">
        <v>0</v>
      </c>
      <c r="B3">
        <f>FPA!B5-R_output!B2</f>
        <v>0</v>
      </c>
      <c r="C3">
        <f>FPA!C5-R_output!C2</f>
        <v>0</v>
      </c>
      <c r="D3">
        <f>FPA!D5-R_output!D2</f>
        <v>0</v>
      </c>
      <c r="E3">
        <f>FPA!E5-R_output!E2</f>
        <v>-1.8467000000000011E-2</v>
      </c>
      <c r="F3">
        <f>FPA!F5-R_output!F2</f>
        <v>0</v>
      </c>
      <c r="G3">
        <f>FPA!G5-R_output!G2</f>
        <v>0</v>
      </c>
      <c r="H3">
        <f>FPA!H5-R_output!H2</f>
        <v>0</v>
      </c>
      <c r="I3">
        <f>FPA!I5-R_output!I2</f>
        <v>0</v>
      </c>
      <c r="J3">
        <f>FPA!J5-R_output!J2</f>
        <v>0</v>
      </c>
      <c r="K3">
        <f>FPA!K5-R_output!K2</f>
        <v>0</v>
      </c>
      <c r="L3">
        <f>FPA!L5-R_output!L2</f>
        <v>0</v>
      </c>
      <c r="M3">
        <f>FPA!M5-R_output!M2</f>
        <v>0</v>
      </c>
      <c r="N3">
        <f>FPA!N5-R_output!N2</f>
        <v>0</v>
      </c>
      <c r="O3">
        <f>FPA!O5-R_output!O2</f>
        <v>0</v>
      </c>
      <c r="P3">
        <f>FPA!P5-R_output!P2</f>
        <v>0</v>
      </c>
      <c r="Q3">
        <f>FPA!Q5-R_output!Q2</f>
        <v>0</v>
      </c>
      <c r="R3">
        <f>FPA!R5-R_output!R2</f>
        <v>0</v>
      </c>
      <c r="S3">
        <f>FPA!S5-R_output!S2</f>
        <v>0</v>
      </c>
      <c r="T3">
        <f>FPA!T5-R_output!T2</f>
        <v>0</v>
      </c>
      <c r="U3">
        <f>FPA!U5-R_output!U2</f>
        <v>0</v>
      </c>
      <c r="V3">
        <f>FPA!V5-R_output!V2</f>
        <v>0</v>
      </c>
      <c r="W3">
        <f>FPA!W5-R_output!W2</f>
        <v>0</v>
      </c>
      <c r="X3">
        <f>FPA!X5-R_output!X2</f>
        <v>0</v>
      </c>
      <c r="Y3">
        <f>FPA!Y5-R_output!Y2</f>
        <v>0</v>
      </c>
      <c r="Z3">
        <f>FPA!Z5-R_output!Z2</f>
        <v>0</v>
      </c>
      <c r="AA3">
        <f>FPA!AA5-R_output!AA2</f>
        <v>0</v>
      </c>
      <c r="AB3">
        <f>FPA!AB5-R_output!AB2</f>
        <v>0</v>
      </c>
      <c r="AC3">
        <f>FPA!AC5-R_output!AC2</f>
        <v>0</v>
      </c>
      <c r="AD3">
        <f>FPA!AD5-R_output!AD2</f>
        <v>0</v>
      </c>
      <c r="AE3">
        <f>FPA!AE5-R_output!AE2</f>
        <v>0</v>
      </c>
      <c r="AF3">
        <f>FPA!AF5-R_output!AF2</f>
        <v>0</v>
      </c>
      <c r="AG3">
        <f>FPA!AG5-R_output!AG2</f>
        <v>0</v>
      </c>
      <c r="AH3">
        <f>FPA!AH5-R_output!AH2</f>
        <v>0</v>
      </c>
      <c r="AI3">
        <f>FPA!AI5-R_output!AI2</f>
        <v>0</v>
      </c>
      <c r="AJ3">
        <f>FPA!AJ5-R_output!AJ2</f>
        <v>0</v>
      </c>
      <c r="AK3">
        <f>FPA!AK5-R_output!AK2</f>
        <v>0</v>
      </c>
      <c r="AL3">
        <f>FPA!AL5-R_output!AL2</f>
        <v>0</v>
      </c>
    </row>
    <row r="4" spans="1:38" x14ac:dyDescent="0.2">
      <c r="A4">
        <v>0</v>
      </c>
      <c r="B4">
        <f>FPA!B6-R_output!B3</f>
        <v>0</v>
      </c>
      <c r="C4">
        <f>FPA!C6-R_output!C3</f>
        <v>0</v>
      </c>
      <c r="D4">
        <f>FPA!D6-R_output!D3</f>
        <v>0</v>
      </c>
      <c r="E4">
        <f>FPA!E6-R_output!E3</f>
        <v>-1.8467000000000011E-2</v>
      </c>
      <c r="F4">
        <f>FPA!F6-R_output!F3</f>
        <v>0</v>
      </c>
      <c r="G4">
        <f>FPA!G6-R_output!G3</f>
        <v>0</v>
      </c>
      <c r="H4">
        <f>FPA!H6-R_output!H3</f>
        <v>0</v>
      </c>
      <c r="I4">
        <f>FPA!I6-R_output!I3</f>
        <v>0</v>
      </c>
      <c r="J4">
        <f>FPA!J6-R_output!J3</f>
        <v>0</v>
      </c>
      <c r="K4">
        <f>FPA!K6-R_output!K3</f>
        <v>0</v>
      </c>
      <c r="L4">
        <f>FPA!L6-R_output!L3</f>
        <v>0</v>
      </c>
      <c r="M4">
        <f>FPA!M6-R_output!M3</f>
        <v>0</v>
      </c>
      <c r="N4">
        <f>FPA!N6-R_output!N3</f>
        <v>0</v>
      </c>
      <c r="O4">
        <f>FPA!O6-R_output!O3</f>
        <v>0</v>
      </c>
      <c r="P4">
        <f>FPA!P6-R_output!P3</f>
        <v>0</v>
      </c>
      <c r="Q4">
        <f>FPA!Q6-R_output!Q3</f>
        <v>0</v>
      </c>
      <c r="R4">
        <f>FPA!R6-R_output!R3</f>
        <v>0</v>
      </c>
      <c r="S4">
        <f>FPA!S6-R_output!S3</f>
        <v>0</v>
      </c>
      <c r="T4">
        <f>FPA!T6-R_output!T3</f>
        <v>0</v>
      </c>
      <c r="U4">
        <f>FPA!U6-R_output!U3</f>
        <v>0</v>
      </c>
      <c r="V4">
        <f>FPA!V6-R_output!V3</f>
        <v>0</v>
      </c>
      <c r="W4">
        <f>FPA!W6-R_output!W3</f>
        <v>0</v>
      </c>
      <c r="X4">
        <f>FPA!X6-R_output!X3</f>
        <v>0</v>
      </c>
      <c r="Y4">
        <f>FPA!Y6-R_output!Y3</f>
        <v>0</v>
      </c>
      <c r="Z4">
        <f>FPA!Z6-R_output!Z3</f>
        <v>0</v>
      </c>
      <c r="AA4">
        <f>FPA!AA6-R_output!AA3</f>
        <v>0</v>
      </c>
      <c r="AB4">
        <f>FPA!AB6-R_output!AB3</f>
        <v>0</v>
      </c>
      <c r="AC4">
        <f>FPA!AC6-R_output!AC3</f>
        <v>0</v>
      </c>
      <c r="AD4">
        <f>FPA!AD6-R_output!AD3</f>
        <v>0</v>
      </c>
      <c r="AE4">
        <f>FPA!AE6-R_output!AE3</f>
        <v>0</v>
      </c>
      <c r="AF4">
        <f>FPA!AF6-R_output!AF3</f>
        <v>0</v>
      </c>
      <c r="AG4">
        <f>FPA!AG6-R_output!AG3</f>
        <v>0</v>
      </c>
      <c r="AH4">
        <f>FPA!AH6-R_output!AH3</f>
        <v>0</v>
      </c>
      <c r="AI4">
        <f>FPA!AI6-R_output!AI3</f>
        <v>0</v>
      </c>
      <c r="AJ4">
        <f>FPA!AJ6-R_output!AJ3</f>
        <v>0</v>
      </c>
      <c r="AK4">
        <f>FPA!AK6-R_output!AK3</f>
        <v>0</v>
      </c>
      <c r="AL4">
        <f>FPA!AL6-R_output!AL3</f>
        <v>0</v>
      </c>
    </row>
    <row r="5" spans="1:38" x14ac:dyDescent="0.2">
      <c r="A5">
        <v>0</v>
      </c>
      <c r="B5">
        <f>FPA!B7-R_output!B4</f>
        <v>0</v>
      </c>
      <c r="C5">
        <f>FPA!C7-R_output!C4</f>
        <v>0</v>
      </c>
      <c r="D5">
        <f>FPA!D7-R_output!D4</f>
        <v>0</v>
      </c>
      <c r="E5">
        <f>FPA!E7-R_output!E4</f>
        <v>-1.8467000000000011E-2</v>
      </c>
      <c r="F5">
        <f>FPA!F7-R_output!F4</f>
        <v>0</v>
      </c>
      <c r="G5">
        <f>FPA!G7-R_output!G4</f>
        <v>0</v>
      </c>
      <c r="H5">
        <f>FPA!H7-R_output!H4</f>
        <v>0</v>
      </c>
      <c r="I5">
        <f>FPA!I7-R_output!I4</f>
        <v>0</v>
      </c>
      <c r="J5">
        <f>FPA!J7-R_output!J4</f>
        <v>0</v>
      </c>
      <c r="K5">
        <f>FPA!K7-R_output!K4</f>
        <v>0</v>
      </c>
      <c r="L5">
        <f>FPA!L7-R_output!L4</f>
        <v>0</v>
      </c>
      <c r="M5">
        <f>FPA!M7-R_output!M4</f>
        <v>0</v>
      </c>
      <c r="N5">
        <f>FPA!N7-R_output!N4</f>
        <v>0</v>
      </c>
      <c r="O5">
        <f>FPA!O7-R_output!O4</f>
        <v>0</v>
      </c>
      <c r="P5">
        <f>FPA!P7-R_output!P4</f>
        <v>0</v>
      </c>
      <c r="Q5">
        <f>FPA!Q7-R_output!Q4</f>
        <v>0</v>
      </c>
      <c r="R5">
        <f>FPA!R7-R_output!R4</f>
        <v>0</v>
      </c>
      <c r="S5">
        <f>FPA!S7-R_output!S4</f>
        <v>0</v>
      </c>
      <c r="T5">
        <f>FPA!T7-R_output!T4</f>
        <v>0</v>
      </c>
      <c r="U5">
        <f>FPA!U7-R_output!U4</f>
        <v>0</v>
      </c>
      <c r="V5">
        <f>FPA!V7-R_output!V4</f>
        <v>0</v>
      </c>
      <c r="W5">
        <f>FPA!W7-R_output!W4</f>
        <v>0</v>
      </c>
      <c r="X5">
        <f>FPA!X7-R_output!X4</f>
        <v>0</v>
      </c>
      <c r="Y5">
        <f>FPA!Y7-R_output!Y4</f>
        <v>0</v>
      </c>
      <c r="Z5">
        <f>FPA!Z7-R_output!Z4</f>
        <v>0</v>
      </c>
      <c r="AA5">
        <f>FPA!AA7-R_output!AA4</f>
        <v>0</v>
      </c>
      <c r="AB5">
        <f>FPA!AB7-R_output!AB4</f>
        <v>0</v>
      </c>
      <c r="AC5">
        <f>FPA!AC7-R_output!AC4</f>
        <v>0</v>
      </c>
      <c r="AD5">
        <f>FPA!AD7-R_output!AD4</f>
        <v>0</v>
      </c>
      <c r="AE5">
        <f>FPA!AE7-R_output!AE4</f>
        <v>0</v>
      </c>
      <c r="AF5">
        <f>FPA!AF7-R_output!AF4</f>
        <v>0</v>
      </c>
      <c r="AG5">
        <f>FPA!AG7-R_output!AG4</f>
        <v>0</v>
      </c>
      <c r="AH5">
        <f>FPA!AH7-R_output!AH4</f>
        <v>0</v>
      </c>
      <c r="AI5">
        <f>FPA!AI7-R_output!AI4</f>
        <v>0</v>
      </c>
      <c r="AJ5">
        <f>FPA!AJ7-R_output!AJ4</f>
        <v>0</v>
      </c>
      <c r="AK5">
        <f>FPA!AK7-R_output!AK4</f>
        <v>0</v>
      </c>
      <c r="AL5">
        <f>FPA!AL7-R_output!AL4</f>
        <v>0</v>
      </c>
    </row>
    <row r="6" spans="1:38" x14ac:dyDescent="0.2">
      <c r="A6">
        <v>0</v>
      </c>
      <c r="B6">
        <f>FPA!B8-R_output!B5</f>
        <v>0</v>
      </c>
      <c r="C6">
        <f>FPA!C8-R_output!C5</f>
        <v>0</v>
      </c>
      <c r="D6">
        <f>FPA!D8-R_output!D5</f>
        <v>0</v>
      </c>
      <c r="E6">
        <f>FPA!E8-R_output!E5</f>
        <v>-1.8467000000000011E-2</v>
      </c>
      <c r="F6">
        <f>FPA!F8-R_output!F5</f>
        <v>0</v>
      </c>
      <c r="G6">
        <f>FPA!G8-R_output!G5</f>
        <v>0</v>
      </c>
      <c r="H6">
        <f>FPA!H8-R_output!H5</f>
        <v>0</v>
      </c>
      <c r="I6">
        <f>FPA!I8-R_output!I5</f>
        <v>0</v>
      </c>
      <c r="J6">
        <f>FPA!J8-R_output!J5</f>
        <v>0</v>
      </c>
      <c r="K6">
        <f>FPA!K8-R_output!K5</f>
        <v>0</v>
      </c>
      <c r="L6">
        <f>FPA!L8-R_output!L5</f>
        <v>0</v>
      </c>
      <c r="M6">
        <f>FPA!M8-R_output!M5</f>
        <v>0</v>
      </c>
      <c r="N6">
        <f>FPA!N8-R_output!N5</f>
        <v>0</v>
      </c>
      <c r="O6">
        <f>FPA!O8-R_output!O5</f>
        <v>0</v>
      </c>
      <c r="P6">
        <f>FPA!P8-R_output!P5</f>
        <v>0</v>
      </c>
      <c r="Q6">
        <f>FPA!Q8-R_output!Q5</f>
        <v>0</v>
      </c>
      <c r="R6">
        <f>FPA!R8-R_output!R5</f>
        <v>0</v>
      </c>
      <c r="S6">
        <f>FPA!S8-R_output!S5</f>
        <v>0</v>
      </c>
      <c r="T6">
        <f>FPA!T8-R_output!T5</f>
        <v>0</v>
      </c>
      <c r="U6">
        <f>FPA!U8-R_output!U5</f>
        <v>0</v>
      </c>
      <c r="V6">
        <f>FPA!V8-R_output!V5</f>
        <v>0</v>
      </c>
      <c r="W6">
        <f>FPA!W8-R_output!W5</f>
        <v>0</v>
      </c>
      <c r="X6">
        <f>FPA!X8-R_output!X5</f>
        <v>0</v>
      </c>
      <c r="Y6">
        <f>FPA!Y8-R_output!Y5</f>
        <v>0</v>
      </c>
      <c r="Z6">
        <f>FPA!Z8-R_output!Z5</f>
        <v>0</v>
      </c>
      <c r="AA6">
        <f>FPA!AA8-R_output!AA5</f>
        <v>0</v>
      </c>
      <c r="AB6">
        <f>FPA!AB8-R_output!AB5</f>
        <v>0</v>
      </c>
      <c r="AC6">
        <f>FPA!AC8-R_output!AC5</f>
        <v>0</v>
      </c>
      <c r="AD6">
        <f>FPA!AD8-R_output!AD5</f>
        <v>0</v>
      </c>
      <c r="AE6">
        <f>FPA!AE8-R_output!AE5</f>
        <v>0</v>
      </c>
      <c r="AF6">
        <f>FPA!AF8-R_output!AF5</f>
        <v>0</v>
      </c>
      <c r="AG6">
        <f>FPA!AG8-R_output!AG5</f>
        <v>0</v>
      </c>
      <c r="AH6">
        <f>FPA!AH8-R_output!AH5</f>
        <v>0</v>
      </c>
      <c r="AI6">
        <f>FPA!AI8-R_output!AI5</f>
        <v>0</v>
      </c>
      <c r="AJ6">
        <f>FPA!AJ8-R_output!AJ5</f>
        <v>0</v>
      </c>
      <c r="AK6">
        <f>FPA!AK8-R_output!AK5</f>
        <v>0</v>
      </c>
      <c r="AL6">
        <f>FPA!AL8-R_output!AL5</f>
        <v>0</v>
      </c>
    </row>
    <row r="7" spans="1:38" x14ac:dyDescent="0.2">
      <c r="A7">
        <v>1</v>
      </c>
      <c r="B7">
        <f>FPA!B9-R_output!B6</f>
        <v>0</v>
      </c>
      <c r="C7">
        <f>FPA!C9-R_output!C6</f>
        <v>0</v>
      </c>
      <c r="D7">
        <f>FPA!D9-R_output!D6</f>
        <v>0</v>
      </c>
      <c r="E7">
        <f>FPA!E9-R_output!E6</f>
        <v>-1</v>
      </c>
      <c r="F7">
        <f>FPA!F9-R_output!F6</f>
        <v>0</v>
      </c>
      <c r="G7">
        <f>FPA!G9-R_output!G6</f>
        <v>0</v>
      </c>
      <c r="H7">
        <f>FPA!H9-R_output!H6</f>
        <v>0</v>
      </c>
      <c r="I7">
        <f>FPA!I9-R_output!I6</f>
        <v>0</v>
      </c>
      <c r="J7">
        <f>FPA!J9-R_output!J6</f>
        <v>0</v>
      </c>
      <c r="K7">
        <f>FPA!K9-R_output!K6</f>
        <v>0</v>
      </c>
      <c r="L7">
        <f>FPA!L9-R_output!L6</f>
        <v>0</v>
      </c>
      <c r="M7">
        <f>FPA!M9-R_output!M6</f>
        <v>0</v>
      </c>
      <c r="N7">
        <f>FPA!N9-R_output!N6</f>
        <v>0</v>
      </c>
      <c r="O7">
        <f>FPA!O9-R_output!O6</f>
        <v>0</v>
      </c>
      <c r="P7">
        <f>FPA!P9-R_output!P6</f>
        <v>0</v>
      </c>
      <c r="Q7">
        <f>FPA!Q9-R_output!Q6</f>
        <v>0</v>
      </c>
      <c r="R7">
        <f>FPA!R9-R_output!R6</f>
        <v>0</v>
      </c>
      <c r="S7">
        <f>FPA!S9-R_output!S6</f>
        <v>0</v>
      </c>
      <c r="T7">
        <f>FPA!T9-R_output!T6</f>
        <v>0</v>
      </c>
      <c r="U7">
        <f>FPA!U9-R_output!U6</f>
        <v>0</v>
      </c>
      <c r="V7">
        <f>FPA!V9-R_output!V6</f>
        <v>0</v>
      </c>
      <c r="W7">
        <f>FPA!W9-R_output!W6</f>
        <v>0</v>
      </c>
      <c r="X7">
        <f>FPA!X9-R_output!X6</f>
        <v>0</v>
      </c>
      <c r="Y7">
        <f>FPA!Y9-R_output!Y6</f>
        <v>0</v>
      </c>
      <c r="Z7">
        <f>FPA!Z9-R_output!Z6</f>
        <v>0</v>
      </c>
      <c r="AA7">
        <f>FPA!AA9-R_output!AA6</f>
        <v>0</v>
      </c>
      <c r="AB7">
        <f>FPA!AB9-R_output!AB6</f>
        <v>0</v>
      </c>
      <c r="AC7">
        <f>FPA!AC9-R_output!AC6</f>
        <v>0</v>
      </c>
      <c r="AD7">
        <f>FPA!AD9-R_output!AD6</f>
        <v>0</v>
      </c>
      <c r="AE7">
        <f>FPA!AE9-R_output!AE6</f>
        <v>0</v>
      </c>
      <c r="AF7">
        <f>FPA!AF9-R_output!AF6</f>
        <v>0</v>
      </c>
      <c r="AG7">
        <f>FPA!AG9-R_output!AG6</f>
        <v>0</v>
      </c>
      <c r="AH7">
        <f>FPA!AH9-R_output!AH6</f>
        <v>0</v>
      </c>
      <c r="AI7">
        <f>FPA!AI9-R_output!AI6</f>
        <v>0</v>
      </c>
      <c r="AJ7">
        <f>FPA!AJ9-R_output!AJ6</f>
        <v>0</v>
      </c>
      <c r="AK7">
        <f>FPA!AK9-R_output!AK6</f>
        <v>0</v>
      </c>
      <c r="AL7">
        <f>FPA!AL9-R_output!AL6</f>
        <v>0</v>
      </c>
    </row>
    <row r="8" spans="1:38" x14ac:dyDescent="0.2">
      <c r="A8">
        <v>1</v>
      </c>
      <c r="B8">
        <f>FPA!B10-R_output!B7</f>
        <v>0</v>
      </c>
      <c r="C8">
        <f>FPA!C10-R_output!C7</f>
        <v>0</v>
      </c>
      <c r="D8">
        <f>FPA!D10-R_output!D7</f>
        <v>0</v>
      </c>
      <c r="E8">
        <f>FPA!E10-R_output!E7</f>
        <v>-1.8467000000000011E-2</v>
      </c>
      <c r="F8">
        <f>FPA!F10-R_output!F7</f>
        <v>0</v>
      </c>
      <c r="G8">
        <f>FPA!G10-R_output!G7</f>
        <v>0</v>
      </c>
      <c r="H8">
        <f>FPA!H10-R_output!H7</f>
        <v>0</v>
      </c>
      <c r="I8">
        <f>FPA!I10-R_output!I7</f>
        <v>0</v>
      </c>
      <c r="J8">
        <f>FPA!J10-R_output!J7</f>
        <v>0</v>
      </c>
      <c r="K8">
        <f>FPA!K10-R_output!K7</f>
        <v>0</v>
      </c>
      <c r="L8">
        <f>FPA!L10-R_output!L7</f>
        <v>0</v>
      </c>
      <c r="M8">
        <f>FPA!M10-R_output!M7</f>
        <v>0</v>
      </c>
      <c r="N8">
        <f>FPA!N10-R_output!N7</f>
        <v>0</v>
      </c>
      <c r="O8">
        <f>FPA!O10-R_output!O7</f>
        <v>0</v>
      </c>
      <c r="P8">
        <f>FPA!P10-R_output!P7</f>
        <v>0</v>
      </c>
      <c r="Q8">
        <f>FPA!Q10-R_output!Q7</f>
        <v>0</v>
      </c>
      <c r="R8">
        <f>FPA!R10-R_output!R7</f>
        <v>0</v>
      </c>
      <c r="S8">
        <f>FPA!S10-R_output!S7</f>
        <v>0</v>
      </c>
      <c r="T8">
        <f>FPA!T10-R_output!T7</f>
        <v>0</v>
      </c>
      <c r="U8">
        <f>FPA!U10-R_output!U7</f>
        <v>0</v>
      </c>
      <c r="V8">
        <f>FPA!V10-R_output!V7</f>
        <v>0</v>
      </c>
      <c r="W8">
        <f>FPA!W10-R_output!W7</f>
        <v>0</v>
      </c>
      <c r="X8">
        <f>FPA!X10-R_output!X7</f>
        <v>0</v>
      </c>
      <c r="Y8">
        <f>FPA!Y10-R_output!Y7</f>
        <v>0</v>
      </c>
      <c r="Z8">
        <f>FPA!Z10-R_output!Z7</f>
        <v>0</v>
      </c>
      <c r="AA8">
        <f>FPA!AA10-R_output!AA7</f>
        <v>0</v>
      </c>
      <c r="AB8">
        <f>FPA!AB10-R_output!AB7</f>
        <v>0</v>
      </c>
      <c r="AC8">
        <f>FPA!AC10-R_output!AC7</f>
        <v>0</v>
      </c>
      <c r="AD8">
        <f>FPA!AD10-R_output!AD7</f>
        <v>0</v>
      </c>
      <c r="AE8">
        <f>FPA!AE10-R_output!AE7</f>
        <v>0</v>
      </c>
      <c r="AF8">
        <f>FPA!AF10-R_output!AF7</f>
        <v>0</v>
      </c>
      <c r="AG8">
        <f>FPA!AG10-R_output!AG7</f>
        <v>0</v>
      </c>
      <c r="AH8">
        <f>FPA!AH10-R_output!AH7</f>
        <v>0</v>
      </c>
      <c r="AI8">
        <f>FPA!AI10-R_output!AI7</f>
        <v>0</v>
      </c>
      <c r="AJ8">
        <f>FPA!AJ10-R_output!AJ7</f>
        <v>0</v>
      </c>
      <c r="AK8">
        <f>FPA!AK10-R_output!AK7</f>
        <v>0</v>
      </c>
      <c r="AL8">
        <f>FPA!AL10-R_output!AL7</f>
        <v>0</v>
      </c>
    </row>
    <row r="9" spans="1:38" x14ac:dyDescent="0.2">
      <c r="A9">
        <v>1</v>
      </c>
      <c r="B9">
        <f>FPA!B11-R_output!B8</f>
        <v>0</v>
      </c>
      <c r="C9">
        <f>FPA!C11-R_output!C8</f>
        <v>0</v>
      </c>
      <c r="D9">
        <f>FPA!D11-R_output!D8</f>
        <v>0</v>
      </c>
      <c r="E9">
        <f>FPA!E11-R_output!E8</f>
        <v>-1.84669999999999E-2</v>
      </c>
      <c r="F9">
        <f>FPA!F11-R_output!F8</f>
        <v>0</v>
      </c>
      <c r="G9">
        <f>FPA!G11-R_output!G8</f>
        <v>0</v>
      </c>
      <c r="H9">
        <f>FPA!H11-R_output!H8</f>
        <v>0</v>
      </c>
      <c r="I9">
        <f>FPA!I11-R_output!I8</f>
        <v>0</v>
      </c>
      <c r="J9">
        <f>FPA!J11-R_output!J8</f>
        <v>0</v>
      </c>
      <c r="K9">
        <f>FPA!K11-R_output!K8</f>
        <v>0</v>
      </c>
      <c r="L9">
        <f>FPA!L11-R_output!L8</f>
        <v>0</v>
      </c>
      <c r="M9">
        <f>FPA!M11-R_output!M8</f>
        <v>0</v>
      </c>
      <c r="N9">
        <f>FPA!N11-R_output!N8</f>
        <v>0</v>
      </c>
      <c r="O9">
        <f>FPA!O11-R_output!O8</f>
        <v>0</v>
      </c>
      <c r="P9">
        <f>FPA!P11-R_output!P8</f>
        <v>0</v>
      </c>
      <c r="Q9">
        <f>FPA!Q11-R_output!Q8</f>
        <v>0</v>
      </c>
      <c r="R9">
        <f>FPA!R11-R_output!R8</f>
        <v>0</v>
      </c>
      <c r="S9">
        <f>FPA!S11-R_output!S8</f>
        <v>0</v>
      </c>
      <c r="T9">
        <f>FPA!T11-R_output!T8</f>
        <v>0</v>
      </c>
      <c r="U9">
        <f>FPA!U11-R_output!U8</f>
        <v>0</v>
      </c>
      <c r="V9">
        <f>FPA!V11-R_output!V8</f>
        <v>0</v>
      </c>
      <c r="W9">
        <f>FPA!W11-R_output!W8</f>
        <v>0</v>
      </c>
      <c r="X9">
        <f>FPA!X11-R_output!X8</f>
        <v>0</v>
      </c>
      <c r="Y9">
        <f>FPA!Y11-R_output!Y8</f>
        <v>0</v>
      </c>
      <c r="Z9">
        <f>FPA!Z11-R_output!Z8</f>
        <v>0</v>
      </c>
      <c r="AA9">
        <f>FPA!AA11-R_output!AA8</f>
        <v>0</v>
      </c>
      <c r="AB9">
        <f>FPA!AB11-R_output!AB8</f>
        <v>0</v>
      </c>
      <c r="AC9">
        <f>FPA!AC11-R_output!AC8</f>
        <v>0</v>
      </c>
      <c r="AD9">
        <f>FPA!AD11-R_output!AD8</f>
        <v>0</v>
      </c>
      <c r="AE9">
        <f>FPA!AE11-R_output!AE8</f>
        <v>0</v>
      </c>
      <c r="AF9">
        <f>FPA!AF11-R_output!AF8</f>
        <v>0</v>
      </c>
      <c r="AG9">
        <f>FPA!AG11-R_output!AG8</f>
        <v>0</v>
      </c>
      <c r="AH9">
        <f>FPA!AH11-R_output!AH8</f>
        <v>0</v>
      </c>
      <c r="AI9">
        <f>FPA!AI11-R_output!AI8</f>
        <v>0</v>
      </c>
      <c r="AJ9">
        <f>FPA!AJ11-R_output!AJ8</f>
        <v>0</v>
      </c>
      <c r="AK9">
        <f>FPA!AK11-R_output!AK8</f>
        <v>0</v>
      </c>
      <c r="AL9">
        <f>FPA!AL11-R_output!AL8</f>
        <v>0</v>
      </c>
    </row>
    <row r="10" spans="1:38" x14ac:dyDescent="0.2">
      <c r="A10">
        <v>1</v>
      </c>
      <c r="B10">
        <f>FPA!B12-R_output!B9</f>
        <v>0</v>
      </c>
      <c r="C10">
        <f>FPA!C12-R_output!C9</f>
        <v>0</v>
      </c>
      <c r="D10">
        <f>FPA!D12-R_output!D9</f>
        <v>0</v>
      </c>
      <c r="E10">
        <f>FPA!E12-R_output!E9</f>
        <v>-1.8467000000000122E-2</v>
      </c>
      <c r="F10">
        <f>FPA!F12-R_output!F9</f>
        <v>0</v>
      </c>
      <c r="G10">
        <f>FPA!G12-R_output!G9</f>
        <v>0</v>
      </c>
      <c r="H10">
        <f>FPA!H12-R_output!H9</f>
        <v>0</v>
      </c>
      <c r="I10">
        <f>FPA!I12-R_output!I9</f>
        <v>0</v>
      </c>
      <c r="J10">
        <f>FPA!J12-R_output!J9</f>
        <v>0</v>
      </c>
      <c r="K10">
        <f>FPA!K12-R_output!K9</f>
        <v>0</v>
      </c>
      <c r="L10">
        <f>FPA!L12-R_output!L9</f>
        <v>0</v>
      </c>
      <c r="M10">
        <f>FPA!M12-R_output!M9</f>
        <v>0</v>
      </c>
      <c r="N10">
        <f>FPA!N12-R_output!N9</f>
        <v>0</v>
      </c>
      <c r="O10">
        <f>FPA!O12-R_output!O9</f>
        <v>0</v>
      </c>
      <c r="P10">
        <f>FPA!P12-R_output!P9</f>
        <v>0</v>
      </c>
      <c r="Q10">
        <f>FPA!Q12-R_output!Q9</f>
        <v>0</v>
      </c>
      <c r="R10">
        <f>FPA!R12-R_output!R9</f>
        <v>0</v>
      </c>
      <c r="S10">
        <f>FPA!S12-R_output!S9</f>
        <v>0</v>
      </c>
      <c r="T10">
        <f>FPA!T12-R_output!T9</f>
        <v>0</v>
      </c>
      <c r="U10">
        <f>FPA!U12-R_output!U9</f>
        <v>0</v>
      </c>
      <c r="V10">
        <f>FPA!V12-R_output!V9</f>
        <v>0</v>
      </c>
      <c r="W10">
        <f>FPA!W12-R_output!W9</f>
        <v>0</v>
      </c>
      <c r="X10">
        <f>FPA!X12-R_output!X9</f>
        <v>0</v>
      </c>
      <c r="Y10">
        <f>FPA!Y12-R_output!Y9</f>
        <v>0</v>
      </c>
      <c r="Z10">
        <f>FPA!Z12-R_output!Z9</f>
        <v>0</v>
      </c>
      <c r="AA10">
        <f>FPA!AA12-R_output!AA9</f>
        <v>0</v>
      </c>
      <c r="AB10">
        <f>FPA!AB12-R_output!AB9</f>
        <v>0</v>
      </c>
      <c r="AC10">
        <f>FPA!AC12-R_output!AC9</f>
        <v>0</v>
      </c>
      <c r="AD10">
        <f>FPA!AD12-R_output!AD9</f>
        <v>0</v>
      </c>
      <c r="AE10">
        <f>FPA!AE12-R_output!AE9</f>
        <v>0</v>
      </c>
      <c r="AF10">
        <f>FPA!AF12-R_output!AF9</f>
        <v>0</v>
      </c>
      <c r="AG10">
        <f>FPA!AG12-R_output!AG9</f>
        <v>0</v>
      </c>
      <c r="AH10">
        <f>FPA!AH12-R_output!AH9</f>
        <v>0</v>
      </c>
      <c r="AI10">
        <f>FPA!AI12-R_output!AI9</f>
        <v>0</v>
      </c>
      <c r="AJ10">
        <f>FPA!AJ12-R_output!AJ9</f>
        <v>0</v>
      </c>
      <c r="AK10">
        <f>FPA!AK12-R_output!AK9</f>
        <v>0</v>
      </c>
      <c r="AL10">
        <f>FPA!AL12-R_output!AL9</f>
        <v>0</v>
      </c>
    </row>
    <row r="11" spans="1:38" x14ac:dyDescent="0.2">
      <c r="A11">
        <v>2</v>
      </c>
      <c r="B11">
        <f>FPA!B13-R_output!B10</f>
        <v>0</v>
      </c>
      <c r="C11">
        <f>FPA!C13-R_output!C10</f>
        <v>0</v>
      </c>
      <c r="D11">
        <f>FPA!D13-R_output!D10</f>
        <v>0</v>
      </c>
      <c r="E11">
        <f>FPA!E13-R_output!E10</f>
        <v>-1.8467000000000011E-2</v>
      </c>
      <c r="F11">
        <f>FPA!F13-R_output!F10</f>
        <v>0</v>
      </c>
      <c r="G11">
        <f>FPA!G13-R_output!G10</f>
        <v>0</v>
      </c>
      <c r="H11">
        <f>FPA!H13-R_output!H10</f>
        <v>0</v>
      </c>
      <c r="I11">
        <f>FPA!I13-R_output!I10</f>
        <v>0</v>
      </c>
      <c r="J11">
        <f>FPA!J13-R_output!J10</f>
        <v>0</v>
      </c>
      <c r="K11">
        <f>FPA!K13-R_output!K10</f>
        <v>0</v>
      </c>
      <c r="L11">
        <f>FPA!L13-R_output!L10</f>
        <v>0</v>
      </c>
      <c r="M11">
        <f>FPA!M13-R_output!M10</f>
        <v>0</v>
      </c>
      <c r="N11">
        <f>FPA!N13-R_output!N10</f>
        <v>0</v>
      </c>
      <c r="O11">
        <f>FPA!O13-R_output!O10</f>
        <v>0</v>
      </c>
      <c r="P11">
        <f>FPA!P13-R_output!P10</f>
        <v>0</v>
      </c>
      <c r="Q11">
        <f>FPA!Q13-R_output!Q10</f>
        <v>0</v>
      </c>
      <c r="R11">
        <f>FPA!R13-R_output!R10</f>
        <v>0</v>
      </c>
      <c r="S11">
        <f>FPA!S13-R_output!S10</f>
        <v>0</v>
      </c>
      <c r="T11">
        <f>FPA!T13-R_output!T10</f>
        <v>0</v>
      </c>
      <c r="U11">
        <f>FPA!U13-R_output!U10</f>
        <v>0</v>
      </c>
      <c r="V11">
        <f>FPA!V13-R_output!V10</f>
        <v>0</v>
      </c>
      <c r="W11">
        <f>FPA!W13-R_output!W10</f>
        <v>0</v>
      </c>
      <c r="X11">
        <f>FPA!X13-R_output!X10</f>
        <v>0</v>
      </c>
      <c r="Y11">
        <f>FPA!Y13-R_output!Y10</f>
        <v>0</v>
      </c>
      <c r="Z11">
        <f>FPA!Z13-R_output!Z10</f>
        <v>0</v>
      </c>
      <c r="AA11">
        <f>FPA!AA13-R_output!AA10</f>
        <v>0</v>
      </c>
      <c r="AB11">
        <f>FPA!AB13-R_output!AB10</f>
        <v>0</v>
      </c>
      <c r="AC11">
        <f>FPA!AC13-R_output!AC10</f>
        <v>0</v>
      </c>
      <c r="AD11">
        <f>FPA!AD13-R_output!AD10</f>
        <v>0</v>
      </c>
      <c r="AE11">
        <f>FPA!AE13-R_output!AE10</f>
        <v>0</v>
      </c>
      <c r="AF11">
        <f>FPA!AF13-R_output!AF10</f>
        <v>0</v>
      </c>
      <c r="AG11">
        <f>FPA!AG13-R_output!AG10</f>
        <v>0</v>
      </c>
      <c r="AH11">
        <f>FPA!AH13-R_output!AH10</f>
        <v>0</v>
      </c>
      <c r="AI11">
        <f>FPA!AI13-R_output!AI10</f>
        <v>0</v>
      </c>
      <c r="AJ11">
        <f>FPA!AJ13-R_output!AJ10</f>
        <v>0</v>
      </c>
      <c r="AK11">
        <f>FPA!AK13-R_output!AK10</f>
        <v>0</v>
      </c>
      <c r="AL11">
        <f>FPA!AL13-R_output!AL10</f>
        <v>0</v>
      </c>
    </row>
    <row r="12" spans="1:38" x14ac:dyDescent="0.2">
      <c r="A12">
        <v>2</v>
      </c>
      <c r="B12">
        <f>FPA!B14-R_output!B11</f>
        <v>0</v>
      </c>
      <c r="C12">
        <f>FPA!C14-R_output!C11</f>
        <v>0</v>
      </c>
      <c r="D12">
        <f>FPA!D14-R_output!D11</f>
        <v>0</v>
      </c>
      <c r="E12">
        <f>FPA!E14-R_output!E11</f>
        <v>-1.8467000000000122E-2</v>
      </c>
      <c r="F12">
        <f>FPA!F14-R_output!F11</f>
        <v>0</v>
      </c>
      <c r="G12">
        <f>FPA!G14-R_output!G11</f>
        <v>0</v>
      </c>
      <c r="H12">
        <f>FPA!H14-R_output!H11</f>
        <v>0</v>
      </c>
      <c r="I12">
        <f>FPA!I14-R_output!I11</f>
        <v>0</v>
      </c>
      <c r="J12">
        <f>FPA!J14-R_output!J11</f>
        <v>0</v>
      </c>
      <c r="K12">
        <f>FPA!K14-R_output!K11</f>
        <v>0</v>
      </c>
      <c r="L12">
        <f>FPA!L14-R_output!L11</f>
        <v>0</v>
      </c>
      <c r="M12">
        <f>FPA!M14-R_output!M11</f>
        <v>0</v>
      </c>
      <c r="N12">
        <f>FPA!N14-R_output!N11</f>
        <v>0</v>
      </c>
      <c r="O12">
        <f>FPA!O14-R_output!O11</f>
        <v>0</v>
      </c>
      <c r="P12">
        <f>FPA!P14-R_output!P11</f>
        <v>0</v>
      </c>
      <c r="Q12">
        <f>FPA!Q14-R_output!Q11</f>
        <v>0</v>
      </c>
      <c r="R12">
        <f>FPA!R14-R_output!R11</f>
        <v>0</v>
      </c>
      <c r="S12">
        <f>FPA!S14-R_output!S11</f>
        <v>0</v>
      </c>
      <c r="T12">
        <f>FPA!T14-R_output!T11</f>
        <v>0</v>
      </c>
      <c r="U12">
        <f>FPA!U14-R_output!U11</f>
        <v>0</v>
      </c>
      <c r="V12">
        <f>FPA!V14-R_output!V11</f>
        <v>0</v>
      </c>
      <c r="W12">
        <f>FPA!W14-R_output!W11</f>
        <v>0</v>
      </c>
      <c r="X12">
        <f>FPA!X14-R_output!X11</f>
        <v>0</v>
      </c>
      <c r="Y12">
        <f>FPA!Y14-R_output!Y11</f>
        <v>0</v>
      </c>
      <c r="Z12">
        <f>FPA!Z14-R_output!Z11</f>
        <v>0</v>
      </c>
      <c r="AA12">
        <f>FPA!AA14-R_output!AA11</f>
        <v>0</v>
      </c>
      <c r="AB12">
        <f>FPA!AB14-R_output!AB11</f>
        <v>0</v>
      </c>
      <c r="AC12">
        <f>FPA!AC14-R_output!AC11</f>
        <v>0</v>
      </c>
      <c r="AD12">
        <f>FPA!AD14-R_output!AD11</f>
        <v>0</v>
      </c>
      <c r="AE12">
        <f>FPA!AE14-R_output!AE11</f>
        <v>0</v>
      </c>
      <c r="AF12">
        <f>FPA!AF14-R_output!AF11</f>
        <v>0</v>
      </c>
      <c r="AG12">
        <f>FPA!AG14-R_output!AG11</f>
        <v>0</v>
      </c>
      <c r="AH12">
        <f>FPA!AH14-R_output!AH11</f>
        <v>0</v>
      </c>
      <c r="AI12">
        <f>FPA!AI14-R_output!AI11</f>
        <v>0</v>
      </c>
      <c r="AJ12">
        <f>FPA!AJ14-R_output!AJ11</f>
        <v>0</v>
      </c>
      <c r="AK12">
        <f>FPA!AK14-R_output!AK11</f>
        <v>0</v>
      </c>
      <c r="AL12">
        <f>FPA!AL14-R_output!AL11</f>
        <v>0</v>
      </c>
    </row>
    <row r="13" spans="1:38" x14ac:dyDescent="0.2">
      <c r="A13">
        <v>2</v>
      </c>
      <c r="B13">
        <f>FPA!B15-R_output!B12</f>
        <v>0</v>
      </c>
      <c r="C13">
        <f>FPA!C15-R_output!C12</f>
        <v>0</v>
      </c>
      <c r="D13">
        <f>FPA!D15-R_output!D12</f>
        <v>0</v>
      </c>
      <c r="E13">
        <f>FPA!E15-R_output!E12</f>
        <v>-1.8467000000000011E-2</v>
      </c>
      <c r="F13">
        <f>FPA!F15-R_output!F12</f>
        <v>0</v>
      </c>
      <c r="G13">
        <f>FPA!G15-R_output!G12</f>
        <v>0</v>
      </c>
      <c r="H13">
        <f>FPA!H15-R_output!H12</f>
        <v>0</v>
      </c>
      <c r="I13">
        <f>FPA!I15-R_output!I12</f>
        <v>0</v>
      </c>
      <c r="J13">
        <f>FPA!J15-R_output!J12</f>
        <v>0</v>
      </c>
      <c r="K13">
        <f>FPA!K15-R_output!K12</f>
        <v>0</v>
      </c>
      <c r="L13">
        <f>FPA!L15-R_output!L12</f>
        <v>0</v>
      </c>
      <c r="M13">
        <f>FPA!M15-R_output!M12</f>
        <v>0</v>
      </c>
      <c r="N13">
        <f>FPA!N15-R_output!N12</f>
        <v>0</v>
      </c>
      <c r="O13">
        <f>FPA!O15-R_output!O12</f>
        <v>0</v>
      </c>
      <c r="P13">
        <f>FPA!P15-R_output!P12</f>
        <v>0</v>
      </c>
      <c r="Q13">
        <f>FPA!Q15-R_output!Q12</f>
        <v>0</v>
      </c>
      <c r="R13">
        <f>FPA!R15-R_output!R12</f>
        <v>0</v>
      </c>
      <c r="S13">
        <f>FPA!S15-R_output!S12</f>
        <v>0</v>
      </c>
      <c r="T13">
        <f>FPA!T15-R_output!T12</f>
        <v>0</v>
      </c>
      <c r="U13">
        <f>FPA!U15-R_output!U12</f>
        <v>0</v>
      </c>
      <c r="V13">
        <f>FPA!V15-R_output!V12</f>
        <v>0</v>
      </c>
      <c r="W13">
        <f>FPA!W15-R_output!W12</f>
        <v>0</v>
      </c>
      <c r="X13">
        <f>FPA!X15-R_output!X12</f>
        <v>0</v>
      </c>
      <c r="Y13">
        <f>FPA!Y15-R_output!Y12</f>
        <v>0</v>
      </c>
      <c r="Z13">
        <f>FPA!Z15-R_output!Z12</f>
        <v>0</v>
      </c>
      <c r="AA13">
        <f>FPA!AA15-R_output!AA12</f>
        <v>0</v>
      </c>
      <c r="AB13">
        <f>FPA!AB15-R_output!AB12</f>
        <v>0</v>
      </c>
      <c r="AC13">
        <f>FPA!AC15-R_output!AC12</f>
        <v>0</v>
      </c>
      <c r="AD13">
        <f>FPA!AD15-R_output!AD12</f>
        <v>0</v>
      </c>
      <c r="AE13">
        <f>FPA!AE15-R_output!AE12</f>
        <v>0</v>
      </c>
      <c r="AF13">
        <f>FPA!AF15-R_output!AF12</f>
        <v>0</v>
      </c>
      <c r="AG13">
        <f>FPA!AG15-R_output!AG12</f>
        <v>0</v>
      </c>
      <c r="AH13">
        <f>FPA!AH15-R_output!AH12</f>
        <v>0</v>
      </c>
      <c r="AI13">
        <f>FPA!AI15-R_output!AI12</f>
        <v>0</v>
      </c>
      <c r="AJ13">
        <f>FPA!AJ15-R_output!AJ12</f>
        <v>0</v>
      </c>
      <c r="AK13">
        <f>FPA!AK15-R_output!AK12</f>
        <v>0</v>
      </c>
      <c r="AL13">
        <f>FPA!AL15-R_output!AL12</f>
        <v>0</v>
      </c>
    </row>
    <row r="14" spans="1:38" x14ac:dyDescent="0.2">
      <c r="A14">
        <v>2</v>
      </c>
      <c r="B14">
        <f>FPA!B16-R_output!B13</f>
        <v>0</v>
      </c>
      <c r="C14">
        <f>FPA!C16-R_output!C13</f>
        <v>0</v>
      </c>
      <c r="D14">
        <f>FPA!D16-R_output!D13</f>
        <v>0</v>
      </c>
      <c r="E14">
        <f>FPA!E16-R_output!E13</f>
        <v>-1.84669999999999E-2</v>
      </c>
      <c r="F14">
        <f>FPA!F16-R_output!F13</f>
        <v>0</v>
      </c>
      <c r="G14">
        <f>FPA!G16-R_output!G13</f>
        <v>0</v>
      </c>
      <c r="H14">
        <f>FPA!H16-R_output!H13</f>
        <v>0</v>
      </c>
      <c r="I14">
        <f>FPA!I16-R_output!I13</f>
        <v>0</v>
      </c>
      <c r="J14">
        <f>FPA!J16-R_output!J13</f>
        <v>0</v>
      </c>
      <c r="K14">
        <f>FPA!K16-R_output!K13</f>
        <v>0</v>
      </c>
      <c r="L14">
        <f>FPA!L16-R_output!L13</f>
        <v>0</v>
      </c>
      <c r="M14">
        <f>FPA!M16-R_output!M13</f>
        <v>0</v>
      </c>
      <c r="N14">
        <f>FPA!N16-R_output!N13</f>
        <v>0</v>
      </c>
      <c r="O14">
        <f>FPA!O16-R_output!O13</f>
        <v>0</v>
      </c>
      <c r="P14">
        <f>FPA!P16-R_output!P13</f>
        <v>0</v>
      </c>
      <c r="Q14">
        <f>FPA!Q16-R_output!Q13</f>
        <v>0</v>
      </c>
      <c r="R14">
        <f>FPA!R16-R_output!R13</f>
        <v>0</v>
      </c>
      <c r="S14">
        <f>FPA!S16-R_output!S13</f>
        <v>0</v>
      </c>
      <c r="T14">
        <f>FPA!T16-R_output!T13</f>
        <v>0</v>
      </c>
      <c r="U14">
        <f>FPA!U16-R_output!U13</f>
        <v>0</v>
      </c>
      <c r="V14">
        <f>FPA!V16-R_output!V13</f>
        <v>0</v>
      </c>
      <c r="W14">
        <f>FPA!W16-R_output!W13</f>
        <v>0</v>
      </c>
      <c r="X14">
        <f>FPA!X16-R_output!X13</f>
        <v>0</v>
      </c>
      <c r="Y14">
        <f>FPA!Y16-R_output!Y13</f>
        <v>0</v>
      </c>
      <c r="Z14">
        <f>FPA!Z16-R_output!Z13</f>
        <v>0</v>
      </c>
      <c r="AA14">
        <f>FPA!AA16-R_output!AA13</f>
        <v>0</v>
      </c>
      <c r="AB14">
        <f>FPA!AB16-R_output!AB13</f>
        <v>0</v>
      </c>
      <c r="AC14">
        <f>FPA!AC16-R_output!AC13</f>
        <v>0</v>
      </c>
      <c r="AD14">
        <f>FPA!AD16-R_output!AD13</f>
        <v>0</v>
      </c>
      <c r="AE14">
        <f>FPA!AE16-R_output!AE13</f>
        <v>0</v>
      </c>
      <c r="AF14">
        <f>FPA!AF16-R_output!AF13</f>
        <v>0</v>
      </c>
      <c r="AG14">
        <f>FPA!AG16-R_output!AG13</f>
        <v>0</v>
      </c>
      <c r="AH14">
        <f>FPA!AH16-R_output!AH13</f>
        <v>0</v>
      </c>
      <c r="AI14">
        <f>FPA!AI16-R_output!AI13</f>
        <v>0</v>
      </c>
      <c r="AJ14">
        <f>FPA!AJ16-R_output!AJ13</f>
        <v>0</v>
      </c>
      <c r="AK14">
        <f>FPA!AK16-R_output!AK13</f>
        <v>0</v>
      </c>
      <c r="AL14">
        <f>FPA!AL16-R_output!AL13</f>
        <v>0</v>
      </c>
    </row>
    <row r="15" spans="1:38" x14ac:dyDescent="0.2">
      <c r="A15">
        <v>3</v>
      </c>
      <c r="B15">
        <f>FPA!B17-R_output!B14</f>
        <v>0</v>
      </c>
      <c r="C15">
        <f>FPA!C17-R_output!C14</f>
        <v>0</v>
      </c>
      <c r="D15">
        <f>FPA!D17-R_output!D14</f>
        <v>0</v>
      </c>
      <c r="E15">
        <f>FPA!E17-R_output!E14</f>
        <v>-1.8467000000000011E-2</v>
      </c>
      <c r="F15">
        <f>FPA!F17-R_output!F14</f>
        <v>0</v>
      </c>
      <c r="G15">
        <f>FPA!G17-R_output!G14</f>
        <v>0</v>
      </c>
      <c r="H15">
        <f>FPA!H17-R_output!H14</f>
        <v>0</v>
      </c>
      <c r="I15">
        <f>FPA!I17-R_output!I14</f>
        <v>0</v>
      </c>
      <c r="J15">
        <f>FPA!J17-R_output!J14</f>
        <v>0</v>
      </c>
      <c r="K15">
        <f>FPA!K17-R_output!K14</f>
        <v>0</v>
      </c>
      <c r="L15">
        <f>FPA!L17-R_output!L14</f>
        <v>0</v>
      </c>
      <c r="M15">
        <f>FPA!M17-R_output!M14</f>
        <v>0</v>
      </c>
      <c r="N15">
        <f>FPA!N17-R_output!N14</f>
        <v>0</v>
      </c>
      <c r="O15">
        <f>FPA!O17-R_output!O14</f>
        <v>0</v>
      </c>
      <c r="P15">
        <f>FPA!P17-R_output!P14</f>
        <v>0</v>
      </c>
      <c r="Q15">
        <f>FPA!Q17-R_output!Q14</f>
        <v>0</v>
      </c>
      <c r="R15">
        <f>FPA!R17-R_output!R14</f>
        <v>0</v>
      </c>
      <c r="S15">
        <f>FPA!S17-R_output!S14</f>
        <v>0</v>
      </c>
      <c r="T15">
        <f>FPA!T17-R_output!T14</f>
        <v>0</v>
      </c>
      <c r="U15">
        <f>FPA!U17-R_output!U14</f>
        <v>0</v>
      </c>
      <c r="V15">
        <f>FPA!V17-R_output!V14</f>
        <v>0</v>
      </c>
      <c r="W15">
        <f>FPA!W17-R_output!W14</f>
        <v>0</v>
      </c>
      <c r="X15">
        <f>FPA!X17-R_output!X14</f>
        <v>0</v>
      </c>
      <c r="Y15">
        <f>FPA!Y17-R_output!Y14</f>
        <v>0</v>
      </c>
      <c r="Z15">
        <f>FPA!Z17-R_output!Z14</f>
        <v>0</v>
      </c>
      <c r="AA15">
        <f>FPA!AA17-R_output!AA14</f>
        <v>0</v>
      </c>
      <c r="AB15">
        <f>FPA!AB17-R_output!AB14</f>
        <v>0</v>
      </c>
      <c r="AC15">
        <f>FPA!AC17-R_output!AC14</f>
        <v>0</v>
      </c>
      <c r="AD15">
        <f>FPA!AD17-R_output!AD14</f>
        <v>0</v>
      </c>
      <c r="AE15">
        <f>FPA!AE17-R_output!AE14</f>
        <v>0</v>
      </c>
      <c r="AF15">
        <f>FPA!AF17-R_output!AF14</f>
        <v>0</v>
      </c>
      <c r="AG15">
        <f>FPA!AG17-R_output!AG14</f>
        <v>0</v>
      </c>
      <c r="AH15">
        <f>FPA!AH17-R_output!AH14</f>
        <v>0</v>
      </c>
      <c r="AI15">
        <f>FPA!AI17-R_output!AI14</f>
        <v>0</v>
      </c>
      <c r="AJ15">
        <f>FPA!AJ17-R_output!AJ14</f>
        <v>0</v>
      </c>
      <c r="AK15">
        <f>FPA!AK17-R_output!AK14</f>
        <v>0</v>
      </c>
      <c r="AL15">
        <f>FPA!AL17-R_output!AL14</f>
        <v>0</v>
      </c>
    </row>
    <row r="16" spans="1:38" x14ac:dyDescent="0.2">
      <c r="A16">
        <v>3</v>
      </c>
      <c r="B16">
        <f>FPA!B18-R_output!B15</f>
        <v>0</v>
      </c>
      <c r="C16">
        <f>FPA!C18-R_output!C15</f>
        <v>0</v>
      </c>
      <c r="D16">
        <f>FPA!D18-R_output!D15</f>
        <v>0</v>
      </c>
      <c r="E16">
        <f>FPA!E18-R_output!E15</f>
        <v>-1</v>
      </c>
      <c r="F16">
        <f>FPA!F18-R_output!F15</f>
        <v>0</v>
      </c>
      <c r="G16">
        <f>FPA!G18-R_output!G15</f>
        <v>0</v>
      </c>
      <c r="H16">
        <f>FPA!H18-R_output!H15</f>
        <v>0</v>
      </c>
      <c r="I16">
        <f>FPA!I18-R_output!I15</f>
        <v>0</v>
      </c>
      <c r="J16">
        <f>FPA!J18-R_output!J15</f>
        <v>0</v>
      </c>
      <c r="K16">
        <f>FPA!K18-R_output!K15</f>
        <v>0</v>
      </c>
      <c r="L16">
        <f>FPA!L18-R_output!L15</f>
        <v>0</v>
      </c>
      <c r="M16">
        <f>FPA!M18-R_output!M15</f>
        <v>0</v>
      </c>
      <c r="N16">
        <f>FPA!N18-R_output!N15</f>
        <v>0</v>
      </c>
      <c r="O16">
        <f>FPA!O18-R_output!O15</f>
        <v>0</v>
      </c>
      <c r="P16">
        <f>FPA!P18-R_output!P15</f>
        <v>0</v>
      </c>
      <c r="Q16">
        <f>FPA!Q18-R_output!Q15</f>
        <v>0</v>
      </c>
      <c r="R16">
        <f>FPA!R18-R_output!R15</f>
        <v>0</v>
      </c>
      <c r="S16">
        <f>FPA!S18-R_output!S15</f>
        <v>0</v>
      </c>
      <c r="T16">
        <f>FPA!T18-R_output!T15</f>
        <v>0</v>
      </c>
      <c r="U16">
        <f>FPA!U18-R_output!U15</f>
        <v>0</v>
      </c>
      <c r="V16">
        <f>FPA!V18-R_output!V15</f>
        <v>0</v>
      </c>
      <c r="W16">
        <f>FPA!W18-R_output!W15</f>
        <v>0</v>
      </c>
      <c r="X16">
        <f>FPA!X18-R_output!X15</f>
        <v>0</v>
      </c>
      <c r="Y16">
        <f>FPA!Y18-R_output!Y15</f>
        <v>0</v>
      </c>
      <c r="Z16">
        <f>FPA!Z18-R_output!Z15</f>
        <v>0</v>
      </c>
      <c r="AA16">
        <f>FPA!AA18-R_output!AA15</f>
        <v>0</v>
      </c>
      <c r="AB16">
        <f>FPA!AB18-R_output!AB15</f>
        <v>0</v>
      </c>
      <c r="AC16">
        <f>FPA!AC18-R_output!AC15</f>
        <v>0</v>
      </c>
      <c r="AD16">
        <f>FPA!AD18-R_output!AD15</f>
        <v>0</v>
      </c>
      <c r="AE16">
        <f>FPA!AE18-R_output!AE15</f>
        <v>0</v>
      </c>
      <c r="AF16">
        <f>FPA!AF18-R_output!AF15</f>
        <v>0</v>
      </c>
      <c r="AG16">
        <f>FPA!AG18-R_output!AG15</f>
        <v>0</v>
      </c>
      <c r="AH16">
        <f>FPA!AH18-R_output!AH15</f>
        <v>0</v>
      </c>
      <c r="AI16">
        <f>FPA!AI18-R_output!AI15</f>
        <v>0</v>
      </c>
      <c r="AJ16">
        <f>FPA!AJ18-R_output!AJ15</f>
        <v>0</v>
      </c>
      <c r="AK16">
        <f>FPA!AK18-R_output!AK15</f>
        <v>0</v>
      </c>
      <c r="AL16">
        <f>FPA!AL18-R_output!AL15</f>
        <v>0</v>
      </c>
    </row>
    <row r="17" spans="1:38" x14ac:dyDescent="0.2">
      <c r="A17">
        <v>3</v>
      </c>
      <c r="B17">
        <f>FPA!B19-R_output!B16</f>
        <v>0</v>
      </c>
      <c r="C17">
        <f>FPA!C19-R_output!C16</f>
        <v>0</v>
      </c>
      <c r="D17">
        <f>FPA!D19-R_output!D16</f>
        <v>0</v>
      </c>
      <c r="E17">
        <f>FPA!E19-R_output!E16</f>
        <v>-1.8467000000000011E-2</v>
      </c>
      <c r="F17">
        <f>FPA!F19-R_output!F16</f>
        <v>0</v>
      </c>
      <c r="G17">
        <f>FPA!G19-R_output!G16</f>
        <v>0</v>
      </c>
      <c r="H17">
        <f>FPA!H19-R_output!H16</f>
        <v>0</v>
      </c>
      <c r="I17">
        <f>FPA!I19-R_output!I16</f>
        <v>0</v>
      </c>
      <c r="J17">
        <f>FPA!J19-R_output!J16</f>
        <v>0</v>
      </c>
      <c r="K17">
        <f>FPA!K19-R_output!K16</f>
        <v>0</v>
      </c>
      <c r="L17">
        <f>FPA!L19-R_output!L16</f>
        <v>0</v>
      </c>
      <c r="M17">
        <f>FPA!M19-R_output!M16</f>
        <v>0</v>
      </c>
      <c r="N17">
        <f>FPA!N19-R_output!N16</f>
        <v>0</v>
      </c>
      <c r="O17">
        <f>FPA!O19-R_output!O16</f>
        <v>0</v>
      </c>
      <c r="P17">
        <f>FPA!P19-R_output!P16</f>
        <v>0</v>
      </c>
      <c r="Q17">
        <f>FPA!Q19-R_output!Q16</f>
        <v>0</v>
      </c>
      <c r="R17">
        <f>FPA!R19-R_output!R16</f>
        <v>0</v>
      </c>
      <c r="S17">
        <f>FPA!S19-R_output!S16</f>
        <v>0</v>
      </c>
      <c r="T17">
        <f>FPA!T19-R_output!T16</f>
        <v>0</v>
      </c>
      <c r="U17">
        <f>FPA!U19-R_output!U16</f>
        <v>0</v>
      </c>
      <c r="V17">
        <f>FPA!V19-R_output!V16</f>
        <v>0</v>
      </c>
      <c r="W17">
        <f>FPA!W19-R_output!W16</f>
        <v>0</v>
      </c>
      <c r="X17">
        <f>FPA!X19-R_output!X16</f>
        <v>0</v>
      </c>
      <c r="Y17">
        <f>FPA!Y19-R_output!Y16</f>
        <v>0</v>
      </c>
      <c r="Z17">
        <f>FPA!Z19-R_output!Z16</f>
        <v>0</v>
      </c>
      <c r="AA17">
        <f>FPA!AA19-R_output!AA16</f>
        <v>0</v>
      </c>
      <c r="AB17">
        <f>FPA!AB19-R_output!AB16</f>
        <v>0</v>
      </c>
      <c r="AC17">
        <f>FPA!AC19-R_output!AC16</f>
        <v>0</v>
      </c>
      <c r="AD17">
        <f>FPA!AD19-R_output!AD16</f>
        <v>0</v>
      </c>
      <c r="AE17">
        <f>FPA!AE19-R_output!AE16</f>
        <v>0</v>
      </c>
      <c r="AF17">
        <f>FPA!AF19-R_output!AF16</f>
        <v>0</v>
      </c>
      <c r="AG17">
        <f>FPA!AG19-R_output!AG16</f>
        <v>0</v>
      </c>
      <c r="AH17">
        <f>FPA!AH19-R_output!AH16</f>
        <v>0</v>
      </c>
      <c r="AI17">
        <f>FPA!AI19-R_output!AI16</f>
        <v>0</v>
      </c>
      <c r="AJ17">
        <f>FPA!AJ19-R_output!AJ16</f>
        <v>0</v>
      </c>
      <c r="AK17">
        <f>FPA!AK19-R_output!AK16</f>
        <v>0</v>
      </c>
      <c r="AL17">
        <f>FPA!AL19-R_output!AL16</f>
        <v>0</v>
      </c>
    </row>
    <row r="18" spans="1:38" x14ac:dyDescent="0.2">
      <c r="A18">
        <v>3</v>
      </c>
      <c r="B18">
        <f>FPA!B20-R_output!B17</f>
        <v>0</v>
      </c>
      <c r="C18">
        <f>FPA!C20-R_output!C17</f>
        <v>0</v>
      </c>
      <c r="D18">
        <f>FPA!D20-R_output!D17</f>
        <v>0</v>
      </c>
      <c r="E18">
        <f>FPA!E20-R_output!E17</f>
        <v>-1.8467000000000011E-2</v>
      </c>
      <c r="F18">
        <f>FPA!F20-R_output!F17</f>
        <v>0</v>
      </c>
      <c r="G18">
        <f>FPA!G20-R_output!G17</f>
        <v>0</v>
      </c>
      <c r="H18">
        <f>FPA!H20-R_output!H17</f>
        <v>0</v>
      </c>
      <c r="I18">
        <f>FPA!I20-R_output!I17</f>
        <v>0</v>
      </c>
      <c r="J18">
        <f>FPA!J20-R_output!J17</f>
        <v>0</v>
      </c>
      <c r="K18">
        <f>FPA!K20-R_output!K17</f>
        <v>0</v>
      </c>
      <c r="L18">
        <f>FPA!L20-R_output!L17</f>
        <v>0</v>
      </c>
      <c r="M18">
        <f>FPA!M20-R_output!M17</f>
        <v>0</v>
      </c>
      <c r="N18">
        <f>FPA!N20-R_output!N17</f>
        <v>0</v>
      </c>
      <c r="O18">
        <f>FPA!O20-R_output!O17</f>
        <v>0</v>
      </c>
      <c r="P18">
        <f>FPA!P20-R_output!P17</f>
        <v>0</v>
      </c>
      <c r="Q18">
        <f>FPA!Q20-R_output!Q17</f>
        <v>0</v>
      </c>
      <c r="R18">
        <f>FPA!R20-R_output!R17</f>
        <v>0</v>
      </c>
      <c r="S18">
        <f>FPA!S20-R_output!S17</f>
        <v>0</v>
      </c>
      <c r="T18">
        <f>FPA!T20-R_output!T17</f>
        <v>0</v>
      </c>
      <c r="U18">
        <f>FPA!U20-R_output!U17</f>
        <v>0</v>
      </c>
      <c r="V18">
        <f>FPA!V20-R_output!V17</f>
        <v>0</v>
      </c>
      <c r="W18">
        <f>FPA!W20-R_output!W17</f>
        <v>0</v>
      </c>
      <c r="X18">
        <f>FPA!X20-R_output!X17</f>
        <v>0</v>
      </c>
      <c r="Y18">
        <f>FPA!Y20-R_output!Y17</f>
        <v>0</v>
      </c>
      <c r="Z18">
        <f>FPA!Z20-R_output!Z17</f>
        <v>0</v>
      </c>
      <c r="AA18">
        <f>FPA!AA20-R_output!AA17</f>
        <v>0</v>
      </c>
      <c r="AB18">
        <f>FPA!AB20-R_output!AB17</f>
        <v>0</v>
      </c>
      <c r="AC18">
        <f>FPA!AC20-R_output!AC17</f>
        <v>0</v>
      </c>
      <c r="AD18">
        <f>FPA!AD20-R_output!AD17</f>
        <v>0</v>
      </c>
      <c r="AE18">
        <f>FPA!AE20-R_output!AE17</f>
        <v>0</v>
      </c>
      <c r="AF18">
        <f>FPA!AF20-R_output!AF17</f>
        <v>0</v>
      </c>
      <c r="AG18">
        <f>FPA!AG20-R_output!AG17</f>
        <v>0</v>
      </c>
      <c r="AH18">
        <f>FPA!AH20-R_output!AH17</f>
        <v>0</v>
      </c>
      <c r="AI18">
        <f>FPA!AI20-R_output!AI17</f>
        <v>0</v>
      </c>
      <c r="AJ18">
        <f>FPA!AJ20-R_output!AJ17</f>
        <v>0</v>
      </c>
      <c r="AK18">
        <f>FPA!AK20-R_output!AK17</f>
        <v>0</v>
      </c>
      <c r="AL18">
        <f>FPA!AL20-R_output!AL17</f>
        <v>0</v>
      </c>
    </row>
    <row r="19" spans="1:38" x14ac:dyDescent="0.2">
      <c r="A19">
        <v>4</v>
      </c>
      <c r="B19">
        <f>FPA!B21-R_output!B18</f>
        <v>0</v>
      </c>
      <c r="C19">
        <f>FPA!C21-R_output!C18</f>
        <v>0</v>
      </c>
      <c r="D19">
        <f>FPA!D21-R_output!D18</f>
        <v>0</v>
      </c>
      <c r="E19">
        <f>FPA!E21-R_output!E18</f>
        <v>-1.8467000000000011E-2</v>
      </c>
      <c r="F19">
        <f>FPA!F21-R_output!F18</f>
        <v>0</v>
      </c>
      <c r="G19">
        <f>FPA!G21-R_output!G18</f>
        <v>0</v>
      </c>
      <c r="H19">
        <f>FPA!H21-R_output!H18</f>
        <v>0</v>
      </c>
      <c r="I19">
        <f>FPA!I21-R_output!I18</f>
        <v>0</v>
      </c>
      <c r="J19">
        <f>FPA!J21-R_output!J18</f>
        <v>0</v>
      </c>
      <c r="K19">
        <f>FPA!K21-R_output!K18</f>
        <v>0</v>
      </c>
      <c r="L19">
        <f>FPA!L21-R_output!L18</f>
        <v>0</v>
      </c>
      <c r="M19">
        <f>FPA!M21-R_output!M18</f>
        <v>0</v>
      </c>
      <c r="N19">
        <f>FPA!N21-R_output!N18</f>
        <v>0</v>
      </c>
      <c r="O19">
        <f>FPA!O21-R_output!O18</f>
        <v>0</v>
      </c>
      <c r="P19">
        <f>FPA!P21-R_output!P18</f>
        <v>0</v>
      </c>
      <c r="Q19">
        <f>FPA!Q21-R_output!Q18</f>
        <v>0</v>
      </c>
      <c r="R19">
        <f>FPA!R21-R_output!R18</f>
        <v>0</v>
      </c>
      <c r="S19">
        <f>FPA!S21-R_output!S18</f>
        <v>0</v>
      </c>
      <c r="T19">
        <f>FPA!T21-R_output!T18</f>
        <v>0</v>
      </c>
      <c r="U19">
        <f>FPA!U21-R_output!U18</f>
        <v>0</v>
      </c>
      <c r="V19">
        <f>FPA!V21-R_output!V18</f>
        <v>0</v>
      </c>
      <c r="W19">
        <f>FPA!W21-R_output!W18</f>
        <v>0</v>
      </c>
      <c r="X19">
        <f>FPA!X21-R_output!X18</f>
        <v>0</v>
      </c>
      <c r="Y19">
        <f>FPA!Y21-R_output!Y18</f>
        <v>0</v>
      </c>
      <c r="Z19">
        <f>FPA!Z21-R_output!Z18</f>
        <v>0</v>
      </c>
      <c r="AA19">
        <f>FPA!AA21-R_output!AA18</f>
        <v>0</v>
      </c>
      <c r="AB19">
        <f>FPA!AB21-R_output!AB18</f>
        <v>0</v>
      </c>
      <c r="AC19">
        <f>FPA!AC21-R_output!AC18</f>
        <v>0</v>
      </c>
      <c r="AD19">
        <f>FPA!AD21-R_output!AD18</f>
        <v>0</v>
      </c>
      <c r="AE19">
        <f>FPA!AE21-R_output!AE18</f>
        <v>0</v>
      </c>
      <c r="AF19">
        <f>FPA!AF21-R_output!AF18</f>
        <v>0</v>
      </c>
      <c r="AG19">
        <f>FPA!AG21-R_output!AG18</f>
        <v>0</v>
      </c>
      <c r="AH19">
        <f>FPA!AH21-R_output!AH18</f>
        <v>0</v>
      </c>
      <c r="AI19">
        <f>FPA!AI21-R_output!AI18</f>
        <v>0</v>
      </c>
      <c r="AJ19">
        <f>FPA!AJ21-R_output!AJ18</f>
        <v>0</v>
      </c>
      <c r="AK19">
        <f>FPA!AK21-R_output!AK18</f>
        <v>0</v>
      </c>
      <c r="AL19">
        <f>FPA!AL21-R_output!AL18</f>
        <v>0</v>
      </c>
    </row>
    <row r="20" spans="1:38" x14ac:dyDescent="0.2">
      <c r="A20">
        <v>4</v>
      </c>
      <c r="B20">
        <f>FPA!B22-R_output!B19</f>
        <v>0</v>
      </c>
      <c r="C20">
        <f>FPA!C22-R_output!C19</f>
        <v>0</v>
      </c>
      <c r="D20">
        <f>FPA!D22-R_output!D19</f>
        <v>0</v>
      </c>
      <c r="E20">
        <f>FPA!E22-R_output!E19</f>
        <v>-1.8467000000000011E-2</v>
      </c>
      <c r="F20">
        <f>FPA!F22-R_output!F19</f>
        <v>0</v>
      </c>
      <c r="G20">
        <f>FPA!G22-R_output!G19</f>
        <v>0</v>
      </c>
      <c r="H20">
        <f>FPA!H22-R_output!H19</f>
        <v>0</v>
      </c>
      <c r="I20">
        <f>FPA!I22-R_output!I19</f>
        <v>0</v>
      </c>
      <c r="J20">
        <f>FPA!J22-R_output!J19</f>
        <v>0</v>
      </c>
      <c r="K20">
        <f>FPA!K22-R_output!K19</f>
        <v>0</v>
      </c>
      <c r="L20">
        <f>FPA!L22-R_output!L19</f>
        <v>0</v>
      </c>
      <c r="M20">
        <f>FPA!M22-R_output!M19</f>
        <v>0</v>
      </c>
      <c r="N20">
        <f>FPA!N22-R_output!N19</f>
        <v>0</v>
      </c>
      <c r="O20">
        <f>FPA!O22-R_output!O19</f>
        <v>0</v>
      </c>
      <c r="P20">
        <f>FPA!P22-R_output!P19</f>
        <v>0</v>
      </c>
      <c r="Q20">
        <f>FPA!Q22-R_output!Q19</f>
        <v>0</v>
      </c>
      <c r="R20">
        <f>FPA!R22-R_output!R19</f>
        <v>0</v>
      </c>
      <c r="S20">
        <f>FPA!S22-R_output!S19</f>
        <v>0</v>
      </c>
      <c r="T20">
        <f>FPA!T22-R_output!T19</f>
        <v>0</v>
      </c>
      <c r="U20">
        <f>FPA!U22-R_output!U19</f>
        <v>0</v>
      </c>
      <c r="V20">
        <f>FPA!V22-R_output!V19</f>
        <v>0</v>
      </c>
      <c r="W20">
        <f>FPA!W22-R_output!W19</f>
        <v>0</v>
      </c>
      <c r="X20">
        <f>FPA!X22-R_output!X19</f>
        <v>0</v>
      </c>
      <c r="Y20">
        <f>FPA!Y22-R_output!Y19</f>
        <v>0</v>
      </c>
      <c r="Z20">
        <f>FPA!Z22-R_output!Z19</f>
        <v>0</v>
      </c>
      <c r="AA20">
        <f>FPA!AA22-R_output!AA19</f>
        <v>0</v>
      </c>
      <c r="AB20">
        <f>FPA!AB22-R_output!AB19</f>
        <v>0</v>
      </c>
      <c r="AC20">
        <f>FPA!AC22-R_output!AC19</f>
        <v>0</v>
      </c>
      <c r="AD20">
        <f>FPA!AD22-R_output!AD19</f>
        <v>0</v>
      </c>
      <c r="AE20">
        <f>FPA!AE22-R_output!AE19</f>
        <v>0</v>
      </c>
      <c r="AF20">
        <f>FPA!AF22-R_output!AF19</f>
        <v>0</v>
      </c>
      <c r="AG20">
        <f>FPA!AG22-R_output!AG19</f>
        <v>0</v>
      </c>
      <c r="AH20">
        <f>FPA!AH22-R_output!AH19</f>
        <v>0</v>
      </c>
      <c r="AI20">
        <f>FPA!AI22-R_output!AI19</f>
        <v>0</v>
      </c>
      <c r="AJ20">
        <f>FPA!AJ22-R_output!AJ19</f>
        <v>0</v>
      </c>
      <c r="AK20">
        <f>FPA!AK22-R_output!AK19</f>
        <v>0</v>
      </c>
      <c r="AL20">
        <f>FPA!AL22-R_output!AL19</f>
        <v>0</v>
      </c>
    </row>
    <row r="21" spans="1:38" x14ac:dyDescent="0.2">
      <c r="A21">
        <v>4</v>
      </c>
      <c r="B21">
        <f>FPA!B23-R_output!B20</f>
        <v>0</v>
      </c>
      <c r="C21">
        <f>FPA!C23-R_output!C20</f>
        <v>0</v>
      </c>
      <c r="D21">
        <f>FPA!D23-R_output!D20</f>
        <v>0</v>
      </c>
      <c r="E21">
        <f>FPA!E23-R_output!E20</f>
        <v>-1.8467000000000011E-2</v>
      </c>
      <c r="F21">
        <f>FPA!F23-R_output!F20</f>
        <v>0</v>
      </c>
      <c r="G21">
        <f>FPA!G23-R_output!G20</f>
        <v>0</v>
      </c>
      <c r="H21">
        <f>FPA!H23-R_output!H20</f>
        <v>0</v>
      </c>
      <c r="I21">
        <f>FPA!I23-R_output!I20</f>
        <v>0</v>
      </c>
      <c r="J21">
        <f>FPA!J23-R_output!J20</f>
        <v>0</v>
      </c>
      <c r="K21">
        <f>FPA!K23-R_output!K20</f>
        <v>0</v>
      </c>
      <c r="L21">
        <f>FPA!L23-R_output!L20</f>
        <v>0</v>
      </c>
      <c r="M21">
        <f>FPA!M23-R_output!M20</f>
        <v>0</v>
      </c>
      <c r="N21">
        <f>FPA!N23-R_output!N20</f>
        <v>0</v>
      </c>
      <c r="O21">
        <f>FPA!O23-R_output!O20</f>
        <v>0</v>
      </c>
      <c r="P21">
        <f>FPA!P23-R_output!P20</f>
        <v>0</v>
      </c>
      <c r="Q21">
        <f>FPA!Q23-R_output!Q20</f>
        <v>0</v>
      </c>
      <c r="R21">
        <f>FPA!R23-R_output!R20</f>
        <v>0</v>
      </c>
      <c r="S21">
        <f>FPA!S23-R_output!S20</f>
        <v>0</v>
      </c>
      <c r="T21">
        <f>FPA!T23-R_output!T20</f>
        <v>0</v>
      </c>
      <c r="U21">
        <f>FPA!U23-R_output!U20</f>
        <v>0</v>
      </c>
      <c r="V21">
        <f>FPA!V23-R_output!V20</f>
        <v>0</v>
      </c>
      <c r="W21">
        <f>FPA!W23-R_output!W20</f>
        <v>0</v>
      </c>
      <c r="X21">
        <f>FPA!X23-R_output!X20</f>
        <v>0</v>
      </c>
      <c r="Y21">
        <f>FPA!Y23-R_output!Y20</f>
        <v>0</v>
      </c>
      <c r="Z21">
        <f>FPA!Z23-R_output!Z20</f>
        <v>0</v>
      </c>
      <c r="AA21">
        <f>FPA!AA23-R_output!AA20</f>
        <v>0</v>
      </c>
      <c r="AB21">
        <f>FPA!AB23-R_output!AB20</f>
        <v>0</v>
      </c>
      <c r="AC21">
        <f>FPA!AC23-R_output!AC20</f>
        <v>0</v>
      </c>
      <c r="AD21">
        <f>FPA!AD23-R_output!AD20</f>
        <v>0</v>
      </c>
      <c r="AE21">
        <f>FPA!AE23-R_output!AE20</f>
        <v>0</v>
      </c>
      <c r="AF21">
        <f>FPA!AF23-R_output!AF20</f>
        <v>0</v>
      </c>
      <c r="AG21">
        <f>FPA!AG23-R_output!AG20</f>
        <v>0</v>
      </c>
      <c r="AH21">
        <f>FPA!AH23-R_output!AH20</f>
        <v>0</v>
      </c>
      <c r="AI21">
        <f>FPA!AI23-R_output!AI20</f>
        <v>0</v>
      </c>
      <c r="AJ21">
        <f>FPA!AJ23-R_output!AJ20</f>
        <v>0</v>
      </c>
      <c r="AK21">
        <f>FPA!AK23-R_output!AK20</f>
        <v>0</v>
      </c>
      <c r="AL21">
        <f>FPA!AL23-R_output!AL20</f>
        <v>0</v>
      </c>
    </row>
    <row r="22" spans="1:38" x14ac:dyDescent="0.2">
      <c r="A22">
        <v>4</v>
      </c>
      <c r="B22">
        <f>FPA!B24-R_output!B21</f>
        <v>0</v>
      </c>
      <c r="C22">
        <f>FPA!C24-R_output!C21</f>
        <v>0</v>
      </c>
      <c r="D22">
        <f>FPA!D24-R_output!D21</f>
        <v>0</v>
      </c>
      <c r="E22">
        <f>FPA!E24-R_output!E21</f>
        <v>-1.8467000000000011E-2</v>
      </c>
      <c r="F22">
        <f>FPA!F24-R_output!F21</f>
        <v>0</v>
      </c>
      <c r="G22">
        <f>FPA!G24-R_output!G21</f>
        <v>0</v>
      </c>
      <c r="H22">
        <f>FPA!H24-R_output!H21</f>
        <v>0</v>
      </c>
      <c r="I22">
        <f>FPA!I24-R_output!I21</f>
        <v>0</v>
      </c>
      <c r="J22">
        <f>FPA!J24-R_output!J21</f>
        <v>0</v>
      </c>
      <c r="K22">
        <f>FPA!K24-R_output!K21</f>
        <v>0</v>
      </c>
      <c r="L22">
        <f>FPA!L24-R_output!L21</f>
        <v>0</v>
      </c>
      <c r="M22">
        <f>FPA!M24-R_output!M21</f>
        <v>0</v>
      </c>
      <c r="N22">
        <f>FPA!N24-R_output!N21</f>
        <v>0</v>
      </c>
      <c r="O22">
        <f>FPA!O24-R_output!O21</f>
        <v>0</v>
      </c>
      <c r="P22">
        <f>FPA!P24-R_output!P21</f>
        <v>0</v>
      </c>
      <c r="Q22">
        <f>FPA!Q24-R_output!Q21</f>
        <v>0</v>
      </c>
      <c r="R22">
        <f>FPA!R24-R_output!R21</f>
        <v>0</v>
      </c>
      <c r="S22">
        <f>FPA!S24-R_output!S21</f>
        <v>0</v>
      </c>
      <c r="T22">
        <f>FPA!T24-R_output!T21</f>
        <v>0</v>
      </c>
      <c r="U22">
        <f>FPA!U24-R_output!U21</f>
        <v>0</v>
      </c>
      <c r="V22">
        <f>FPA!V24-R_output!V21</f>
        <v>0</v>
      </c>
      <c r="W22">
        <f>FPA!W24-R_output!W21</f>
        <v>0</v>
      </c>
      <c r="X22">
        <f>FPA!X24-R_output!X21</f>
        <v>0</v>
      </c>
      <c r="Y22">
        <f>FPA!Y24-R_output!Y21</f>
        <v>0</v>
      </c>
      <c r="Z22">
        <f>FPA!Z24-R_output!Z21</f>
        <v>0</v>
      </c>
      <c r="AA22">
        <f>FPA!AA24-R_output!AA21</f>
        <v>0</v>
      </c>
      <c r="AB22">
        <f>FPA!AB24-R_output!AB21</f>
        <v>0</v>
      </c>
      <c r="AC22">
        <f>FPA!AC24-R_output!AC21</f>
        <v>0</v>
      </c>
      <c r="AD22">
        <f>FPA!AD24-R_output!AD21</f>
        <v>0</v>
      </c>
      <c r="AE22">
        <f>FPA!AE24-R_output!AE21</f>
        <v>0</v>
      </c>
      <c r="AF22">
        <f>FPA!AF24-R_output!AF21</f>
        <v>0</v>
      </c>
      <c r="AG22">
        <f>FPA!AG24-R_output!AG21</f>
        <v>0</v>
      </c>
      <c r="AH22">
        <f>FPA!AH24-R_output!AH21</f>
        <v>0</v>
      </c>
      <c r="AI22">
        <f>FPA!AI24-R_output!AI21</f>
        <v>0</v>
      </c>
      <c r="AJ22">
        <f>FPA!AJ24-R_output!AJ21</f>
        <v>0</v>
      </c>
      <c r="AK22">
        <f>FPA!AK24-R_output!AK21</f>
        <v>0</v>
      </c>
      <c r="AL22">
        <f>FPA!AL24-R_output!AL21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CALCS</vt:lpstr>
      <vt:lpstr>CLB9806STK</vt:lpstr>
      <vt:lpstr>SPFI_CLB14</vt:lpstr>
      <vt:lpstr>FPS</vt:lpstr>
      <vt:lpstr>FPA</vt:lpstr>
      <vt:lpstr>R_output</vt:lpstr>
      <vt:lpstr>Sheet2</vt:lpstr>
      <vt:lpstr>CALCS!Print_Area</vt:lpstr>
      <vt:lpstr>CALCS!Print_Titles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Gutmann</dc:creator>
  <cp:lastModifiedBy>Peterson, Randy L (DFG)</cp:lastModifiedBy>
  <dcterms:created xsi:type="dcterms:W3CDTF">1997-03-18T18:12:43Z</dcterms:created>
  <dcterms:modified xsi:type="dcterms:W3CDTF">2014-10-06T23:44:00Z</dcterms:modified>
</cp:coreProperties>
</file>